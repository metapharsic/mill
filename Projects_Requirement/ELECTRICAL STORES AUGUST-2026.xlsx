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4"/>
  </bookViews>
  <sheets>
    <sheet name="CONTACTOR" sheetId="1" r:id="rId1"/>
    <sheet name="RELAY" sheetId="2" r:id="rId2"/>
    <sheet name="MCB" sheetId="3" r:id="rId3"/>
    <sheet name="ELE GENERAL" sheetId="4" r:id="rId4"/>
    <sheet name="VFD DRIVE" sheetId="5" r:id="rId5"/>
  </sheets>
  <definedNames>
    <definedName name="_xlnm._FilterDatabase" localSheetId="1" hidden="1">RELAY!$A$3:$E$27</definedName>
    <definedName name="_xlnm.Print_Titles" localSheetId="4">'VFD DRIVE'!$2:$2</definedName>
  </definedNames>
  <calcPr calcId="124519"/>
</workbook>
</file>

<file path=xl/calcChain.xml><?xml version="1.0" encoding="utf-8"?>
<calcChain xmlns="http://schemas.openxmlformats.org/spreadsheetml/2006/main">
  <c r="H60" i="5"/>
  <c r="G90" i="4"/>
  <c r="H59" i="5"/>
  <c r="H58"/>
  <c r="G89" i="4"/>
  <c r="H57" i="5" l="1"/>
  <c r="H56" l="1"/>
  <c r="H55"/>
  <c r="H54"/>
  <c r="G88" i="4"/>
  <c r="H4" i="5" l="1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3"/>
  <c r="G5" i="4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4"/>
  <c r="G6" i="3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5"/>
  <c r="H5" i="2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4"/>
  <c r="H6" i="1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5"/>
</calcChain>
</file>

<file path=xl/comments1.xml><?xml version="1.0" encoding="utf-8"?>
<comments xmlns="http://schemas.openxmlformats.org/spreadsheetml/2006/main">
  <authors>
    <author>Author</author>
  </authors>
  <commentList>
    <comment ref="G7" authorId="0">
      <text>
        <r>
          <rPr>
            <b/>
            <sz val="9"/>
            <color indexed="81"/>
            <rFont val="Tahoma"/>
            <family val="2"/>
          </rPr>
          <t>ETP SLUDGE TANK ON 01/08/2026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8" authorId="0">
      <text>
        <r>
          <rPr>
            <b/>
            <sz val="9"/>
            <color indexed="81"/>
            <rFont val="Tahoma"/>
            <family val="2"/>
          </rPr>
          <t xml:space="preserve">ISSUED ON 29/07/26 FOR ETP COMPRESER-1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12" authorId="0">
      <text>
        <r>
          <rPr>
            <sz val="9"/>
            <color indexed="81"/>
            <rFont val="Tahoma"/>
            <family val="2"/>
          </rPr>
          <t xml:space="preserve">39-ISSED ON 04/08/26 FOR WORK SHOP GRANDING MICHEN ON-2 NO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F21" authorId="0">
      <text>
        <r>
          <rPr>
            <sz val="9"/>
            <color indexed="81"/>
            <rFont val="Tahoma"/>
            <family val="2"/>
          </rPr>
          <t>47-ISSUED ON 08/08/26 FOR SANJAY ROOM 1 NO</t>
        </r>
      </text>
    </comment>
    <comment ref="F59" authorId="0">
      <text>
        <r>
          <rPr>
            <sz val="9"/>
            <color indexed="81"/>
            <rFont val="Tahoma"/>
            <family val="2"/>
          </rPr>
          <t>34-ISSUED ON 01/08/26 FOR ELE DEPT-1 NO</t>
        </r>
      </text>
    </comment>
    <comment ref="F61" authorId="0">
      <text>
        <r>
          <rPr>
            <sz val="9"/>
            <color indexed="81"/>
            <rFont val="Tahoma"/>
            <family val="2"/>
          </rPr>
          <t xml:space="preserve">35-ISSUED ON 02/08/26 FOR ETP 5 HP MOTER-1 NO
</t>
        </r>
      </text>
    </comment>
    <comment ref="E90" authorId="0">
      <text>
        <r>
          <rPr>
            <sz val="9"/>
            <color indexed="81"/>
            <rFont val="Tahoma"/>
            <family val="2"/>
          </rPr>
          <t>RECIVED ON 08/08/2026 FROM DATTU ELECTRICALS-06 N OS</t>
        </r>
      </text>
    </comment>
    <comment ref="F90" authorId="0">
      <text>
        <r>
          <rPr>
            <sz val="9"/>
            <color indexed="81"/>
            <rFont val="Tahoma"/>
            <family val="2"/>
          </rPr>
          <t xml:space="preserve">RETURN ON 12/08/2026 TO DATTU ELECTRICALS-6 NOS 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F12" authorId="0">
      <text>
        <r>
          <rPr>
            <sz val="9"/>
            <color indexed="81"/>
            <rFont val="Tahoma"/>
            <family val="2"/>
          </rPr>
          <t>RECIVED ON 12/08/26 FROM PRAGMATIC INDUSTRIAL-2 NO</t>
        </r>
      </text>
    </comment>
    <comment ref="G12" authorId="0">
      <text>
        <r>
          <rPr>
            <sz val="9"/>
            <color indexed="81"/>
            <rFont val="Tahoma"/>
            <family val="2"/>
          </rPr>
          <t>ISSUED ON 10/08/2026 FOR ELE DEPT-1 NO</t>
        </r>
      </text>
    </comment>
    <comment ref="F59" authorId="0">
      <text>
        <r>
          <rPr>
            <sz val="9"/>
            <color indexed="81"/>
            <rFont val="Tahoma"/>
            <family val="2"/>
          </rPr>
          <t>RECIVED ON 12/08/26 FROM PRAGMATIC INDUSTRIAL-2 NO</t>
        </r>
      </text>
    </comment>
  </commentList>
</comments>
</file>

<file path=xl/sharedStrings.xml><?xml version="1.0" encoding="utf-8"?>
<sst xmlns="http://schemas.openxmlformats.org/spreadsheetml/2006/main" count="503" uniqueCount="476">
  <si>
    <t>S NO.</t>
  </si>
  <si>
    <t>ITEM CODE</t>
  </si>
  <si>
    <t>ITEM WITH DETAIL</t>
  </si>
  <si>
    <t>ECT0001</t>
  </si>
  <si>
    <t>ECT0002</t>
  </si>
  <si>
    <t>ECT0003</t>
  </si>
  <si>
    <t>ECT0004</t>
  </si>
  <si>
    <t>LC1E2510B5 SCHNEIDER CONTACTOR</t>
  </si>
  <si>
    <t>ECT0005</t>
  </si>
  <si>
    <t>LC1E2510B7 SCHNEIDER CONTACTOR</t>
  </si>
  <si>
    <t>ECT0006</t>
  </si>
  <si>
    <t>LC1E 3810M5/B5 SCHNEIDER CONTACTOR</t>
  </si>
  <si>
    <t>ECT0007</t>
  </si>
  <si>
    <t>LC1E3810M7 /B7 SCHNEIDER CONTACTOR</t>
  </si>
  <si>
    <t>ECT0008</t>
  </si>
  <si>
    <t>LC1E40M7 SCHNEIDER CONTACTOR</t>
  </si>
  <si>
    <t>ECT0009</t>
  </si>
  <si>
    <t>LC1D12M7 SCHNEIDER CONTACTOR</t>
  </si>
  <si>
    <t>ECT0010</t>
  </si>
  <si>
    <t>LC1D18M7SCHNEIDER CONTACTOR</t>
  </si>
  <si>
    <t>ECT0011</t>
  </si>
  <si>
    <t>LC1D25M7 SCHNEIDER CONTACTOR</t>
  </si>
  <si>
    <t>ECT0012</t>
  </si>
  <si>
    <t>LC1D32M7 SCHNEIDER CONTACTOR</t>
  </si>
  <si>
    <t>ECT0013</t>
  </si>
  <si>
    <t>LC1D40AM7 SCHNEIDER CONTACTOR</t>
  </si>
  <si>
    <t>ECT0014</t>
  </si>
  <si>
    <t>LC1D65AM7 SCHNEIDER CONTACTOR</t>
  </si>
  <si>
    <t>ECT0015</t>
  </si>
  <si>
    <t>LC1D80AM7 SCHNEIDER CONTACTOR</t>
  </si>
  <si>
    <t>ECT0016</t>
  </si>
  <si>
    <t>ECT0017</t>
  </si>
  <si>
    <t>ECT0018</t>
  </si>
  <si>
    <t>ECT0019</t>
  </si>
  <si>
    <t>ECT0020</t>
  </si>
  <si>
    <t>ECT0021</t>
  </si>
  <si>
    <t>ECT0022</t>
  </si>
  <si>
    <t>ECT0023</t>
  </si>
  <si>
    <t>ECT0024</t>
  </si>
  <si>
    <t>ECT0025</t>
  </si>
  <si>
    <t>ECT0026</t>
  </si>
  <si>
    <t>ECT0027</t>
  </si>
  <si>
    <t>ECT0028</t>
  </si>
  <si>
    <t>ECT0029</t>
  </si>
  <si>
    <t>ECT0030</t>
  </si>
  <si>
    <t>PHY STOCK</t>
  </si>
  <si>
    <t>ERE0001</t>
  </si>
  <si>
    <t>SCHNEIDER RELAY LRD 07 (1.6 AMPS -2.5 AMPS) THERMAL OVERLOAD RELAY</t>
  </si>
  <si>
    <t>ERE0002</t>
  </si>
  <si>
    <t>SCHNEIDER RELAY LRD 10 (4 AMPS -6 AMPS) THERMAL OVERLOAD RELAY</t>
  </si>
  <si>
    <t>ERE0003</t>
  </si>
  <si>
    <t>SCHNEIDER RELAY LRD 16 (9 AMPS -13AMPS) THERMAL OVERLOAD RELAY</t>
  </si>
  <si>
    <t>ERE0004</t>
  </si>
  <si>
    <t>SCHNEIDER RELAY LRD 21 (12 AMPS -18AMPS) THERMAL OVERLOAD RELAY</t>
  </si>
  <si>
    <t>ERE0005</t>
  </si>
  <si>
    <t>SCHNEIDER RELAY LRD 22 (16AMPS -24 AMPS) THERMAL OVERLOAD RELAY</t>
  </si>
  <si>
    <t>ERE0006</t>
  </si>
  <si>
    <t>SCHNEIDER RELAY LRD 32 (23AMPS-32 AMPS) THERMAL OVERLOAD RELAY</t>
  </si>
  <si>
    <t>ERE0007</t>
  </si>
  <si>
    <t>SCHNEIDER RELAY LRE35 (30AMPS-38 AMPS) THERMAL OVERLOAD RELAY</t>
  </si>
  <si>
    <t>ERE0008</t>
  </si>
  <si>
    <t>SCHNEIDER RELAY LRE353 (23AMPS-32 AMPS) THERMAL OVERLOAD RELAY</t>
  </si>
  <si>
    <t>ERE0009</t>
  </si>
  <si>
    <t>L &amp; T (SWITCHGEAR) MN2 THERMAL OVERLOAD RELAY (2- 3.3 AMPS)</t>
  </si>
  <si>
    <t>ERE0010</t>
  </si>
  <si>
    <t>L &amp; T (SWITCHGEAR) MN2 THERMAL OVERLOAD RELAY (3- 5 AMPS)</t>
  </si>
  <si>
    <t>ERE0011</t>
  </si>
  <si>
    <t>L &amp; T (SWITCHGEAR) MN2 THERMAL OVERLOAD RELAY (9- 15 AMPS)</t>
  </si>
  <si>
    <t>ERE0012</t>
  </si>
  <si>
    <t>ABB THERMAL OVERLOAD RELAY (10 -14 AMPS)</t>
  </si>
  <si>
    <t>ERE0013</t>
  </si>
  <si>
    <t>MK1 STARTER THERMAL OVERLOAD RELAY (1.5 -2.5 AMPS)</t>
  </si>
  <si>
    <t>ERE0014</t>
  </si>
  <si>
    <t>MK1 STARTER THERMAL OVERLOAD RELAY (4- 6.5 AMPS)</t>
  </si>
  <si>
    <t>ERE0015</t>
  </si>
  <si>
    <t>MK1 STARTER THERMAL OVERLOAD RELAY (6-10 AMPS)</t>
  </si>
  <si>
    <t>ERE0016</t>
  </si>
  <si>
    <t>MK1 STARTER THERMAL OVERLOAD RELAY (9-14 AMPS)</t>
  </si>
  <si>
    <t>ERE0017</t>
  </si>
  <si>
    <t>LR 9F 5369 ELECTROIC OVERLOAD RELAY</t>
  </si>
  <si>
    <t>ERE0018</t>
  </si>
  <si>
    <t>LR 9F7375 ELECTROIC OVERLOAD RELAY</t>
  </si>
  <si>
    <t>ERE0019</t>
  </si>
  <si>
    <t>L &amp; T (SWITCHGEAR) MN2 THERMAL OVERLOAD RELAY (4.5- 7.5AMPS)</t>
  </si>
  <si>
    <t>ERE0020</t>
  </si>
  <si>
    <t xml:space="preserve">SIEMENS REAL (20AMPS-25AMPS) THERMAL OVERLOAD RELAY </t>
  </si>
  <si>
    <t>ERE0021</t>
  </si>
  <si>
    <t xml:space="preserve">SIEMENS REAL (2.8AMPS-4AMPS) THERMAL OVERLOAD RELAY </t>
  </si>
  <si>
    <t>ERE0022</t>
  </si>
  <si>
    <t>L &amp; T (SWITCHGEAR) 353 THERMAL OVERLOAD RELAY (23AMPS-32AMPS)</t>
  </si>
  <si>
    <t>ERE0023</t>
  </si>
  <si>
    <t>L &amp; T (SWITCHGEAR) 3355 THERMAL OVERLOAD RELAY (30AMPS-40AMPS)</t>
  </si>
  <si>
    <t>SCHNEIDER RELAY LRD 35 (30AMPS-38 AMPS) THERMAL OVERLOAD RELAY</t>
  </si>
  <si>
    <t>ERE0024</t>
  </si>
  <si>
    <t>EMC0001</t>
  </si>
  <si>
    <t>EATON 80 AMPS FUSE (690 V-200KA )-SIZE -1</t>
  </si>
  <si>
    <t>EMC0002</t>
  </si>
  <si>
    <t>L&amp;t 160 AMPS SIZE 00</t>
  </si>
  <si>
    <t>EMC0003</t>
  </si>
  <si>
    <t>C&amp; S 200 AMPS FUSE (500V-80KA) SIZE -1</t>
  </si>
  <si>
    <t>EMC0004</t>
  </si>
  <si>
    <t>200 AMPS HRC FUSE (SIZE-0)</t>
  </si>
  <si>
    <t>EMC0005</t>
  </si>
  <si>
    <t>L&amp; T SWITCHGEAR 400 AMPS (415 V -100 KA) SIZE -2</t>
  </si>
  <si>
    <t>EMC0006</t>
  </si>
  <si>
    <t>MCB 6AMPS-1 P</t>
  </si>
  <si>
    <t>EMC0007</t>
  </si>
  <si>
    <t>MCB 6AMPS -2 P</t>
  </si>
  <si>
    <t>EMC0008</t>
  </si>
  <si>
    <t>MCB 6AMPS -3 P</t>
  </si>
  <si>
    <t>EMC0009</t>
  </si>
  <si>
    <t>MCB 10AMPS-1 P</t>
  </si>
  <si>
    <t>EMC0010</t>
  </si>
  <si>
    <t>MCB 10AMPS-3 P</t>
  </si>
  <si>
    <t>EMC0011</t>
  </si>
  <si>
    <t>MCB 16 AMPS -1P</t>
  </si>
  <si>
    <t>EMC0012</t>
  </si>
  <si>
    <t>MCB 16 AMPS -3P</t>
  </si>
  <si>
    <t>EMC0013</t>
  </si>
  <si>
    <t>MCB 25 AMPS -3P</t>
  </si>
  <si>
    <t>EMC0014</t>
  </si>
  <si>
    <t>MCB 32AMPS-3P</t>
  </si>
  <si>
    <t>EMC0015</t>
  </si>
  <si>
    <t>MCB 32AMPS-4P</t>
  </si>
  <si>
    <t>EMC0016</t>
  </si>
  <si>
    <t>MCB 40 AMPS -3P</t>
  </si>
  <si>
    <t>EMC0017</t>
  </si>
  <si>
    <t>MCB 63AMPS -3P</t>
  </si>
  <si>
    <t>EMC0018</t>
  </si>
  <si>
    <t>MCB 63 AMPS -4 P</t>
  </si>
  <si>
    <t>EMC0019</t>
  </si>
  <si>
    <t>LV510307 MCCB 100 A -3P</t>
  </si>
  <si>
    <t>EMC0020</t>
  </si>
  <si>
    <t>LV516303 MCCB 160 A 3P</t>
  </si>
  <si>
    <t>EMC0021</t>
  </si>
  <si>
    <t>LV525303 MCCB 250A 3P /SWITCH GEAR 25 KA</t>
  </si>
  <si>
    <t>EMC0022</t>
  </si>
  <si>
    <t>LV563307 300A -3P MCCB</t>
  </si>
  <si>
    <t>EMC0023</t>
  </si>
  <si>
    <t>MCB 32 AMPS 2P</t>
  </si>
  <si>
    <t>EMC0024</t>
  </si>
  <si>
    <t>MCB 25 AMPS 2P</t>
  </si>
  <si>
    <t>ECT0031</t>
  </si>
  <si>
    <t>ECT0032</t>
  </si>
  <si>
    <t>LC1D1157 SCHNEIDER CONTACTOR</t>
  </si>
  <si>
    <t>ECT0033</t>
  </si>
  <si>
    <t>LC1D1400 SCHNEIDER CONTACTOR</t>
  </si>
  <si>
    <t>ELEG0002</t>
  </si>
  <si>
    <t>ECT0034</t>
  </si>
  <si>
    <t>ECT0035</t>
  </si>
  <si>
    <t>ECT0036</t>
  </si>
  <si>
    <t>LAF400803 SCHNEIDER CONTACTOR KIT (LC1F400)</t>
  </si>
  <si>
    <t>LA5D150830 SCHNEIDER CONTACTOR KIT (LC1D150)</t>
  </si>
  <si>
    <t>ELEG0001</t>
  </si>
  <si>
    <t>SIEMENS 3TY7 460-OYA CONTACTOR KIT</t>
  </si>
  <si>
    <t>ELEG0003</t>
  </si>
  <si>
    <t>REWIDER POTENTIO METER 10K</t>
  </si>
  <si>
    <t>ELEG0004</t>
  </si>
  <si>
    <t>PRESOR SWITCH 10A</t>
  </si>
  <si>
    <t>ELEG0005</t>
  </si>
  <si>
    <t>SMPS 24 V 10A</t>
  </si>
  <si>
    <t>ELEG0006</t>
  </si>
  <si>
    <t>MK1 STATOR COIL</t>
  </si>
  <si>
    <t>ELEG0007</t>
  </si>
  <si>
    <t>L&amp;T MK1 STATOR RELAY KIT</t>
  </si>
  <si>
    <t>ELEG0008</t>
  </si>
  <si>
    <t>SIEMENS NET CONETER</t>
  </si>
  <si>
    <t>ELEG0009</t>
  </si>
  <si>
    <t>ADD ON BLOK</t>
  </si>
  <si>
    <t>ELEG0010</t>
  </si>
  <si>
    <t>L&amp;T ADD ON BLOK 2NO2NC</t>
  </si>
  <si>
    <t>ELEG0011</t>
  </si>
  <si>
    <t>SIEMENS ADD ON BLOK 2NO2NC</t>
  </si>
  <si>
    <t>ELEG0012</t>
  </si>
  <si>
    <t xml:space="preserve">L&amp;T COMPRSER TERMINAL </t>
  </si>
  <si>
    <t>ELEG0013</t>
  </si>
  <si>
    <t>PID CONTROLLER TN: 00442008 (JUMO MAKE)</t>
  </si>
  <si>
    <t>ELEG0014</t>
  </si>
  <si>
    <t>SWITCH GEAR MAKE CONTROLLER 3 PH ,380V,CAT: ST921660000</t>
  </si>
  <si>
    <t>ELEG0015</t>
  </si>
  <si>
    <t>SIREN 150-MFTER1, 90-120CB</t>
  </si>
  <si>
    <t>ELEG0016</t>
  </si>
  <si>
    <t>REPON/SIBASS FAN- 24 V</t>
  </si>
  <si>
    <t>ELEG0017</t>
  </si>
  <si>
    <t>100 WATS FLOOD LIGHT</t>
  </si>
  <si>
    <t>ELEG0018</t>
  </si>
  <si>
    <t>LED TUBE LIGHTS</t>
  </si>
  <si>
    <t>ELEG0019</t>
  </si>
  <si>
    <t>LX1FJ220 COIL SCHNEIDER</t>
  </si>
  <si>
    <t>ELEG0020</t>
  </si>
  <si>
    <t>12SDTO STATER DELTA TIMER 3S-120S</t>
  </si>
  <si>
    <t>ELEG0021</t>
  </si>
  <si>
    <t>120DTY STATER DELTA TIMER 3S-30S</t>
  </si>
  <si>
    <t>ELEG0022</t>
  </si>
  <si>
    <t>SIEMENS ELECTORNIC TIMER (3RP15131AP308K) 3-60S</t>
  </si>
  <si>
    <t>ELEG0023</t>
  </si>
  <si>
    <t>SIEMENS ELECTORNIC TIMER (3RP15131AP308K) 5S-100S</t>
  </si>
  <si>
    <t>ELEG0024</t>
  </si>
  <si>
    <t>TEMPERATURE CONTROLLER (513AX)</t>
  </si>
  <si>
    <t>ELEG0025</t>
  </si>
  <si>
    <t>TEMPERATURE CONTROLLER (513)</t>
  </si>
  <si>
    <t>ELEG0026</t>
  </si>
  <si>
    <t>ROTAEY SWITCH (SAI2FR) (61192SCB03TDYR)</t>
  </si>
  <si>
    <t>ELEG0027</t>
  </si>
  <si>
    <t>LIMIT SWITCH (240V/30V) JAI BALAJI</t>
  </si>
  <si>
    <t>ELEG0028</t>
  </si>
  <si>
    <t>ONDELAY TIMER 0.6S-60M PLY 2C/O CSA</t>
  </si>
  <si>
    <t>ELEG0029</t>
  </si>
  <si>
    <t>ELEG0030</t>
  </si>
  <si>
    <t>STAR DELTA TIMER 3S-120S (2ASDT0) (24-240VAC/DC)</t>
  </si>
  <si>
    <t>ELEG0031</t>
  </si>
  <si>
    <t>ELEG0032</t>
  </si>
  <si>
    <t>ELEG0033</t>
  </si>
  <si>
    <t>ELEG0034</t>
  </si>
  <si>
    <t>ELEG0035</t>
  </si>
  <si>
    <t>ELEG0036</t>
  </si>
  <si>
    <t>DISTRIBUSTION BOX</t>
  </si>
  <si>
    <t>ELEG0037</t>
  </si>
  <si>
    <t>ELEG0038</t>
  </si>
  <si>
    <t>ELEG0039</t>
  </si>
  <si>
    <t>PROCERSS INDICATOR PIC101A-VI230</t>
  </si>
  <si>
    <t>ELEG0040</t>
  </si>
  <si>
    <t>ELEG0041</t>
  </si>
  <si>
    <t>SCHENIDER LADSN20 CONTACT BLOCKS</t>
  </si>
  <si>
    <t>ELEG0042</t>
  </si>
  <si>
    <t>SCHENIDER LADT2 TIMER DELAY BLOCKS</t>
  </si>
  <si>
    <t>ELEG0043</t>
  </si>
  <si>
    <t>L&amp;T COIL-MK1 CAT NO: AA9000470000</t>
  </si>
  <si>
    <t>ELEG0044</t>
  </si>
  <si>
    <t>SCHENIDER LA7D3064 TERMINAL BLOCK</t>
  </si>
  <si>
    <t>RPM METER MULTISPAN PI-38-A2-00 (AC) 999 TO 9999)</t>
  </si>
  <si>
    <t>TERMINAL PLATE CROMPTON (100 HP) (T17037)</t>
  </si>
  <si>
    <t>TERMINAL PLATE CROMPTON (320 HP) (W60XL385XT30)</t>
  </si>
  <si>
    <t>TECHNO METER CONTER (C-96X)</t>
  </si>
  <si>
    <t>TERMINAL PLATE ABB 200HP (T17128) TAMCO</t>
  </si>
  <si>
    <t xml:space="preserve">TERMINAL PLATE CROMPTON T1 7138 </t>
  </si>
  <si>
    <t>TERMINAL PLATE RX6 STUD 7009</t>
  </si>
  <si>
    <t>ELEG0045</t>
  </si>
  <si>
    <t xml:space="preserve">TERMINAL PLATE TAMCO T1-7040 </t>
  </si>
  <si>
    <t>ELEG0046</t>
  </si>
  <si>
    <t>TERMINAL PLATE TAMCO T1-7135</t>
  </si>
  <si>
    <t>ELEG0047</t>
  </si>
  <si>
    <t>MOTOR FANS CR.AD-112 (HOLE24.5XOD190) KEY WAY TYPE</t>
  </si>
  <si>
    <t>ELEG0048</t>
  </si>
  <si>
    <t>ELEG0049</t>
  </si>
  <si>
    <t>MOTOR FANS  CR (HOLE 24 X OD155) PIN TYPE</t>
  </si>
  <si>
    <t>MOTOR FANS ND-200  CR (HOLE56  X OD260) KEY WAY TYPE #1728</t>
  </si>
  <si>
    <t>ELEG0050</t>
  </si>
  <si>
    <t xml:space="preserve">MOTOR FANS   CR (HOLE48  X OD290) SCREW TYPE </t>
  </si>
  <si>
    <t>ELEG0051</t>
  </si>
  <si>
    <t xml:space="preserve">MOTOR FANS   CR (HOLE48  X OD290) PIN TYPE </t>
  </si>
  <si>
    <t>ELEG0052</t>
  </si>
  <si>
    <t xml:space="preserve">MOTOR FANS   CR (HOLE 93  X OD 400) KEY WAY TYPE </t>
  </si>
  <si>
    <t xml:space="preserve">MNX 40-110V (L&amp;T)(SWITCHGEAR) CONTACTOR </t>
  </si>
  <si>
    <t xml:space="preserve">MNX40-240V (L&amp;T)(SWITCHGEAR) CONTACTOR  </t>
  </si>
  <si>
    <t xml:space="preserve">ABB -45 AMPS 230V /50 HZ/ 240V /60HZ CONTACTOR </t>
  </si>
  <si>
    <t xml:space="preserve">ABB  25AMPS -230V/50 HZ CONTACTOR </t>
  </si>
  <si>
    <t>MNX12 240 Vac POWER CONTACTOR</t>
  </si>
  <si>
    <t>MNX18 240 Vac POWER CONTACTOR</t>
  </si>
  <si>
    <t>MNX25 -240 Vac POWER CONTACTOR</t>
  </si>
  <si>
    <t>MNX 32-110V POWER CONTACTOR</t>
  </si>
  <si>
    <t>MNX 32-240V POWER CONTACTOR</t>
  </si>
  <si>
    <t xml:space="preserve">LC1DPKM7 -30 KVAR CONTACTORS -CAPACITOR </t>
  </si>
  <si>
    <t xml:space="preserve">LC1DMKM7 -25 KVAR CONTACTORS -CAPACITOR </t>
  </si>
  <si>
    <t xml:space="preserve">LC1DLKM7-20 KVAR CONTACTORS -CAPACITOR </t>
  </si>
  <si>
    <t xml:space="preserve">LC1DWKM7C -62 KVAR CONTACTORS -CAPACITOR </t>
  </si>
  <si>
    <t xml:space="preserve">LC1`DWK12M7 -SWITCHING CONTACTORS -CAPACITOR </t>
  </si>
  <si>
    <t xml:space="preserve">20 KVR CAPACITOR (L&amp;T) 440V -RACK </t>
  </si>
  <si>
    <t>3 kVAr X 440 V  POWER CAPACITOR</t>
  </si>
  <si>
    <t>LA5FF431 SCHNEIDER CONTACTOR KIT (LC1F150,LC1F115)</t>
  </si>
  <si>
    <t>TERMINAL BLOCK-PLATE Fr.ND200 CG (40HP)</t>
  </si>
  <si>
    <t>TERMINAL BLOCK-PLATE Fr.ND160-180 CG (20-30HP)</t>
  </si>
  <si>
    <t>ELEG0053</t>
  </si>
  <si>
    <t>ELEG0054</t>
  </si>
  <si>
    <t>ELEG0055</t>
  </si>
  <si>
    <t>ELEG0056</t>
  </si>
  <si>
    <t xml:space="preserve">S.NO </t>
  </si>
  <si>
    <t>ITEM DETAILS</t>
  </si>
  <si>
    <t>RECIVED</t>
  </si>
  <si>
    <t>ISSUE</t>
  </si>
  <si>
    <t>BALANCE</t>
  </si>
  <si>
    <t>ELEG0057</t>
  </si>
  <si>
    <t>COLING FAN ND160 CG, 4P (20HP)</t>
  </si>
  <si>
    <t>COLING FAN ND132 CG, (7.5HP)</t>
  </si>
  <si>
    <t>TERMINAL BOX 112 /132 CG (40-20hp)</t>
  </si>
  <si>
    <t>ELEG0058</t>
  </si>
  <si>
    <t>COLING FAN F-80 (HOLE19XOD137)</t>
  </si>
  <si>
    <t>3TF30-10-0AP0-(230V/50HZ,276/60) (9A-415V) SIEMENS AIR BREAK POWER CONTACTOR</t>
  </si>
  <si>
    <t>3TF32-00-0AP0-(230V/50HZ,276/60) (16A-415V) SIEMENS AIR BREAK POWER CONTACTOR</t>
  </si>
  <si>
    <t>3TF35-00-0AP0-(230V/50HZ) (38 A-415V) SIEMENS AIR BREAK POWER CONTACTOR</t>
  </si>
  <si>
    <t>MOTOR STATR 9-14 AMP AMPER</t>
  </si>
  <si>
    <t>ELEG0059</t>
  </si>
  <si>
    <t>6 WAY PVC MCB BOX</t>
  </si>
  <si>
    <t>15" DULAUST FAG ALMOUCRD</t>
  </si>
  <si>
    <t>ELEG0060</t>
  </si>
  <si>
    <t>ELEG0061</t>
  </si>
  <si>
    <t>ELEG0062</t>
  </si>
  <si>
    <t>ELEG0063</t>
  </si>
  <si>
    <t>ELEG0064</t>
  </si>
  <si>
    <t>ELEG0065</t>
  </si>
  <si>
    <t>ELEG0066</t>
  </si>
  <si>
    <t>ELEG0067</t>
  </si>
  <si>
    <t>ELEG0068</t>
  </si>
  <si>
    <t>ELEG0069</t>
  </si>
  <si>
    <t>ELEG0070</t>
  </si>
  <si>
    <t>ELEG0071</t>
  </si>
  <si>
    <t>ELEG0072</t>
  </si>
  <si>
    <t>ELEG0073</t>
  </si>
  <si>
    <t>ELEG0074</t>
  </si>
  <si>
    <t>ELEG0075</t>
  </si>
  <si>
    <t>ELEG0076</t>
  </si>
  <si>
    <t>ELEG0077</t>
  </si>
  <si>
    <t>ELEG0078</t>
  </si>
  <si>
    <t>ELEG0079</t>
  </si>
  <si>
    <t>ELEG0080</t>
  </si>
  <si>
    <t>COPPER FLAT LUGS 10 SQMM</t>
  </si>
  <si>
    <t>COPPER FLAT LUGS 16 SQMM</t>
  </si>
  <si>
    <t>COPPER FLAT LUGS 25 SQMM</t>
  </si>
  <si>
    <t>COPPER FLAT LUGS 35 SQMM</t>
  </si>
  <si>
    <t>COPPER FLAT LUGS 50 SQMM</t>
  </si>
  <si>
    <t>COPPER FLAT LUGS 70 SQMM</t>
  </si>
  <si>
    <t>COPPER FLAT LUGS 95 SQMM</t>
  </si>
  <si>
    <t>COPPER FEMALE LUGS  95 SQMM</t>
  </si>
  <si>
    <t>COPPER FEMALE LUGS  120 SQMM</t>
  </si>
  <si>
    <t>COPPER FLAT LUGS 120 SQMM</t>
  </si>
  <si>
    <t>COPPER FLAT LUGS 150 SQMM</t>
  </si>
  <si>
    <t>ALUMINIUM FLAT LUGS  10 SQMM</t>
  </si>
  <si>
    <t>ALUMINIUM FLAT LUGS  15 SQMM</t>
  </si>
  <si>
    <t>ALUMINIUM FLAT LUGS  16 SQMM</t>
  </si>
  <si>
    <t>ALUMINIUM FLAT LUGS  25 SQMM</t>
  </si>
  <si>
    <t>ALUMINIUM FLAT LUGS  35 SQMM</t>
  </si>
  <si>
    <t>ALUMINIUM FEMALE LUGS  150 SQMM</t>
  </si>
  <si>
    <t>ALUMINIUM FLAT LUGS  185 SQMM</t>
  </si>
  <si>
    <t>ALUMINIUM FLAT LUGS  240 SQMM</t>
  </si>
  <si>
    <t>ALUMINIUM FLAT LUGS  300 SQMM</t>
  </si>
  <si>
    <t>ELEG0081</t>
  </si>
  <si>
    <t>INSULATIN TAPE BLUE, GREEN, RED, YELLOW &amp; BLACK</t>
  </si>
  <si>
    <t>ERE0025</t>
  </si>
  <si>
    <t>MINILEC  BP-VOLTAGE SENSING PHASE FAILURE RELAY 380-440V AC(S1 VMR7)</t>
  </si>
  <si>
    <t>ELEG0082</t>
  </si>
  <si>
    <t>TERMINAL PLATE ABB 200HP (T1-7040) TAMCO</t>
  </si>
  <si>
    <t>ELEG0083</t>
  </si>
  <si>
    <t>TERMINAL PLATE ABB 200HP (T1-7135) TAMCO</t>
  </si>
  <si>
    <t>HSN CODE</t>
  </si>
  <si>
    <t>ELEG0084</t>
  </si>
  <si>
    <t>TERMINAL PLATE TAMCO T1-9007</t>
  </si>
  <si>
    <t>VFD ITEM NUMBER</t>
  </si>
  <si>
    <t>VFD DRIVE /FREQUENCY CONVETER (6SL3210-1PE31-8UL0) ,POWER MODULE PM240-2, INPUT:-3AC 380 V-480V 47-63 HZ, 172 A, MOTOR: IEC 90 kW</t>
  </si>
  <si>
    <t>POWER CARD 6SL3246-0BA22 -1PA0 ( CU 2505-2DP)</t>
  </si>
  <si>
    <t>POWER CARD 6SL3246-0BA22 -1FA0 ( CU 2505-2PN )</t>
  </si>
  <si>
    <t>INTERFACE MODULE 6ES7155-6AA02-0BN0 ( IM155 --8PN ST )</t>
  </si>
  <si>
    <t xml:space="preserve">SIEMENS -SIMATIC DIGITAL INPUT MODULE (8 DI DC 24V ET 200S )(6ES7131-4BF00-0AA0) </t>
  </si>
  <si>
    <t>SIEMENS -SIMATIC DIGITAL INPUT MODULE (DI 16 X 24VDC ST,ET 200SP) (6ES7131-6BH01-0BA0)</t>
  </si>
  <si>
    <t>SIEMENS -SIMATIC DIGITAL OUTPUT MODULE (8 D0 DC 24V /0.5 A ET 200S )(6ES7132-4BF00-0AA0)</t>
  </si>
  <si>
    <t>SIEMENS -SIMATIC DIGITAL OUTPUT MODULE (D0 16 X 24V DC /0.5 A ET 200SP) (6ES7132-6BH01-0BA0)</t>
  </si>
  <si>
    <t>SIEMENS ANALOG INPUT MODULE ET 200SP AI 4 X U 2WIRE ST ET200 SP</t>
  </si>
  <si>
    <t>SIEMENS -SIMATIC ANALOG OUTPUT MODULE 2AO/ST (6ES7135-4GB01-0AB0)</t>
  </si>
  <si>
    <t>SIEMENS SIMATIC ANALOG OUTPUT MODULE (AQ4 X U/I ST ET 200SP) (6ES7135 -6HD00-0BA1)</t>
  </si>
  <si>
    <t>SIEMENS POWER MODULE PM-E DC24 VST (6ES7138-4CA01-0AA0)</t>
  </si>
  <si>
    <t>SIEMENS SIMATIC BUS CONNECTOR PROFIBUS DP (6ES7972 0BA42-0XA0)</t>
  </si>
  <si>
    <t>SIEMENS ELECTRICAL SWITCH MODULE LTX LAN PORTS RJ45 (10/100 M BITS ,CLASS IP 20 -PROTOCOL (6GK5005-0BA001AB2)</t>
  </si>
  <si>
    <t>SIEMENS SITOP PSU 100L POWER SUPPLY DC 24V /10A (50HZ-60HZ)( AC-120/230V /4,1/2,0A 50-60HZ) (6EP1334-1LB00 YSU /K2100830)</t>
  </si>
  <si>
    <t>SIEMENS SITOP PSU 100L POWER SUPPLY DC24V/5A ,AC120/230V/2,1/1,15A/50-60 HZ (6EP133 -1LB00YSU/HD130538)</t>
  </si>
  <si>
    <t>SIEMENS (6ES79564-8LE03-0AA0) 12MB SIMATIC MEMORY CARD</t>
  </si>
  <si>
    <t>SIEMENS BASIC OPEARATOR PANEL (6SL3255-0AA00-4CA1-BOP-2)-DISPLAY</t>
  </si>
  <si>
    <t>SIEMENS BASIC OPEARATOR PANEL (6SL3055-0AA00-4BA0-BOP-20)-DISPLAY</t>
  </si>
  <si>
    <t>8 MM DRIVE SENSOR CABLE</t>
  </si>
  <si>
    <t>SIEMENS CENTRAL PROCESSING UNIT (CPU1510SP-1-PN) SINMATIC ET 200SP</t>
  </si>
  <si>
    <t>SIEMENS BASE UNITS 6ES7 193 -6BP00-0BA0 ,PRODUCT NO: 4200918239 ,ET -200SP</t>
  </si>
  <si>
    <t>SIEMENS BASE UNITS 6ES7 193 -6BP00-0DA0 ,ET -200SP</t>
  </si>
  <si>
    <t>SIMATIC BUS CONNECTORS ,RJ 45 CONNECTORS (6GK1901-1BB10-2AB0)</t>
  </si>
  <si>
    <t>SIEMENS SERVER MODULE 6ES7193-6PA00-0AA0 SINMATIC ET ,POI NO: 4200936678</t>
  </si>
  <si>
    <t>SIMATIC INTERFACE MODULE IM151-1 STANDARD (6ES7151 1CA00-0AB0)</t>
  </si>
  <si>
    <t>SIEMENS SINAMICS CONTROL UNIT CUA31 Ta 0 to 55 C 24VDC 0.6A (6SL3040-0PA01-0AA0) -OLD</t>
  </si>
  <si>
    <t>DRIVE CLIQ CABLE (6SL30604AF100AA0) 1 CABLE-3 MTRS</t>
  </si>
  <si>
    <t>SINAMICS CONTROL UNIT CU 230-2 DP ,(6SL3040-1MA00-0AA0) TA 0 TO 55 CENTRIGRADE SUPPLY 24VDC 6.5 A ,DIGITAL OUTPUT 24VDC 0.5 A</t>
  </si>
  <si>
    <t>6ES7512-1DM03-0AB0</t>
  </si>
  <si>
    <t>6ES7954-8LC040 -0AA0- MEMORY CARD</t>
  </si>
  <si>
    <t>6AV21232GB030AX0-KTP700 HMI SIEMENS Basic panel</t>
  </si>
  <si>
    <t>6ES72141AG400XB0 -CPU 1214C -SIEMENS CPU MODULE</t>
  </si>
  <si>
    <t>6ES72344HE320XB0 -SB 1234 4 AI/2 AO -SIEMENS ANALOG IP/OP</t>
  </si>
  <si>
    <t>6XV18300EH10 -PROFIBUS CABLE SIEMENS 100 MTR</t>
  </si>
  <si>
    <t>6XV18402AH10 -PROFINET CABLE SIEMENS 100 MTR</t>
  </si>
  <si>
    <t>VFD DRIVE /FREQUENCY CONVERTER 6SL32101PE311UL0- PM240-2 , 45kW -Siemens (G120 POWER MODULE PM240-2 45kW (CT)</t>
  </si>
  <si>
    <t>VFD DRIVE /FREQUENCY CONVERTER 6SL32101PE315UL0- PM240-2 , 55kW -Siemens (G120 POWER MODULE PM240-2 55kW (CT)</t>
  </si>
  <si>
    <t>VFD DRIVE /FREQUENCY CONVERTER 6SL32101PE245UL0- PM240-2 , 18.5kW -Siemens (G120 POWER MODULE PM240-2 18.5kW</t>
  </si>
  <si>
    <t>6SL3054 -0FC31-1BA0 -SIEMENS PLC (FlASH CARD)</t>
  </si>
  <si>
    <t>6SL30550AA004BA0 -BASIC OPERATOR PANEL SIEMENS (BOP-20)</t>
  </si>
  <si>
    <t>6SL30550AA005CA2- SMC30 -SIEMENS (SENCER MODULE)</t>
  </si>
  <si>
    <t>6SL32440BB121FA0 -CU240 E-2 PN CONTROL UNIT ( CU240E-2)</t>
  </si>
  <si>
    <t>6ES75455DA000AB0 -200SP CM DPU CPU MODULE SIEMENS (CM PROFIBUS DP) COMMUNICATION MODULE</t>
  </si>
  <si>
    <t>SCHNEIDER EMS -SUPPLY (CORE I5 12TH GEN ,16 GB RAM,512 GB SSD ,22" SCREEN ,KBD &amp; MOUSE WIN 110 PRO WITH 3 YEARS WARRANTY (5 - MURR RJ45 CABLE -5 MTRS ,6 -SCALNCE SWITCH 8 PORT ,MAKE: MURR) SCHNEIDER MONITORING SOFTWARE 25DL )</t>
  </si>
  <si>
    <t>6SL 3210 PE 325 UL0 -PM 240--2 ,110 KW ,VFD -SIEMENS ,G120 POWER MODULE 110 KW (CT) VARIABLE FREQUENCY DRIVE</t>
  </si>
  <si>
    <t>FR-D740-036-E16 1.5 KW/2 HP. ,,SI NO: (C5504J082,C5504J094),MAKE MITUSBISHI</t>
  </si>
  <si>
    <t>SWITCH MODE POWER SUPPLY ART NO: 85135(MURR ELEKTRONIK)</t>
  </si>
  <si>
    <t>PROGRAM MMABLE CONTROLLER S.NO 22YO53696 (MITSUBISHI MODEL :- FX5U-32MT/ES)</t>
  </si>
  <si>
    <t>CONTROL UNITE ADAPTER CUA32 (6SL3040 OPA01)</t>
  </si>
  <si>
    <t>FERQUENCY CONVERTER EQUIMENT/CONTROL UNIT (CU320-2PN TA 0 TO 55C SUPPLY 24 VDL 6.5A DIGITAL OUTPUTS 24VDC, 0.5 A) MODEL:-65L304-IMA01-OAA0</t>
  </si>
  <si>
    <t>CONTACTOR STOCK AUGUST-2026</t>
  </si>
  <si>
    <t>RELAY STOCK AUGUST-2026</t>
  </si>
  <si>
    <t>MCB STOCK AUGUST-2026</t>
  </si>
  <si>
    <t>ELECTRICAL GENERAL STOCK AUGUST-2026</t>
  </si>
  <si>
    <t>SIEMENS VFD SPARES AUGUST-2026</t>
  </si>
  <si>
    <t>PHY QTY</t>
  </si>
  <si>
    <t>ELEG0085</t>
  </si>
  <si>
    <t>ELE HAND HALF (RUBBER) SET</t>
  </si>
  <si>
    <t>SIEMENS CIRCUIT BREAKER 1.6 (3RV6011-1AA10)</t>
  </si>
  <si>
    <t>SIEMENS SIGNALLING SWITCH (3RV 2921-1M)</t>
  </si>
  <si>
    <t>SIEMENS CONTACTOR (3RT2016-1 PU1-8K) 9A,400, 4KW (A5E51557269017)</t>
  </si>
  <si>
    <t>SIEMENS SIMATIES (57-1200) 6ES7 214-1HG40-ORBO CPU 1214C DC/DC/RLY</t>
  </si>
  <si>
    <t xml:space="preserve">ITEM CODE </t>
  </si>
  <si>
    <t>EVFD001</t>
  </si>
  <si>
    <t>EVFD002</t>
  </si>
  <si>
    <t>EVFD003</t>
  </si>
  <si>
    <t>EVFD004</t>
  </si>
  <si>
    <t>EVFD005</t>
  </si>
  <si>
    <t>EVFD006</t>
  </si>
  <si>
    <t>EVFD007</t>
  </si>
  <si>
    <t>EVFD008</t>
  </si>
  <si>
    <t>EVFD009</t>
  </si>
  <si>
    <t>EVFD010</t>
  </si>
  <si>
    <t>EVFD011</t>
  </si>
  <si>
    <t>EVFD012</t>
  </si>
  <si>
    <t>EVFD013</t>
  </si>
  <si>
    <t>EVFD014</t>
  </si>
  <si>
    <t>EVFD015</t>
  </si>
  <si>
    <t>EVFD016</t>
  </si>
  <si>
    <t>EVFD017</t>
  </si>
  <si>
    <t>EVFD018</t>
  </si>
  <si>
    <t>EVFD019</t>
  </si>
  <si>
    <t>EVFD020</t>
  </si>
  <si>
    <t>EVFD021</t>
  </si>
  <si>
    <t>EVFD022</t>
  </si>
  <si>
    <t>EVFD023</t>
  </si>
  <si>
    <t>EVFD024</t>
  </si>
  <si>
    <t>EVFD025</t>
  </si>
  <si>
    <t>EVFD026</t>
  </si>
  <si>
    <t>EVFD027</t>
  </si>
  <si>
    <t>EVFD028</t>
  </si>
  <si>
    <t>EVFD029</t>
  </si>
  <si>
    <t>EVFD030</t>
  </si>
  <si>
    <t>EVFD031</t>
  </si>
  <si>
    <t>EVFD032</t>
  </si>
  <si>
    <t>EVFD033</t>
  </si>
  <si>
    <t>EVFD034</t>
  </si>
  <si>
    <t>EVFD035</t>
  </si>
  <si>
    <t>EVFD036</t>
  </si>
  <si>
    <t>EVFD037</t>
  </si>
  <si>
    <t>EVFD038</t>
  </si>
  <si>
    <t>EVFD039</t>
  </si>
  <si>
    <t>EVFD040</t>
  </si>
  <si>
    <t>EVFD041</t>
  </si>
  <si>
    <t>EVFD042</t>
  </si>
  <si>
    <t>EVFD043</t>
  </si>
  <si>
    <t>EVFD044</t>
  </si>
  <si>
    <t>EVFD045</t>
  </si>
  <si>
    <t>EVFD046</t>
  </si>
  <si>
    <t>EVFD047</t>
  </si>
  <si>
    <t>EVFD048</t>
  </si>
  <si>
    <t>EVFD049</t>
  </si>
  <si>
    <t>EVFD050</t>
  </si>
  <si>
    <t>EVFD051</t>
  </si>
  <si>
    <t>EVFD052</t>
  </si>
  <si>
    <t>EVFD053</t>
  </si>
  <si>
    <t>EVFD054</t>
  </si>
  <si>
    <t>EVFD055</t>
  </si>
  <si>
    <t>ELEG0086</t>
  </si>
  <si>
    <t>20 W LED BULB</t>
  </si>
  <si>
    <t>EVFD056</t>
  </si>
  <si>
    <t>SINAMICS CONTROL UNIT CU 240E-2 6SL3244-OBB12-13A1</t>
  </si>
  <si>
    <t>EVFD057</t>
  </si>
  <si>
    <t>SWITCH MODE POWER SUPPLY ART NO: 58812 (MURR ELEKTRONIK)</t>
  </si>
  <si>
    <t>ELEG0087</t>
  </si>
  <si>
    <t>10 K POTENTIOAL METER</t>
  </si>
  <si>
    <t>EVFD058</t>
  </si>
  <si>
    <t>SIMENS DRIVE CLIQ CABLE (6SL30604AF100AA0)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</si>
</sst>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Times New Roman"/>
      <family val="1"/>
    </font>
    <font>
      <u/>
      <sz val="11"/>
      <color theme="10"/>
      <name val="Calibri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theme="1"/>
      <name val="Times New Roman"/>
      <family val="1"/>
    </font>
    <font>
      <sz val="12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5" fillId="0" borderId="1" xfId="1" applyFont="1" applyFill="1" applyBorder="1" applyAlignment="1" applyProtection="1">
      <alignment horizontal="center" vertical="center"/>
    </xf>
    <xf numFmtId="0" fontId="5" fillId="0" borderId="1" xfId="1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15" fillId="0" borderId="1" xfId="1" applyFont="1" applyFill="1" applyBorder="1" applyAlignment="1" applyProtection="1">
      <alignment horizontal="center" vertical="center"/>
    </xf>
    <xf numFmtId="0" fontId="15" fillId="0" borderId="1" xfId="1" applyFont="1" applyFill="1" applyBorder="1" applyAlignment="1" applyProtection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4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6" fillId="0" borderId="2" xfId="0" applyFont="1" applyFill="1" applyBorder="1" applyAlignment="1">
      <alignment horizontal="left" vertical="center"/>
    </xf>
    <xf numFmtId="0" fontId="16" fillId="0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" fillId="0" borderId="0" xfId="0" applyFont="1" applyAlignment="1"/>
    <xf numFmtId="0" fontId="1" fillId="0" borderId="3" xfId="0" applyFont="1" applyBorder="1" applyAlignment="1">
      <alignment vertical="center"/>
    </xf>
    <xf numFmtId="0" fontId="1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7" fillId="0" borderId="0" xfId="0" applyFont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19" fillId="2" borderId="1" xfId="1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wrapText="1"/>
    </xf>
    <xf numFmtId="0" fontId="17" fillId="0" borderId="0" xfId="0" applyFont="1"/>
    <xf numFmtId="0" fontId="17" fillId="0" borderId="3" xfId="0" applyFont="1" applyBorder="1" applyAlignment="1">
      <alignment horizontal="center"/>
    </xf>
    <xf numFmtId="0" fontId="21" fillId="0" borderId="1" xfId="1" applyFont="1" applyFill="1" applyBorder="1" applyAlignment="1" applyProtection="1">
      <alignment horizontal="center" vertical="center"/>
    </xf>
    <xf numFmtId="0" fontId="21" fillId="0" borderId="1" xfId="1" applyFont="1" applyFill="1" applyBorder="1" applyAlignment="1" applyProtection="1">
      <alignment horizontal="center" vertical="center" wrapText="1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/>
    </xf>
    <xf numFmtId="0" fontId="17" fillId="0" borderId="1" xfId="0" applyFont="1" applyFill="1" applyBorder="1"/>
    <xf numFmtId="0" fontId="17" fillId="0" borderId="1" xfId="0" applyFont="1" applyBorder="1"/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s.no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s.no/" TargetMode="Externa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s.no/" TargetMode="Externa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40"/>
  <sheetViews>
    <sheetView topLeftCell="A7" workbookViewId="0">
      <selection activeCell="C7" sqref="C7"/>
    </sheetView>
  </sheetViews>
  <sheetFormatPr defaultRowHeight="11.25"/>
  <cols>
    <col min="1" max="1" width="5.42578125" style="18" bestFit="1" customWidth="1"/>
    <col min="2" max="2" width="7.7109375" style="18" customWidth="1"/>
    <col min="3" max="3" width="67.85546875" style="18" customWidth="1"/>
    <col min="4" max="4" width="9.5703125" style="18" customWidth="1"/>
    <col min="5" max="5" width="6.7109375" style="41" customWidth="1"/>
    <col min="6" max="6" width="8" style="18" customWidth="1"/>
    <col min="7" max="7" width="5.5703125" style="18" customWidth="1"/>
    <col min="8" max="8" width="8.7109375" style="42" bestFit="1" customWidth="1"/>
    <col min="9" max="16384" width="9.140625" style="18"/>
  </cols>
  <sheetData>
    <row r="2" spans="1:8">
      <c r="A2" s="79" t="s">
        <v>398</v>
      </c>
      <c r="B2" s="79"/>
      <c r="C2" s="79"/>
      <c r="D2" s="79"/>
      <c r="E2" s="79"/>
    </row>
    <row r="3" spans="1:8">
      <c r="A3" s="19"/>
      <c r="B3" s="19"/>
      <c r="C3" s="19"/>
      <c r="D3" s="19"/>
      <c r="E3" s="44"/>
      <c r="F3" s="80"/>
      <c r="G3" s="80"/>
      <c r="H3" s="80"/>
    </row>
    <row r="4" spans="1:8" s="25" customFormat="1" ht="21">
      <c r="A4" s="20" t="s">
        <v>276</v>
      </c>
      <c r="B4" s="21" t="s">
        <v>1</v>
      </c>
      <c r="C4" s="22" t="s">
        <v>277</v>
      </c>
      <c r="D4" s="22" t="s">
        <v>343</v>
      </c>
      <c r="E4" s="23" t="s">
        <v>45</v>
      </c>
      <c r="F4" s="24" t="s">
        <v>278</v>
      </c>
      <c r="G4" s="24" t="s">
        <v>279</v>
      </c>
      <c r="H4" s="24" t="s">
        <v>280</v>
      </c>
    </row>
    <row r="5" spans="1:8" ht="16.5" customHeight="1">
      <c r="A5" s="26">
        <v>1</v>
      </c>
      <c r="B5" s="27" t="s">
        <v>3</v>
      </c>
      <c r="C5" s="28" t="s">
        <v>287</v>
      </c>
      <c r="D5" s="28"/>
      <c r="E5" s="26">
        <v>3</v>
      </c>
      <c r="F5" s="30"/>
      <c r="G5" s="30"/>
      <c r="H5" s="43">
        <f>SUM(E5+F5)-G5</f>
        <v>3</v>
      </c>
    </row>
    <row r="6" spans="1:8" ht="16.5" customHeight="1">
      <c r="A6" s="26">
        <v>2</v>
      </c>
      <c r="B6" s="27" t="s">
        <v>4</v>
      </c>
      <c r="C6" s="28" t="s">
        <v>288</v>
      </c>
      <c r="D6" s="28"/>
      <c r="E6" s="26">
        <v>3</v>
      </c>
      <c r="F6" s="30"/>
      <c r="G6" s="30"/>
      <c r="H6" s="43">
        <f t="shared" ref="H6:H40" si="0">SUM(E6+F6)-G6</f>
        <v>3</v>
      </c>
    </row>
    <row r="7" spans="1:8" ht="16.5" customHeight="1">
      <c r="A7" s="26">
        <v>3</v>
      </c>
      <c r="B7" s="27" t="s">
        <v>5</v>
      </c>
      <c r="C7" s="28" t="s">
        <v>289</v>
      </c>
      <c r="D7" s="28"/>
      <c r="E7" s="26">
        <v>4</v>
      </c>
      <c r="F7" s="30"/>
      <c r="G7" s="30"/>
      <c r="H7" s="43">
        <f t="shared" si="0"/>
        <v>4</v>
      </c>
    </row>
    <row r="8" spans="1:8" ht="16.5" customHeight="1">
      <c r="A8" s="26">
        <v>4</v>
      </c>
      <c r="B8" s="27" t="s">
        <v>6</v>
      </c>
      <c r="C8" s="28" t="s">
        <v>7</v>
      </c>
      <c r="D8" s="28"/>
      <c r="E8" s="26">
        <v>2</v>
      </c>
      <c r="F8" s="30"/>
      <c r="G8" s="30"/>
      <c r="H8" s="43">
        <f t="shared" si="0"/>
        <v>2</v>
      </c>
    </row>
    <row r="9" spans="1:8" ht="16.5" customHeight="1">
      <c r="A9" s="26">
        <v>5</v>
      </c>
      <c r="B9" s="27" t="s">
        <v>8</v>
      </c>
      <c r="C9" s="28" t="s">
        <v>9</v>
      </c>
      <c r="D9" s="28"/>
      <c r="E9" s="26">
        <v>3</v>
      </c>
      <c r="F9" s="30"/>
      <c r="G9" s="30"/>
      <c r="H9" s="43">
        <f t="shared" si="0"/>
        <v>3</v>
      </c>
    </row>
    <row r="10" spans="1:8" ht="16.5" customHeight="1">
      <c r="A10" s="26">
        <v>6</v>
      </c>
      <c r="B10" s="27" t="s">
        <v>10</v>
      </c>
      <c r="C10" s="28" t="s">
        <v>11</v>
      </c>
      <c r="D10" s="28"/>
      <c r="E10" s="26">
        <v>4</v>
      </c>
      <c r="F10" s="30"/>
      <c r="G10" s="30"/>
      <c r="H10" s="43">
        <f t="shared" si="0"/>
        <v>4</v>
      </c>
    </row>
    <row r="11" spans="1:8" ht="16.5" customHeight="1">
      <c r="A11" s="26">
        <v>7</v>
      </c>
      <c r="B11" s="27" t="s">
        <v>12</v>
      </c>
      <c r="C11" s="28" t="s">
        <v>13</v>
      </c>
      <c r="D11" s="28"/>
      <c r="E11" s="26">
        <v>1</v>
      </c>
      <c r="F11" s="30"/>
      <c r="G11" s="30"/>
      <c r="H11" s="43">
        <f t="shared" si="0"/>
        <v>1</v>
      </c>
    </row>
    <row r="12" spans="1:8" ht="16.5" customHeight="1">
      <c r="A12" s="26">
        <v>8</v>
      </c>
      <c r="B12" s="27" t="s">
        <v>14</v>
      </c>
      <c r="C12" s="28" t="s">
        <v>15</v>
      </c>
      <c r="D12" s="28"/>
      <c r="E12" s="26">
        <v>3</v>
      </c>
      <c r="F12" s="30"/>
      <c r="G12" s="30"/>
      <c r="H12" s="43">
        <f t="shared" si="0"/>
        <v>3</v>
      </c>
    </row>
    <row r="13" spans="1:8" ht="16.5" customHeight="1">
      <c r="A13" s="26">
        <v>9</v>
      </c>
      <c r="B13" s="27" t="s">
        <v>16</v>
      </c>
      <c r="C13" s="28" t="s">
        <v>17</v>
      </c>
      <c r="D13" s="28"/>
      <c r="E13" s="26">
        <v>7</v>
      </c>
      <c r="F13" s="30"/>
      <c r="G13" s="30"/>
      <c r="H13" s="43">
        <f t="shared" si="0"/>
        <v>7</v>
      </c>
    </row>
    <row r="14" spans="1:8" ht="16.5" customHeight="1">
      <c r="A14" s="26">
        <v>10</v>
      </c>
      <c r="B14" s="27" t="s">
        <v>18</v>
      </c>
      <c r="C14" s="28" t="s">
        <v>19</v>
      </c>
      <c r="D14" s="28"/>
      <c r="E14" s="26">
        <v>2</v>
      </c>
      <c r="F14" s="30"/>
      <c r="G14" s="30"/>
      <c r="H14" s="43">
        <f t="shared" si="0"/>
        <v>2</v>
      </c>
    </row>
    <row r="15" spans="1:8" ht="16.5" customHeight="1">
      <c r="A15" s="26">
        <v>11</v>
      </c>
      <c r="B15" s="27" t="s">
        <v>20</v>
      </c>
      <c r="C15" s="28" t="s">
        <v>21</v>
      </c>
      <c r="D15" s="28"/>
      <c r="E15" s="26">
        <v>0</v>
      </c>
      <c r="F15" s="30"/>
      <c r="G15" s="30"/>
      <c r="H15" s="43">
        <f t="shared" si="0"/>
        <v>0</v>
      </c>
    </row>
    <row r="16" spans="1:8" ht="16.5" customHeight="1">
      <c r="A16" s="26">
        <v>12</v>
      </c>
      <c r="B16" s="27" t="s">
        <v>22</v>
      </c>
      <c r="C16" s="28" t="s">
        <v>23</v>
      </c>
      <c r="D16" s="28"/>
      <c r="E16" s="26">
        <v>0</v>
      </c>
      <c r="F16" s="30"/>
      <c r="G16" s="29"/>
      <c r="H16" s="43">
        <f t="shared" si="0"/>
        <v>0</v>
      </c>
    </row>
    <row r="17" spans="1:8" ht="16.5" customHeight="1">
      <c r="A17" s="26">
        <v>13</v>
      </c>
      <c r="B17" s="27" t="s">
        <v>24</v>
      </c>
      <c r="C17" s="28" t="s">
        <v>25</v>
      </c>
      <c r="D17" s="28"/>
      <c r="E17" s="26">
        <v>2</v>
      </c>
      <c r="F17" s="30"/>
      <c r="G17" s="30"/>
      <c r="H17" s="43">
        <f t="shared" si="0"/>
        <v>2</v>
      </c>
    </row>
    <row r="18" spans="1:8" ht="16.5" customHeight="1">
      <c r="A18" s="26">
        <v>14</v>
      </c>
      <c r="B18" s="27" t="s">
        <v>26</v>
      </c>
      <c r="C18" s="28" t="s">
        <v>27</v>
      </c>
      <c r="D18" s="28"/>
      <c r="E18" s="26">
        <v>4</v>
      </c>
      <c r="F18" s="30"/>
      <c r="G18" s="30"/>
      <c r="H18" s="43">
        <f t="shared" si="0"/>
        <v>4</v>
      </c>
    </row>
    <row r="19" spans="1:8" ht="16.5" customHeight="1">
      <c r="A19" s="26">
        <v>15</v>
      </c>
      <c r="B19" s="27" t="s">
        <v>28</v>
      </c>
      <c r="C19" s="31" t="s">
        <v>29</v>
      </c>
      <c r="D19" s="31"/>
      <c r="E19" s="32">
        <v>4</v>
      </c>
      <c r="F19" s="30"/>
      <c r="G19" s="30"/>
      <c r="H19" s="43">
        <f t="shared" si="0"/>
        <v>4</v>
      </c>
    </row>
    <row r="20" spans="1:8" ht="16.5" customHeight="1">
      <c r="A20" s="26">
        <v>16</v>
      </c>
      <c r="B20" s="27" t="s">
        <v>30</v>
      </c>
      <c r="C20" s="31" t="s">
        <v>257</v>
      </c>
      <c r="D20" s="31"/>
      <c r="E20" s="32">
        <v>2</v>
      </c>
      <c r="F20" s="30"/>
      <c r="G20" s="30"/>
      <c r="H20" s="43">
        <f t="shared" si="0"/>
        <v>2</v>
      </c>
    </row>
    <row r="21" spans="1:8" ht="16.5" customHeight="1">
      <c r="A21" s="26">
        <v>17</v>
      </c>
      <c r="B21" s="27" t="s">
        <v>31</v>
      </c>
      <c r="C21" s="31" t="s">
        <v>258</v>
      </c>
      <c r="D21" s="31"/>
      <c r="E21" s="32">
        <v>2</v>
      </c>
      <c r="F21" s="30"/>
      <c r="G21" s="30"/>
      <c r="H21" s="43">
        <f t="shared" si="0"/>
        <v>2</v>
      </c>
    </row>
    <row r="22" spans="1:8" ht="16.5" customHeight="1">
      <c r="A22" s="26">
        <v>18</v>
      </c>
      <c r="B22" s="27" t="s">
        <v>32</v>
      </c>
      <c r="C22" s="31" t="s">
        <v>259</v>
      </c>
      <c r="D22" s="31"/>
      <c r="E22" s="32">
        <v>1</v>
      </c>
      <c r="F22" s="30"/>
      <c r="G22" s="30"/>
      <c r="H22" s="43">
        <f t="shared" si="0"/>
        <v>1</v>
      </c>
    </row>
    <row r="23" spans="1:8" ht="16.5" customHeight="1">
      <c r="A23" s="26">
        <v>19</v>
      </c>
      <c r="B23" s="27" t="s">
        <v>33</v>
      </c>
      <c r="C23" s="31" t="s">
        <v>260</v>
      </c>
      <c r="D23" s="31"/>
      <c r="E23" s="32">
        <v>0</v>
      </c>
      <c r="F23" s="30"/>
      <c r="G23" s="30"/>
      <c r="H23" s="43">
        <f t="shared" si="0"/>
        <v>0</v>
      </c>
    </row>
    <row r="24" spans="1:8" ht="16.5" customHeight="1">
      <c r="A24" s="26">
        <v>20</v>
      </c>
      <c r="B24" s="27" t="s">
        <v>34</v>
      </c>
      <c r="C24" s="31" t="s">
        <v>261</v>
      </c>
      <c r="D24" s="31"/>
      <c r="E24" s="32">
        <v>0</v>
      </c>
      <c r="F24" s="30"/>
      <c r="G24" s="30"/>
      <c r="H24" s="43">
        <f t="shared" si="0"/>
        <v>0</v>
      </c>
    </row>
    <row r="25" spans="1:8" ht="16.5" customHeight="1">
      <c r="A25" s="26">
        <v>21</v>
      </c>
      <c r="B25" s="27" t="s">
        <v>35</v>
      </c>
      <c r="C25" s="28" t="s">
        <v>253</v>
      </c>
      <c r="D25" s="28"/>
      <c r="E25" s="26">
        <v>1</v>
      </c>
      <c r="F25" s="30"/>
      <c r="G25" s="30"/>
      <c r="H25" s="43">
        <f t="shared" si="0"/>
        <v>1</v>
      </c>
    </row>
    <row r="26" spans="1:8" ht="16.5" customHeight="1">
      <c r="A26" s="26">
        <v>22</v>
      </c>
      <c r="B26" s="27" t="s">
        <v>36</v>
      </c>
      <c r="C26" s="28" t="s">
        <v>254</v>
      </c>
      <c r="D26" s="28"/>
      <c r="E26" s="26">
        <v>2</v>
      </c>
      <c r="F26" s="30"/>
      <c r="G26" s="30"/>
      <c r="H26" s="43">
        <f t="shared" si="0"/>
        <v>2</v>
      </c>
    </row>
    <row r="27" spans="1:8" ht="16.5" customHeight="1">
      <c r="A27" s="26">
        <v>23</v>
      </c>
      <c r="B27" s="27" t="s">
        <v>37</v>
      </c>
      <c r="C27" s="28" t="s">
        <v>256</v>
      </c>
      <c r="D27" s="28"/>
      <c r="E27" s="26">
        <v>2</v>
      </c>
      <c r="F27" s="30"/>
      <c r="G27" s="30"/>
      <c r="H27" s="43">
        <f t="shared" si="0"/>
        <v>2</v>
      </c>
    </row>
    <row r="28" spans="1:8" ht="16.5" customHeight="1">
      <c r="A28" s="26">
        <v>24</v>
      </c>
      <c r="B28" s="27" t="s">
        <v>38</v>
      </c>
      <c r="C28" s="28" t="s">
        <v>255</v>
      </c>
      <c r="D28" s="28"/>
      <c r="E28" s="26">
        <v>2</v>
      </c>
      <c r="F28" s="30"/>
      <c r="G28" s="30"/>
      <c r="H28" s="43">
        <f t="shared" si="0"/>
        <v>2</v>
      </c>
    </row>
    <row r="29" spans="1:8" ht="16.5" customHeight="1">
      <c r="A29" s="26">
        <v>25</v>
      </c>
      <c r="B29" s="27" t="s">
        <v>39</v>
      </c>
      <c r="C29" s="33" t="s">
        <v>262</v>
      </c>
      <c r="D29" s="33"/>
      <c r="E29" s="34">
        <v>2</v>
      </c>
      <c r="F29" s="30"/>
      <c r="G29" s="30"/>
      <c r="H29" s="43">
        <f t="shared" si="0"/>
        <v>2</v>
      </c>
    </row>
    <row r="30" spans="1:8" ht="16.5" customHeight="1">
      <c r="A30" s="26">
        <v>26</v>
      </c>
      <c r="B30" s="27" t="s">
        <v>40</v>
      </c>
      <c r="C30" s="33" t="s">
        <v>263</v>
      </c>
      <c r="D30" s="33"/>
      <c r="E30" s="34">
        <v>4</v>
      </c>
      <c r="F30" s="30"/>
      <c r="G30" s="30"/>
      <c r="H30" s="43">
        <f t="shared" si="0"/>
        <v>4</v>
      </c>
    </row>
    <row r="31" spans="1:8" ht="16.5" customHeight="1">
      <c r="A31" s="26">
        <v>27</v>
      </c>
      <c r="B31" s="27" t="s">
        <v>41</v>
      </c>
      <c r="C31" s="33" t="s">
        <v>264</v>
      </c>
      <c r="D31" s="33"/>
      <c r="E31" s="34">
        <v>2</v>
      </c>
      <c r="F31" s="30"/>
      <c r="G31" s="30"/>
      <c r="H31" s="43">
        <f t="shared" si="0"/>
        <v>2</v>
      </c>
    </row>
    <row r="32" spans="1:8" ht="16.5" customHeight="1">
      <c r="A32" s="26">
        <v>28</v>
      </c>
      <c r="B32" s="27" t="s">
        <v>42</v>
      </c>
      <c r="C32" s="33" t="s">
        <v>265</v>
      </c>
      <c r="D32" s="33"/>
      <c r="E32" s="34">
        <v>1</v>
      </c>
      <c r="F32" s="30"/>
      <c r="G32" s="30"/>
      <c r="H32" s="43">
        <f t="shared" si="0"/>
        <v>1</v>
      </c>
    </row>
    <row r="33" spans="1:8" ht="16.5" customHeight="1">
      <c r="A33" s="26">
        <v>29</v>
      </c>
      <c r="B33" s="27" t="s">
        <v>43</v>
      </c>
      <c r="C33" s="33" t="s">
        <v>266</v>
      </c>
      <c r="D33" s="33"/>
      <c r="E33" s="34">
        <v>1</v>
      </c>
      <c r="F33" s="30"/>
      <c r="G33" s="30"/>
      <c r="H33" s="43">
        <f t="shared" si="0"/>
        <v>1</v>
      </c>
    </row>
    <row r="34" spans="1:8" ht="16.5" customHeight="1">
      <c r="A34" s="35">
        <v>30</v>
      </c>
      <c r="B34" s="36" t="s">
        <v>44</v>
      </c>
      <c r="C34" s="37" t="s">
        <v>268</v>
      </c>
      <c r="D34" s="37"/>
      <c r="E34" s="38">
        <v>1</v>
      </c>
      <c r="F34" s="30"/>
      <c r="G34" s="30"/>
      <c r="H34" s="43">
        <f t="shared" si="0"/>
        <v>1</v>
      </c>
    </row>
    <row r="35" spans="1:8" ht="16.5" customHeight="1">
      <c r="A35" s="39">
        <v>31</v>
      </c>
      <c r="B35" s="39" t="s">
        <v>142</v>
      </c>
      <c r="C35" s="40" t="s">
        <v>267</v>
      </c>
      <c r="D35" s="40"/>
      <c r="E35" s="39">
        <v>1</v>
      </c>
      <c r="F35" s="30"/>
      <c r="G35" s="30"/>
      <c r="H35" s="43">
        <f t="shared" si="0"/>
        <v>1</v>
      </c>
    </row>
    <row r="36" spans="1:8" ht="16.5" customHeight="1">
      <c r="A36" s="39">
        <v>32</v>
      </c>
      <c r="B36" s="39" t="s">
        <v>143</v>
      </c>
      <c r="C36" s="40" t="s">
        <v>144</v>
      </c>
      <c r="D36" s="40"/>
      <c r="E36" s="39">
        <v>3</v>
      </c>
      <c r="F36" s="30"/>
      <c r="G36" s="30"/>
      <c r="H36" s="43">
        <f t="shared" si="0"/>
        <v>3</v>
      </c>
    </row>
    <row r="37" spans="1:8" ht="16.5" customHeight="1">
      <c r="A37" s="39">
        <v>33</v>
      </c>
      <c r="B37" s="39" t="s">
        <v>145</v>
      </c>
      <c r="C37" s="40" t="s">
        <v>146</v>
      </c>
      <c r="D37" s="40"/>
      <c r="E37" s="39">
        <v>1</v>
      </c>
      <c r="F37" s="30"/>
      <c r="G37" s="30"/>
      <c r="H37" s="43">
        <f t="shared" si="0"/>
        <v>1</v>
      </c>
    </row>
    <row r="38" spans="1:8" ht="16.5" customHeight="1">
      <c r="A38" s="39">
        <v>34</v>
      </c>
      <c r="B38" s="39" t="s">
        <v>148</v>
      </c>
      <c r="C38" s="40" t="s">
        <v>152</v>
      </c>
      <c r="D38" s="40"/>
      <c r="E38" s="39">
        <v>1</v>
      </c>
      <c r="F38" s="30"/>
      <c r="G38" s="30"/>
      <c r="H38" s="43">
        <f t="shared" si="0"/>
        <v>1</v>
      </c>
    </row>
    <row r="39" spans="1:8" ht="16.5" customHeight="1">
      <c r="A39" s="39">
        <v>35</v>
      </c>
      <c r="B39" s="26" t="s">
        <v>149</v>
      </c>
      <c r="C39" s="27" t="s">
        <v>269</v>
      </c>
      <c r="D39" s="27"/>
      <c r="E39" s="26">
        <v>2</v>
      </c>
      <c r="F39" s="30"/>
      <c r="G39" s="30"/>
      <c r="H39" s="43">
        <f t="shared" si="0"/>
        <v>2</v>
      </c>
    </row>
    <row r="40" spans="1:8" ht="16.5" customHeight="1">
      <c r="A40" s="39">
        <v>36</v>
      </c>
      <c r="B40" s="26" t="s">
        <v>150</v>
      </c>
      <c r="C40" s="27" t="s">
        <v>151</v>
      </c>
      <c r="D40" s="27"/>
      <c r="E40" s="26">
        <v>1</v>
      </c>
      <c r="F40" s="30"/>
      <c r="G40" s="30"/>
      <c r="H40" s="43">
        <f t="shared" si="0"/>
        <v>1</v>
      </c>
    </row>
  </sheetData>
  <mergeCells count="2">
    <mergeCell ref="A2:E2"/>
    <mergeCell ref="F3:H3"/>
  </mergeCells>
  <hyperlinks>
    <hyperlink ref="A4" r:id="rId1" display="http://s.no/"/>
  </hyperlinks>
  <pageMargins left="0.33" right="0.7" top="0.75" bottom="0.41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>
      <selection activeCell="C6" sqref="C6"/>
    </sheetView>
  </sheetViews>
  <sheetFormatPr defaultRowHeight="15"/>
  <cols>
    <col min="1" max="1" width="5.28515625" style="1" customWidth="1"/>
    <col min="2" max="2" width="8" customWidth="1"/>
    <col min="3" max="3" width="67.42578125" bestFit="1" customWidth="1"/>
    <col min="4" max="4" width="10.85546875" customWidth="1"/>
    <col min="5" max="5" width="11.85546875" style="1" customWidth="1"/>
    <col min="6" max="6" width="8.42578125" customWidth="1"/>
    <col min="7" max="7" width="6" customWidth="1"/>
    <col min="8" max="8" width="9" bestFit="1" customWidth="1"/>
  </cols>
  <sheetData>
    <row r="1" spans="1:8" ht="15" customHeight="1">
      <c r="A1" s="81" t="s">
        <v>399</v>
      </c>
      <c r="B1" s="81"/>
      <c r="C1" s="81"/>
    </row>
    <row r="2" spans="1:8" ht="15.75">
      <c r="A2" s="51"/>
      <c r="B2" s="51"/>
      <c r="C2" s="51"/>
      <c r="D2" s="50"/>
      <c r="E2" s="50"/>
    </row>
    <row r="3" spans="1:8" ht="24">
      <c r="A3" s="6" t="s">
        <v>276</v>
      </c>
      <c r="B3" s="7" t="s">
        <v>1</v>
      </c>
      <c r="C3" s="8" t="s">
        <v>277</v>
      </c>
      <c r="D3" s="8" t="s">
        <v>343</v>
      </c>
      <c r="E3" s="9" t="s">
        <v>45</v>
      </c>
      <c r="F3" s="10" t="s">
        <v>278</v>
      </c>
      <c r="G3" s="10" t="s">
        <v>279</v>
      </c>
      <c r="H3" s="10" t="s">
        <v>280</v>
      </c>
    </row>
    <row r="4" spans="1:8" ht="21.75" customHeight="1">
      <c r="A4" s="3">
        <v>1</v>
      </c>
      <c r="B4" s="4" t="s">
        <v>46</v>
      </c>
      <c r="C4" s="5" t="s">
        <v>47</v>
      </c>
      <c r="D4" s="5"/>
      <c r="E4" s="2">
        <v>2</v>
      </c>
      <c r="F4" s="11"/>
      <c r="G4" s="11"/>
      <c r="H4" s="11">
        <f>SUM(E4+F4)-G4</f>
        <v>2</v>
      </c>
    </row>
    <row r="5" spans="1:8" ht="21.75" customHeight="1">
      <c r="A5" s="3">
        <v>2</v>
      </c>
      <c r="B5" s="4" t="s">
        <v>48</v>
      </c>
      <c r="C5" s="5" t="s">
        <v>49</v>
      </c>
      <c r="D5" s="5"/>
      <c r="E5" s="2">
        <v>2</v>
      </c>
      <c r="F5" s="11"/>
      <c r="G5" s="11"/>
      <c r="H5" s="11">
        <f t="shared" ref="H5:H28" si="0">SUM(E5+F5)-G5</f>
        <v>2</v>
      </c>
    </row>
    <row r="6" spans="1:8" ht="21.75" customHeight="1">
      <c r="A6" s="3">
        <v>3</v>
      </c>
      <c r="B6" s="4" t="s">
        <v>50</v>
      </c>
      <c r="C6" s="5" t="s">
        <v>51</v>
      </c>
      <c r="D6" s="5"/>
      <c r="E6" s="2">
        <v>3</v>
      </c>
      <c r="F6" s="11"/>
      <c r="G6" s="11"/>
      <c r="H6" s="11">
        <f t="shared" si="0"/>
        <v>3</v>
      </c>
    </row>
    <row r="7" spans="1:8" ht="21.75" customHeight="1">
      <c r="A7" s="3">
        <v>4</v>
      </c>
      <c r="B7" s="4" t="s">
        <v>52</v>
      </c>
      <c r="C7" s="5" t="s">
        <v>53</v>
      </c>
      <c r="D7" s="5"/>
      <c r="E7" s="2">
        <v>1</v>
      </c>
      <c r="F7" s="11"/>
      <c r="G7" s="11"/>
      <c r="H7" s="11">
        <f t="shared" si="0"/>
        <v>1</v>
      </c>
    </row>
    <row r="8" spans="1:8" ht="21.75" customHeight="1">
      <c r="A8" s="3">
        <v>5</v>
      </c>
      <c r="B8" s="4" t="s">
        <v>54</v>
      </c>
      <c r="C8" s="5" t="s">
        <v>55</v>
      </c>
      <c r="D8" s="5"/>
      <c r="E8" s="2">
        <v>1</v>
      </c>
      <c r="F8" s="11"/>
      <c r="G8" s="11"/>
      <c r="H8" s="11">
        <f t="shared" si="0"/>
        <v>1</v>
      </c>
    </row>
    <row r="9" spans="1:8" ht="21.75" customHeight="1">
      <c r="A9" s="3">
        <v>6</v>
      </c>
      <c r="B9" s="4" t="s">
        <v>56</v>
      </c>
      <c r="C9" s="5" t="s">
        <v>57</v>
      </c>
      <c r="D9" s="5"/>
      <c r="E9" s="2">
        <v>1</v>
      </c>
      <c r="F9" s="11"/>
      <c r="G9" s="11"/>
      <c r="H9" s="11">
        <f t="shared" si="0"/>
        <v>1</v>
      </c>
    </row>
    <row r="10" spans="1:8" ht="21.75" customHeight="1">
      <c r="A10" s="3">
        <v>7</v>
      </c>
      <c r="B10" s="4" t="s">
        <v>58</v>
      </c>
      <c r="C10" s="5" t="s">
        <v>92</v>
      </c>
      <c r="D10" s="5"/>
      <c r="E10" s="2">
        <v>0</v>
      </c>
      <c r="F10" s="11"/>
      <c r="G10" s="11"/>
      <c r="H10" s="11">
        <f t="shared" si="0"/>
        <v>0</v>
      </c>
    </row>
    <row r="11" spans="1:8" ht="21.75" customHeight="1">
      <c r="A11" s="3">
        <v>8</v>
      </c>
      <c r="B11" s="4" t="s">
        <v>60</v>
      </c>
      <c r="C11" s="5" t="s">
        <v>59</v>
      </c>
      <c r="D11" s="5"/>
      <c r="E11" s="2">
        <v>6</v>
      </c>
      <c r="F11" s="11"/>
      <c r="G11" s="11"/>
      <c r="H11" s="11">
        <f t="shared" si="0"/>
        <v>6</v>
      </c>
    </row>
    <row r="12" spans="1:8" ht="21.75" customHeight="1">
      <c r="A12" s="3">
        <v>9</v>
      </c>
      <c r="B12" s="4" t="s">
        <v>62</v>
      </c>
      <c r="C12" s="5" t="s">
        <v>61</v>
      </c>
      <c r="D12" s="5"/>
      <c r="E12" s="2">
        <v>0</v>
      </c>
      <c r="F12" s="11"/>
      <c r="G12" s="11"/>
      <c r="H12" s="11">
        <f t="shared" si="0"/>
        <v>0</v>
      </c>
    </row>
    <row r="13" spans="1:8" ht="21.75" customHeight="1">
      <c r="A13" s="3">
        <v>10</v>
      </c>
      <c r="B13" s="4" t="s">
        <v>64</v>
      </c>
      <c r="C13" s="5" t="s">
        <v>63</v>
      </c>
      <c r="D13" s="5"/>
      <c r="E13" s="2">
        <v>4</v>
      </c>
      <c r="F13" s="11"/>
      <c r="G13" s="11"/>
      <c r="H13" s="11">
        <f t="shared" si="0"/>
        <v>4</v>
      </c>
    </row>
    <row r="14" spans="1:8" ht="21.75" customHeight="1">
      <c r="A14" s="3">
        <v>11</v>
      </c>
      <c r="B14" s="4" t="s">
        <v>66</v>
      </c>
      <c r="C14" s="5" t="s">
        <v>65</v>
      </c>
      <c r="D14" s="5"/>
      <c r="E14" s="2">
        <v>5</v>
      </c>
      <c r="F14" s="11"/>
      <c r="G14" s="11"/>
      <c r="H14" s="11">
        <f t="shared" si="0"/>
        <v>5</v>
      </c>
    </row>
    <row r="15" spans="1:8" ht="21.75" customHeight="1">
      <c r="A15" s="3">
        <v>12</v>
      </c>
      <c r="B15" s="4" t="s">
        <v>68</v>
      </c>
      <c r="C15" s="5" t="s">
        <v>67</v>
      </c>
      <c r="D15" s="5"/>
      <c r="E15" s="2">
        <v>0</v>
      </c>
      <c r="F15" s="11"/>
      <c r="G15" s="11"/>
      <c r="H15" s="11">
        <f t="shared" si="0"/>
        <v>0</v>
      </c>
    </row>
    <row r="16" spans="1:8" ht="21.75" customHeight="1">
      <c r="A16" s="3">
        <v>13</v>
      </c>
      <c r="B16" s="4" t="s">
        <v>70</v>
      </c>
      <c r="C16" s="5" t="s">
        <v>69</v>
      </c>
      <c r="D16" s="5"/>
      <c r="E16" s="2">
        <v>2</v>
      </c>
      <c r="F16" s="11"/>
      <c r="G16" s="11"/>
      <c r="H16" s="11">
        <f t="shared" si="0"/>
        <v>2</v>
      </c>
    </row>
    <row r="17" spans="1:8" ht="21.75" customHeight="1">
      <c r="A17" s="3">
        <v>14</v>
      </c>
      <c r="B17" s="4" t="s">
        <v>72</v>
      </c>
      <c r="C17" s="5" t="s">
        <v>71</v>
      </c>
      <c r="D17" s="5"/>
      <c r="E17" s="2">
        <v>1</v>
      </c>
      <c r="F17" s="11"/>
      <c r="G17" s="11"/>
      <c r="H17" s="11">
        <f t="shared" si="0"/>
        <v>1</v>
      </c>
    </row>
    <row r="18" spans="1:8" ht="21.75" customHeight="1">
      <c r="A18" s="3">
        <v>15</v>
      </c>
      <c r="B18" s="4" t="s">
        <v>74</v>
      </c>
      <c r="C18" s="5" t="s">
        <v>73</v>
      </c>
      <c r="D18" s="5"/>
      <c r="E18" s="2">
        <v>2</v>
      </c>
      <c r="F18" s="11"/>
      <c r="G18" s="11"/>
      <c r="H18" s="11">
        <f t="shared" si="0"/>
        <v>2</v>
      </c>
    </row>
    <row r="19" spans="1:8" ht="21.75" customHeight="1">
      <c r="A19" s="3">
        <v>16</v>
      </c>
      <c r="B19" s="4" t="s">
        <v>76</v>
      </c>
      <c r="C19" s="5" t="s">
        <v>75</v>
      </c>
      <c r="D19" s="5"/>
      <c r="E19" s="2">
        <v>2</v>
      </c>
      <c r="F19" s="11"/>
      <c r="G19" s="11"/>
      <c r="H19" s="11">
        <f t="shared" si="0"/>
        <v>2</v>
      </c>
    </row>
    <row r="20" spans="1:8" ht="21.75" customHeight="1">
      <c r="A20" s="3">
        <v>17</v>
      </c>
      <c r="B20" s="4" t="s">
        <v>78</v>
      </c>
      <c r="C20" s="5" t="s">
        <v>77</v>
      </c>
      <c r="D20" s="5"/>
      <c r="E20" s="2">
        <v>0</v>
      </c>
      <c r="F20" s="11"/>
      <c r="G20" s="11"/>
      <c r="H20" s="11">
        <f t="shared" si="0"/>
        <v>0</v>
      </c>
    </row>
    <row r="21" spans="1:8" ht="21.75" customHeight="1">
      <c r="A21" s="3">
        <v>18</v>
      </c>
      <c r="B21" s="4" t="s">
        <v>80</v>
      </c>
      <c r="C21" s="5" t="s">
        <v>79</v>
      </c>
      <c r="D21" s="5"/>
      <c r="E21" s="2">
        <v>1</v>
      </c>
      <c r="F21" s="11"/>
      <c r="G21" s="11"/>
      <c r="H21" s="11">
        <f t="shared" si="0"/>
        <v>1</v>
      </c>
    </row>
    <row r="22" spans="1:8" ht="21.75" customHeight="1">
      <c r="A22" s="3">
        <v>19</v>
      </c>
      <c r="B22" s="4" t="s">
        <v>82</v>
      </c>
      <c r="C22" s="5" t="s">
        <v>81</v>
      </c>
      <c r="D22" s="5"/>
      <c r="E22" s="2">
        <v>1</v>
      </c>
      <c r="F22" s="11"/>
      <c r="G22" s="11"/>
      <c r="H22" s="11">
        <f t="shared" si="0"/>
        <v>1</v>
      </c>
    </row>
    <row r="23" spans="1:8" ht="21.75" customHeight="1">
      <c r="A23" s="3">
        <v>20</v>
      </c>
      <c r="B23" s="4" t="s">
        <v>84</v>
      </c>
      <c r="C23" s="5" t="s">
        <v>83</v>
      </c>
      <c r="D23" s="5"/>
      <c r="E23" s="2">
        <v>1</v>
      </c>
      <c r="F23" s="11"/>
      <c r="G23" s="11"/>
      <c r="H23" s="11">
        <f t="shared" si="0"/>
        <v>1</v>
      </c>
    </row>
    <row r="24" spans="1:8" ht="21.75" customHeight="1">
      <c r="A24" s="3">
        <v>21</v>
      </c>
      <c r="B24" s="4" t="s">
        <v>86</v>
      </c>
      <c r="C24" s="5" t="s">
        <v>85</v>
      </c>
      <c r="D24" s="5"/>
      <c r="E24" s="2">
        <v>2</v>
      </c>
      <c r="F24" s="11"/>
      <c r="G24" s="11"/>
      <c r="H24" s="11">
        <f t="shared" si="0"/>
        <v>2</v>
      </c>
    </row>
    <row r="25" spans="1:8" ht="21.75" customHeight="1">
      <c r="A25" s="3">
        <v>22</v>
      </c>
      <c r="B25" s="4" t="s">
        <v>88</v>
      </c>
      <c r="C25" s="5" t="s">
        <v>87</v>
      </c>
      <c r="D25" s="5"/>
      <c r="E25" s="2">
        <v>2</v>
      </c>
      <c r="F25" s="11"/>
      <c r="G25" s="11"/>
      <c r="H25" s="11">
        <f t="shared" si="0"/>
        <v>2</v>
      </c>
    </row>
    <row r="26" spans="1:8" ht="21.75" customHeight="1">
      <c r="A26" s="3">
        <v>23</v>
      </c>
      <c r="B26" s="4" t="s">
        <v>90</v>
      </c>
      <c r="C26" s="5" t="s">
        <v>89</v>
      </c>
      <c r="D26" s="5"/>
      <c r="E26" s="2">
        <v>2</v>
      </c>
      <c r="F26" s="11"/>
      <c r="G26" s="11"/>
      <c r="H26" s="11">
        <f t="shared" si="0"/>
        <v>2</v>
      </c>
    </row>
    <row r="27" spans="1:8" ht="21.75" customHeight="1">
      <c r="A27" s="3">
        <v>24</v>
      </c>
      <c r="B27" s="4" t="s">
        <v>93</v>
      </c>
      <c r="C27" s="5" t="s">
        <v>91</v>
      </c>
      <c r="D27" s="5"/>
      <c r="E27" s="2">
        <v>1</v>
      </c>
      <c r="F27" s="11"/>
      <c r="G27" s="11"/>
      <c r="H27" s="11">
        <f t="shared" si="0"/>
        <v>1</v>
      </c>
    </row>
    <row r="28" spans="1:8" ht="15.75">
      <c r="A28" s="3">
        <v>25</v>
      </c>
      <c r="B28" s="4" t="s">
        <v>337</v>
      </c>
      <c r="C28" s="5" t="s">
        <v>338</v>
      </c>
      <c r="D28" s="5"/>
      <c r="E28" s="2">
        <v>3</v>
      </c>
      <c r="F28" s="11"/>
      <c r="G28" s="11"/>
      <c r="H28" s="11">
        <f t="shared" si="0"/>
        <v>3</v>
      </c>
    </row>
  </sheetData>
  <autoFilter ref="A3:E27">
    <filterColumn colId="3"/>
  </autoFilter>
  <mergeCells count="1">
    <mergeCell ref="A1:C1"/>
  </mergeCells>
  <hyperlinks>
    <hyperlink ref="A3" r:id="rId1" display="http://s.no/"/>
  </hyperlinks>
  <pageMargins left="0.7" right="0.7" top="0.75" bottom="0.75" header="0.3" footer="0.3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2:G28"/>
  <sheetViews>
    <sheetView workbookViewId="0">
      <selection activeCell="F13" sqref="F13"/>
    </sheetView>
  </sheetViews>
  <sheetFormatPr defaultColWidth="9.42578125" defaultRowHeight="12"/>
  <cols>
    <col min="1" max="1" width="5.7109375" style="13" bestFit="1" customWidth="1"/>
    <col min="2" max="2" width="8.28515625" style="13" bestFit="1" customWidth="1"/>
    <col min="3" max="3" width="44.140625" style="13" bestFit="1" customWidth="1"/>
    <col min="4" max="4" width="7.28515625" style="13" customWidth="1"/>
    <col min="5" max="5" width="8.42578125" style="13" customWidth="1"/>
    <col min="6" max="6" width="9.42578125" style="13" customWidth="1"/>
    <col min="7" max="16384" width="9.42578125" style="13"/>
  </cols>
  <sheetData>
    <row r="2" spans="1:7">
      <c r="A2" s="82" t="s">
        <v>400</v>
      </c>
      <c r="B2" s="82"/>
      <c r="C2" s="82"/>
      <c r="D2" s="82"/>
    </row>
    <row r="3" spans="1:7">
      <c r="D3" s="45"/>
      <c r="E3" s="83"/>
      <c r="F3" s="83"/>
      <c r="G3" s="83"/>
    </row>
    <row r="4" spans="1:7" ht="24">
      <c r="A4" s="14" t="s">
        <v>0</v>
      </c>
      <c r="B4" s="15" t="s">
        <v>1</v>
      </c>
      <c r="C4" s="14" t="s">
        <v>2</v>
      </c>
      <c r="D4" s="15" t="s">
        <v>45</v>
      </c>
      <c r="E4" s="10" t="s">
        <v>278</v>
      </c>
      <c r="F4" s="10" t="s">
        <v>279</v>
      </c>
      <c r="G4" s="10" t="s">
        <v>280</v>
      </c>
    </row>
    <row r="5" spans="1:7" ht="21.75" customHeight="1">
      <c r="A5" s="16">
        <v>1</v>
      </c>
      <c r="B5" s="16" t="s">
        <v>94</v>
      </c>
      <c r="C5" s="17" t="s">
        <v>95</v>
      </c>
      <c r="D5" s="16">
        <v>8</v>
      </c>
      <c r="E5" s="12"/>
      <c r="F5" s="12"/>
      <c r="G5" s="12">
        <f>SUM(D5+E5)-F5</f>
        <v>8</v>
      </c>
    </row>
    <row r="6" spans="1:7" ht="21.75" customHeight="1">
      <c r="A6" s="16">
        <v>2</v>
      </c>
      <c r="B6" s="16" t="s">
        <v>96</v>
      </c>
      <c r="C6" s="17" t="s">
        <v>97</v>
      </c>
      <c r="D6" s="16">
        <v>1</v>
      </c>
      <c r="E6" s="12"/>
      <c r="F6" s="12"/>
      <c r="G6" s="12">
        <f t="shared" ref="G6:G28" si="0">SUM(D6+E6)-F6</f>
        <v>1</v>
      </c>
    </row>
    <row r="7" spans="1:7" ht="21.75" customHeight="1">
      <c r="A7" s="16">
        <v>3</v>
      </c>
      <c r="B7" s="16" t="s">
        <v>98</v>
      </c>
      <c r="C7" s="17" t="s">
        <v>99</v>
      </c>
      <c r="D7" s="16">
        <v>1</v>
      </c>
      <c r="E7" s="12"/>
      <c r="F7" s="12"/>
      <c r="G7" s="12">
        <f t="shared" si="0"/>
        <v>1</v>
      </c>
    </row>
    <row r="8" spans="1:7" ht="21.75" customHeight="1">
      <c r="A8" s="16">
        <v>4</v>
      </c>
      <c r="B8" s="16" t="s">
        <v>100</v>
      </c>
      <c r="C8" s="17" t="s">
        <v>101</v>
      </c>
      <c r="D8" s="16">
        <v>3</v>
      </c>
      <c r="E8" s="12"/>
      <c r="F8" s="12"/>
      <c r="G8" s="12">
        <f t="shared" si="0"/>
        <v>3</v>
      </c>
    </row>
    <row r="9" spans="1:7" ht="21.75" customHeight="1">
      <c r="A9" s="16">
        <v>5</v>
      </c>
      <c r="B9" s="16" t="s">
        <v>102</v>
      </c>
      <c r="C9" s="17" t="s">
        <v>103</v>
      </c>
      <c r="D9" s="16">
        <v>1</v>
      </c>
      <c r="E9" s="12"/>
      <c r="F9" s="12"/>
      <c r="G9" s="12">
        <f t="shared" si="0"/>
        <v>1</v>
      </c>
    </row>
    <row r="10" spans="1:7" ht="21.75" customHeight="1">
      <c r="A10" s="16">
        <v>6</v>
      </c>
      <c r="B10" s="16" t="s">
        <v>104</v>
      </c>
      <c r="C10" s="17" t="s">
        <v>105</v>
      </c>
      <c r="D10" s="16">
        <v>1</v>
      </c>
      <c r="E10" s="12"/>
      <c r="F10" s="12"/>
      <c r="G10" s="12">
        <f t="shared" si="0"/>
        <v>1</v>
      </c>
    </row>
    <row r="11" spans="1:7" ht="21.75" customHeight="1">
      <c r="A11" s="16">
        <v>7</v>
      </c>
      <c r="B11" s="16" t="s">
        <v>106</v>
      </c>
      <c r="C11" s="17" t="s">
        <v>107</v>
      </c>
      <c r="D11" s="16">
        <v>3</v>
      </c>
      <c r="E11" s="12"/>
      <c r="F11" s="12"/>
      <c r="G11" s="12">
        <f t="shared" si="0"/>
        <v>3</v>
      </c>
    </row>
    <row r="12" spans="1:7" ht="21.75" customHeight="1">
      <c r="A12" s="16">
        <v>8</v>
      </c>
      <c r="B12" s="16" t="s">
        <v>108</v>
      </c>
      <c r="C12" s="17" t="s">
        <v>109</v>
      </c>
      <c r="D12" s="16">
        <v>3</v>
      </c>
      <c r="E12" s="12"/>
      <c r="F12" s="12">
        <v>2</v>
      </c>
      <c r="G12" s="12">
        <f t="shared" si="0"/>
        <v>1</v>
      </c>
    </row>
    <row r="13" spans="1:7" ht="21.75" customHeight="1">
      <c r="A13" s="16">
        <v>9</v>
      </c>
      <c r="B13" s="16" t="s">
        <v>110</v>
      </c>
      <c r="C13" s="17" t="s">
        <v>111</v>
      </c>
      <c r="D13" s="16">
        <v>1</v>
      </c>
      <c r="E13" s="12"/>
      <c r="F13" s="12"/>
      <c r="G13" s="12">
        <f t="shared" si="0"/>
        <v>1</v>
      </c>
    </row>
    <row r="14" spans="1:7" ht="21.75" customHeight="1">
      <c r="A14" s="16">
        <v>10</v>
      </c>
      <c r="B14" s="16" t="s">
        <v>112</v>
      </c>
      <c r="C14" s="17" t="s">
        <v>113</v>
      </c>
      <c r="D14" s="16">
        <v>1</v>
      </c>
      <c r="E14" s="12"/>
      <c r="F14" s="12"/>
      <c r="G14" s="12">
        <f t="shared" si="0"/>
        <v>1</v>
      </c>
    </row>
    <row r="15" spans="1:7" ht="21.75" customHeight="1">
      <c r="A15" s="16">
        <v>11</v>
      </c>
      <c r="B15" s="16" t="s">
        <v>114</v>
      </c>
      <c r="C15" s="17" t="s">
        <v>115</v>
      </c>
      <c r="D15" s="16">
        <v>3</v>
      </c>
      <c r="E15" s="12"/>
      <c r="F15" s="12"/>
      <c r="G15" s="12">
        <f t="shared" si="0"/>
        <v>3</v>
      </c>
    </row>
    <row r="16" spans="1:7" ht="21.75" customHeight="1">
      <c r="A16" s="16">
        <v>12</v>
      </c>
      <c r="B16" s="16" t="s">
        <v>116</v>
      </c>
      <c r="C16" s="17" t="s">
        <v>117</v>
      </c>
      <c r="D16" s="16">
        <v>4</v>
      </c>
      <c r="E16" s="12"/>
      <c r="F16" s="12"/>
      <c r="G16" s="12">
        <f t="shared" si="0"/>
        <v>4</v>
      </c>
    </row>
    <row r="17" spans="1:7" ht="21.75" customHeight="1">
      <c r="A17" s="16">
        <v>13</v>
      </c>
      <c r="B17" s="16" t="s">
        <v>118</v>
      </c>
      <c r="C17" s="17" t="s">
        <v>119</v>
      </c>
      <c r="D17" s="16">
        <v>3</v>
      </c>
      <c r="E17" s="12"/>
      <c r="F17" s="12"/>
      <c r="G17" s="12">
        <f t="shared" si="0"/>
        <v>3</v>
      </c>
    </row>
    <row r="18" spans="1:7" ht="21.75" customHeight="1">
      <c r="A18" s="16">
        <v>14</v>
      </c>
      <c r="B18" s="16" t="s">
        <v>120</v>
      </c>
      <c r="C18" s="17" t="s">
        <v>121</v>
      </c>
      <c r="D18" s="16">
        <v>3</v>
      </c>
      <c r="E18" s="12"/>
      <c r="F18" s="12"/>
      <c r="G18" s="12">
        <f t="shared" si="0"/>
        <v>3</v>
      </c>
    </row>
    <row r="19" spans="1:7" ht="21.75" customHeight="1">
      <c r="A19" s="16">
        <v>15</v>
      </c>
      <c r="B19" s="16" t="s">
        <v>122</v>
      </c>
      <c r="C19" s="17" t="s">
        <v>123</v>
      </c>
      <c r="D19" s="16">
        <v>9</v>
      </c>
      <c r="E19" s="12"/>
      <c r="F19" s="12"/>
      <c r="G19" s="12">
        <f t="shared" si="0"/>
        <v>9</v>
      </c>
    </row>
    <row r="20" spans="1:7" ht="21.75" customHeight="1">
      <c r="A20" s="16">
        <v>16</v>
      </c>
      <c r="B20" s="16" t="s">
        <v>124</v>
      </c>
      <c r="C20" s="17" t="s">
        <v>125</v>
      </c>
      <c r="D20" s="16">
        <v>1</v>
      </c>
      <c r="E20" s="12"/>
      <c r="F20" s="12"/>
      <c r="G20" s="12">
        <f t="shared" si="0"/>
        <v>1</v>
      </c>
    </row>
    <row r="21" spans="1:7" ht="21.75" customHeight="1">
      <c r="A21" s="16">
        <v>17</v>
      </c>
      <c r="B21" s="16" t="s">
        <v>126</v>
      </c>
      <c r="C21" s="17" t="s">
        <v>127</v>
      </c>
      <c r="D21" s="16">
        <v>3</v>
      </c>
      <c r="E21" s="12"/>
      <c r="F21" s="12"/>
      <c r="G21" s="12">
        <f t="shared" si="0"/>
        <v>3</v>
      </c>
    </row>
    <row r="22" spans="1:7" ht="21.75" customHeight="1">
      <c r="A22" s="16">
        <v>18</v>
      </c>
      <c r="B22" s="16" t="s">
        <v>128</v>
      </c>
      <c r="C22" s="17" t="s">
        <v>129</v>
      </c>
      <c r="D22" s="16">
        <v>3</v>
      </c>
      <c r="E22" s="12"/>
      <c r="F22" s="12"/>
      <c r="G22" s="12">
        <f t="shared" si="0"/>
        <v>3</v>
      </c>
    </row>
    <row r="23" spans="1:7" ht="21.75" customHeight="1">
      <c r="A23" s="16">
        <v>19</v>
      </c>
      <c r="B23" s="16" t="s">
        <v>130</v>
      </c>
      <c r="C23" s="17" t="s">
        <v>131</v>
      </c>
      <c r="D23" s="16">
        <v>1</v>
      </c>
      <c r="E23" s="12"/>
      <c r="F23" s="12"/>
      <c r="G23" s="12">
        <f t="shared" si="0"/>
        <v>1</v>
      </c>
    </row>
    <row r="24" spans="1:7" ht="21.75" customHeight="1">
      <c r="A24" s="16">
        <v>20</v>
      </c>
      <c r="B24" s="16" t="s">
        <v>132</v>
      </c>
      <c r="C24" s="17" t="s">
        <v>133</v>
      </c>
      <c r="D24" s="16">
        <v>3</v>
      </c>
      <c r="E24" s="12"/>
      <c r="F24" s="12"/>
      <c r="G24" s="12">
        <f t="shared" si="0"/>
        <v>3</v>
      </c>
    </row>
    <row r="25" spans="1:7" ht="21.75" customHeight="1">
      <c r="A25" s="16">
        <v>21</v>
      </c>
      <c r="B25" s="16" t="s">
        <v>134</v>
      </c>
      <c r="C25" s="17" t="s">
        <v>135</v>
      </c>
      <c r="D25" s="16">
        <v>2</v>
      </c>
      <c r="E25" s="12"/>
      <c r="F25" s="12"/>
      <c r="G25" s="12">
        <f t="shared" si="0"/>
        <v>2</v>
      </c>
    </row>
    <row r="26" spans="1:7" ht="21.75" customHeight="1">
      <c r="A26" s="16">
        <v>22</v>
      </c>
      <c r="B26" s="16" t="s">
        <v>136</v>
      </c>
      <c r="C26" s="17" t="s">
        <v>137</v>
      </c>
      <c r="D26" s="16">
        <v>1</v>
      </c>
      <c r="E26" s="12"/>
      <c r="F26" s="12"/>
      <c r="G26" s="12">
        <f t="shared" si="0"/>
        <v>1</v>
      </c>
    </row>
    <row r="27" spans="1:7" ht="21.75" customHeight="1">
      <c r="A27" s="16">
        <v>23</v>
      </c>
      <c r="B27" s="16" t="s">
        <v>138</v>
      </c>
      <c r="C27" s="17" t="s">
        <v>139</v>
      </c>
      <c r="D27" s="16">
        <v>2</v>
      </c>
      <c r="E27" s="12"/>
      <c r="F27" s="12"/>
      <c r="G27" s="12">
        <f t="shared" si="0"/>
        <v>2</v>
      </c>
    </row>
    <row r="28" spans="1:7" ht="21.75" customHeight="1">
      <c r="A28" s="16">
        <v>24</v>
      </c>
      <c r="B28" s="16" t="s">
        <v>140</v>
      </c>
      <c r="C28" s="17" t="s">
        <v>141</v>
      </c>
      <c r="D28" s="16">
        <v>1</v>
      </c>
      <c r="E28" s="12"/>
      <c r="F28" s="12"/>
      <c r="G28" s="12">
        <f t="shared" si="0"/>
        <v>1</v>
      </c>
    </row>
  </sheetData>
  <mergeCells count="2">
    <mergeCell ref="A2:D2"/>
    <mergeCell ref="E3:G3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0"/>
  <sheetViews>
    <sheetView topLeftCell="A21" workbookViewId="0">
      <selection activeCell="D35" sqref="D35"/>
    </sheetView>
  </sheetViews>
  <sheetFormatPr defaultColWidth="9.42578125" defaultRowHeight="12.75"/>
  <cols>
    <col min="1" max="1" width="5.7109375" style="64" bestFit="1" customWidth="1"/>
    <col min="2" max="2" width="8.7109375" style="64" bestFit="1" customWidth="1"/>
    <col min="3" max="3" width="56.5703125" style="64" bestFit="1" customWidth="1"/>
    <col min="4" max="4" width="7.28515625" style="64" customWidth="1"/>
    <col min="5" max="5" width="8.42578125" style="78" customWidth="1"/>
    <col min="6" max="6" width="6" style="78" customWidth="1"/>
    <col min="7" max="7" width="9" style="64" bestFit="1" customWidth="1"/>
    <col min="8" max="16384" width="9.42578125" style="64"/>
  </cols>
  <sheetData>
    <row r="1" spans="1:7">
      <c r="A1" s="84" t="s">
        <v>401</v>
      </c>
      <c r="B1" s="84"/>
      <c r="C1" s="84"/>
      <c r="D1" s="84"/>
    </row>
    <row r="2" spans="1:7">
      <c r="D2" s="65"/>
      <c r="E2" s="85"/>
      <c r="F2" s="85"/>
      <c r="G2" s="85"/>
    </row>
    <row r="3" spans="1:7" ht="24" customHeight="1">
      <c r="A3" s="66" t="s">
        <v>276</v>
      </c>
      <c r="B3" s="67" t="s">
        <v>1</v>
      </c>
      <c r="C3" s="68" t="s">
        <v>277</v>
      </c>
      <c r="D3" s="69" t="s">
        <v>45</v>
      </c>
      <c r="E3" s="70" t="s">
        <v>278</v>
      </c>
      <c r="F3" s="70" t="s">
        <v>279</v>
      </c>
      <c r="G3" s="70" t="s">
        <v>280</v>
      </c>
    </row>
    <row r="4" spans="1:7" ht="13.5" customHeight="1">
      <c r="A4" s="71">
        <v>1</v>
      </c>
      <c r="B4" s="71" t="s">
        <v>153</v>
      </c>
      <c r="C4" s="72" t="s">
        <v>290</v>
      </c>
      <c r="D4" s="71">
        <v>0</v>
      </c>
      <c r="E4" s="71"/>
      <c r="F4" s="71"/>
      <c r="G4" s="71">
        <f>SUM(D4+E4)-F4</f>
        <v>0</v>
      </c>
    </row>
    <row r="5" spans="1:7" ht="13.5" customHeight="1">
      <c r="A5" s="71">
        <v>2</v>
      </c>
      <c r="B5" s="71" t="s">
        <v>147</v>
      </c>
      <c r="C5" s="72" t="s">
        <v>154</v>
      </c>
      <c r="D5" s="71">
        <v>4</v>
      </c>
      <c r="E5" s="71"/>
      <c r="F5" s="71"/>
      <c r="G5" s="71">
        <f t="shared" ref="G5:G68" si="0">SUM(D5+E5)-F5</f>
        <v>4</v>
      </c>
    </row>
    <row r="6" spans="1:7" ht="13.5" customHeight="1">
      <c r="A6" s="71">
        <v>3</v>
      </c>
      <c r="B6" s="71" t="s">
        <v>155</v>
      </c>
      <c r="C6" s="72" t="s">
        <v>156</v>
      </c>
      <c r="D6" s="71">
        <v>4</v>
      </c>
      <c r="E6" s="71"/>
      <c r="F6" s="71"/>
      <c r="G6" s="71">
        <f t="shared" si="0"/>
        <v>4</v>
      </c>
    </row>
    <row r="7" spans="1:7" ht="13.5" customHeight="1">
      <c r="A7" s="71">
        <v>4</v>
      </c>
      <c r="B7" s="71" t="s">
        <v>157</v>
      </c>
      <c r="C7" s="72" t="s">
        <v>158</v>
      </c>
      <c r="D7" s="71">
        <v>1</v>
      </c>
      <c r="E7" s="71"/>
      <c r="F7" s="71"/>
      <c r="G7" s="71">
        <f t="shared" si="0"/>
        <v>1</v>
      </c>
    </row>
    <row r="8" spans="1:7" ht="13.5" customHeight="1">
      <c r="A8" s="71">
        <v>5</v>
      </c>
      <c r="B8" s="71" t="s">
        <v>159</v>
      </c>
      <c r="C8" s="72" t="s">
        <v>160</v>
      </c>
      <c r="D8" s="71">
        <v>2</v>
      </c>
      <c r="E8" s="71"/>
      <c r="F8" s="71"/>
      <c r="G8" s="71">
        <f t="shared" si="0"/>
        <v>2</v>
      </c>
    </row>
    <row r="9" spans="1:7" ht="13.5" customHeight="1">
      <c r="A9" s="71">
        <v>6</v>
      </c>
      <c r="B9" s="71" t="s">
        <v>161</v>
      </c>
      <c r="C9" s="72" t="s">
        <v>162</v>
      </c>
      <c r="D9" s="71">
        <v>5</v>
      </c>
      <c r="E9" s="71"/>
      <c r="F9" s="71"/>
      <c r="G9" s="71">
        <f t="shared" si="0"/>
        <v>5</v>
      </c>
    </row>
    <row r="10" spans="1:7" ht="13.5" customHeight="1">
      <c r="A10" s="71">
        <v>7</v>
      </c>
      <c r="B10" s="71" t="s">
        <v>163</v>
      </c>
      <c r="C10" s="72" t="s">
        <v>164</v>
      </c>
      <c r="D10" s="71">
        <v>3</v>
      </c>
      <c r="E10" s="71"/>
      <c r="F10" s="71"/>
      <c r="G10" s="71">
        <f t="shared" si="0"/>
        <v>3</v>
      </c>
    </row>
    <row r="11" spans="1:7" ht="13.5" customHeight="1">
      <c r="A11" s="71">
        <v>8</v>
      </c>
      <c r="B11" s="71" t="s">
        <v>165</v>
      </c>
      <c r="C11" s="72" t="s">
        <v>166</v>
      </c>
      <c r="D11" s="71">
        <v>1</v>
      </c>
      <c r="E11" s="71"/>
      <c r="F11" s="71"/>
      <c r="G11" s="71">
        <f t="shared" si="0"/>
        <v>1</v>
      </c>
    </row>
    <row r="12" spans="1:7" ht="13.5" customHeight="1">
      <c r="A12" s="71">
        <v>9</v>
      </c>
      <c r="B12" s="71" t="s">
        <v>167</v>
      </c>
      <c r="C12" s="72" t="s">
        <v>168</v>
      </c>
      <c r="D12" s="71">
        <v>4</v>
      </c>
      <c r="E12" s="71"/>
      <c r="F12" s="71"/>
      <c r="G12" s="71">
        <f t="shared" si="0"/>
        <v>4</v>
      </c>
    </row>
    <row r="13" spans="1:7" ht="13.5" customHeight="1">
      <c r="A13" s="71">
        <v>10</v>
      </c>
      <c r="B13" s="71" t="s">
        <v>169</v>
      </c>
      <c r="C13" s="72" t="s">
        <v>170</v>
      </c>
      <c r="D13" s="71">
        <v>1</v>
      </c>
      <c r="E13" s="71"/>
      <c r="F13" s="71"/>
      <c r="G13" s="71">
        <f t="shared" si="0"/>
        <v>1</v>
      </c>
    </row>
    <row r="14" spans="1:7" ht="13.5" customHeight="1">
      <c r="A14" s="71">
        <v>11</v>
      </c>
      <c r="B14" s="71" t="s">
        <v>171</v>
      </c>
      <c r="C14" s="72" t="s">
        <v>172</v>
      </c>
      <c r="D14" s="71">
        <v>6</v>
      </c>
      <c r="E14" s="71"/>
      <c r="F14" s="71"/>
      <c r="G14" s="71">
        <f t="shared" si="0"/>
        <v>6</v>
      </c>
    </row>
    <row r="15" spans="1:7" ht="13.5" customHeight="1">
      <c r="A15" s="71">
        <v>12</v>
      </c>
      <c r="B15" s="71" t="s">
        <v>173</v>
      </c>
      <c r="C15" s="72" t="s">
        <v>174</v>
      </c>
      <c r="D15" s="71">
        <v>1</v>
      </c>
      <c r="E15" s="71"/>
      <c r="F15" s="71"/>
      <c r="G15" s="71">
        <f t="shared" si="0"/>
        <v>1</v>
      </c>
    </row>
    <row r="16" spans="1:7" ht="13.5" customHeight="1">
      <c r="A16" s="71">
        <v>13</v>
      </c>
      <c r="B16" s="71" t="s">
        <v>175</v>
      </c>
      <c r="C16" s="72" t="s">
        <v>176</v>
      </c>
      <c r="D16" s="71">
        <v>1</v>
      </c>
      <c r="E16" s="71"/>
      <c r="F16" s="71"/>
      <c r="G16" s="71">
        <f t="shared" si="0"/>
        <v>1</v>
      </c>
    </row>
    <row r="17" spans="1:7" ht="13.5" customHeight="1">
      <c r="A17" s="71">
        <v>14</v>
      </c>
      <c r="B17" s="71" t="s">
        <v>177</v>
      </c>
      <c r="C17" s="72" t="s">
        <v>178</v>
      </c>
      <c r="D17" s="71">
        <v>1</v>
      </c>
      <c r="E17" s="71"/>
      <c r="F17" s="71"/>
      <c r="G17" s="71">
        <f t="shared" si="0"/>
        <v>1</v>
      </c>
    </row>
    <row r="18" spans="1:7" ht="13.5" customHeight="1">
      <c r="A18" s="71">
        <v>15</v>
      </c>
      <c r="B18" s="71" t="s">
        <v>179</v>
      </c>
      <c r="C18" s="72" t="s">
        <v>180</v>
      </c>
      <c r="D18" s="71">
        <v>1</v>
      </c>
      <c r="E18" s="71"/>
      <c r="F18" s="71"/>
      <c r="G18" s="71">
        <f t="shared" si="0"/>
        <v>1</v>
      </c>
    </row>
    <row r="19" spans="1:7" ht="13.5" customHeight="1">
      <c r="A19" s="71">
        <v>16</v>
      </c>
      <c r="B19" s="71" t="s">
        <v>181</v>
      </c>
      <c r="C19" s="72" t="s">
        <v>182</v>
      </c>
      <c r="D19" s="71">
        <v>3</v>
      </c>
      <c r="E19" s="71"/>
      <c r="F19" s="71"/>
      <c r="G19" s="71">
        <f t="shared" si="0"/>
        <v>3</v>
      </c>
    </row>
    <row r="20" spans="1:7" ht="13.5" customHeight="1">
      <c r="A20" s="71">
        <v>17</v>
      </c>
      <c r="B20" s="71" t="s">
        <v>183</v>
      </c>
      <c r="C20" s="72" t="s">
        <v>184</v>
      </c>
      <c r="D20" s="71">
        <v>3</v>
      </c>
      <c r="E20" s="71"/>
      <c r="F20" s="71"/>
      <c r="G20" s="71">
        <f t="shared" si="0"/>
        <v>3</v>
      </c>
    </row>
    <row r="21" spans="1:7" ht="13.5" customHeight="1">
      <c r="A21" s="71">
        <v>18</v>
      </c>
      <c r="B21" s="71" t="s">
        <v>185</v>
      </c>
      <c r="C21" s="72" t="s">
        <v>186</v>
      </c>
      <c r="D21" s="71">
        <v>15</v>
      </c>
      <c r="E21" s="71"/>
      <c r="F21" s="71">
        <v>1</v>
      </c>
      <c r="G21" s="71">
        <f t="shared" si="0"/>
        <v>14</v>
      </c>
    </row>
    <row r="22" spans="1:7" ht="13.5" customHeight="1">
      <c r="A22" s="71">
        <v>19</v>
      </c>
      <c r="B22" s="71" t="s">
        <v>187</v>
      </c>
      <c r="C22" s="72" t="s">
        <v>188</v>
      </c>
      <c r="D22" s="71">
        <v>2</v>
      </c>
      <c r="E22" s="71"/>
      <c r="F22" s="71"/>
      <c r="G22" s="71">
        <f t="shared" si="0"/>
        <v>2</v>
      </c>
    </row>
    <row r="23" spans="1:7" ht="13.5" customHeight="1">
      <c r="A23" s="71">
        <v>20</v>
      </c>
      <c r="B23" s="71" t="s">
        <v>189</v>
      </c>
      <c r="C23" s="72" t="s">
        <v>190</v>
      </c>
      <c r="D23" s="71">
        <v>1</v>
      </c>
      <c r="E23" s="71"/>
      <c r="F23" s="71"/>
      <c r="G23" s="71">
        <f t="shared" si="0"/>
        <v>1</v>
      </c>
    </row>
    <row r="24" spans="1:7" ht="13.5" customHeight="1">
      <c r="A24" s="71">
        <v>21</v>
      </c>
      <c r="B24" s="71" t="s">
        <v>191</v>
      </c>
      <c r="C24" s="72" t="s">
        <v>192</v>
      </c>
      <c r="D24" s="71">
        <v>1</v>
      </c>
      <c r="E24" s="71"/>
      <c r="F24" s="71"/>
      <c r="G24" s="71">
        <f t="shared" si="0"/>
        <v>1</v>
      </c>
    </row>
    <row r="25" spans="1:7" ht="13.5" customHeight="1">
      <c r="A25" s="71">
        <v>22</v>
      </c>
      <c r="B25" s="71" t="s">
        <v>193</v>
      </c>
      <c r="C25" s="72" t="s">
        <v>194</v>
      </c>
      <c r="D25" s="71">
        <v>6</v>
      </c>
      <c r="E25" s="71"/>
      <c r="F25" s="71"/>
      <c r="G25" s="71">
        <f t="shared" si="0"/>
        <v>6</v>
      </c>
    </row>
    <row r="26" spans="1:7" ht="13.5" customHeight="1">
      <c r="A26" s="71">
        <v>23</v>
      </c>
      <c r="B26" s="71" t="s">
        <v>195</v>
      </c>
      <c r="C26" s="72" t="s">
        <v>196</v>
      </c>
      <c r="D26" s="71">
        <v>4</v>
      </c>
      <c r="E26" s="71"/>
      <c r="F26" s="71"/>
      <c r="G26" s="71">
        <f t="shared" si="0"/>
        <v>4</v>
      </c>
    </row>
    <row r="27" spans="1:7" ht="13.5" customHeight="1">
      <c r="A27" s="71">
        <v>24</v>
      </c>
      <c r="B27" s="71" t="s">
        <v>197</v>
      </c>
      <c r="C27" s="72" t="s">
        <v>198</v>
      </c>
      <c r="D27" s="71">
        <v>2</v>
      </c>
      <c r="E27" s="71"/>
      <c r="F27" s="71"/>
      <c r="G27" s="71">
        <f t="shared" si="0"/>
        <v>2</v>
      </c>
    </row>
    <row r="28" spans="1:7" ht="13.5" customHeight="1">
      <c r="A28" s="71">
        <v>25</v>
      </c>
      <c r="B28" s="71" t="s">
        <v>199</v>
      </c>
      <c r="C28" s="72" t="s">
        <v>200</v>
      </c>
      <c r="D28" s="71">
        <v>3</v>
      </c>
      <c r="E28" s="71"/>
      <c r="F28" s="71"/>
      <c r="G28" s="71">
        <f t="shared" si="0"/>
        <v>3</v>
      </c>
    </row>
    <row r="29" spans="1:7" ht="13.5" customHeight="1">
      <c r="A29" s="71">
        <v>26</v>
      </c>
      <c r="B29" s="71" t="s">
        <v>201</v>
      </c>
      <c r="C29" s="72" t="s">
        <v>202</v>
      </c>
      <c r="D29" s="71">
        <v>2</v>
      </c>
      <c r="E29" s="71"/>
      <c r="F29" s="71"/>
      <c r="G29" s="71">
        <f t="shared" si="0"/>
        <v>2</v>
      </c>
    </row>
    <row r="30" spans="1:7" ht="13.5" customHeight="1">
      <c r="A30" s="71">
        <v>27</v>
      </c>
      <c r="B30" s="71" t="s">
        <v>203</v>
      </c>
      <c r="C30" s="72" t="s">
        <v>204</v>
      </c>
      <c r="D30" s="71">
        <v>2</v>
      </c>
      <c r="E30" s="71"/>
      <c r="F30" s="71"/>
      <c r="G30" s="71">
        <f t="shared" si="0"/>
        <v>2</v>
      </c>
    </row>
    <row r="31" spans="1:7" ht="13.5" customHeight="1">
      <c r="A31" s="71">
        <v>28</v>
      </c>
      <c r="B31" s="71" t="s">
        <v>205</v>
      </c>
      <c r="C31" s="72" t="s">
        <v>206</v>
      </c>
      <c r="D31" s="71">
        <v>3</v>
      </c>
      <c r="E31" s="71"/>
      <c r="F31" s="71"/>
      <c r="G31" s="71">
        <f t="shared" si="0"/>
        <v>3</v>
      </c>
    </row>
    <row r="32" spans="1:7" ht="13.5" customHeight="1">
      <c r="A32" s="71">
        <v>29</v>
      </c>
      <c r="B32" s="71" t="s">
        <v>207</v>
      </c>
      <c r="C32" s="72" t="s">
        <v>206</v>
      </c>
      <c r="D32" s="71">
        <v>3</v>
      </c>
      <c r="E32" s="71"/>
      <c r="F32" s="71"/>
      <c r="G32" s="71">
        <f t="shared" si="0"/>
        <v>3</v>
      </c>
    </row>
    <row r="33" spans="1:7" ht="13.5" customHeight="1">
      <c r="A33" s="71">
        <v>30</v>
      </c>
      <c r="B33" s="71" t="s">
        <v>208</v>
      </c>
      <c r="C33" s="72" t="s">
        <v>209</v>
      </c>
      <c r="D33" s="71">
        <v>4</v>
      </c>
      <c r="E33" s="71"/>
      <c r="F33" s="71"/>
      <c r="G33" s="71">
        <f t="shared" si="0"/>
        <v>4</v>
      </c>
    </row>
    <row r="34" spans="1:7" ht="13.5" customHeight="1">
      <c r="A34" s="71">
        <v>31</v>
      </c>
      <c r="B34" s="71" t="s">
        <v>210</v>
      </c>
      <c r="C34" s="72" t="s">
        <v>231</v>
      </c>
      <c r="D34" s="71">
        <v>3</v>
      </c>
      <c r="E34" s="71"/>
      <c r="F34" s="71"/>
      <c r="G34" s="71">
        <f t="shared" si="0"/>
        <v>3</v>
      </c>
    </row>
    <row r="35" spans="1:7" ht="13.5" customHeight="1">
      <c r="A35" s="71">
        <v>32</v>
      </c>
      <c r="B35" s="71" t="s">
        <v>211</v>
      </c>
      <c r="C35" s="72" t="s">
        <v>232</v>
      </c>
      <c r="D35" s="71">
        <v>2</v>
      </c>
      <c r="E35" s="71"/>
      <c r="F35" s="71"/>
      <c r="G35" s="71">
        <f t="shared" si="0"/>
        <v>2</v>
      </c>
    </row>
    <row r="36" spans="1:7" ht="13.5" customHeight="1">
      <c r="A36" s="71">
        <v>33</v>
      </c>
      <c r="B36" s="71" t="s">
        <v>212</v>
      </c>
      <c r="C36" s="72" t="s">
        <v>234</v>
      </c>
      <c r="D36" s="71">
        <v>1</v>
      </c>
      <c r="E36" s="71"/>
      <c r="F36" s="71"/>
      <c r="G36" s="71">
        <f t="shared" si="0"/>
        <v>1</v>
      </c>
    </row>
    <row r="37" spans="1:7" ht="13.5" customHeight="1">
      <c r="A37" s="71">
        <v>34</v>
      </c>
      <c r="B37" s="71" t="s">
        <v>213</v>
      </c>
      <c r="C37" s="72" t="s">
        <v>235</v>
      </c>
      <c r="D37" s="71">
        <v>1</v>
      </c>
      <c r="E37" s="71"/>
      <c r="F37" s="71"/>
      <c r="G37" s="71">
        <f t="shared" si="0"/>
        <v>1</v>
      </c>
    </row>
    <row r="38" spans="1:7" ht="13.5" customHeight="1">
      <c r="A38" s="71">
        <v>35</v>
      </c>
      <c r="B38" s="71" t="s">
        <v>214</v>
      </c>
      <c r="C38" s="72" t="s">
        <v>236</v>
      </c>
      <c r="D38" s="71">
        <v>2</v>
      </c>
      <c r="E38" s="71"/>
      <c r="F38" s="71"/>
      <c r="G38" s="71">
        <f t="shared" si="0"/>
        <v>2</v>
      </c>
    </row>
    <row r="39" spans="1:7" ht="13.5" customHeight="1">
      <c r="A39" s="71">
        <v>36</v>
      </c>
      <c r="B39" s="71" t="s">
        <v>215</v>
      </c>
      <c r="C39" s="72" t="s">
        <v>216</v>
      </c>
      <c r="D39" s="71">
        <v>3</v>
      </c>
      <c r="E39" s="71"/>
      <c r="F39" s="71"/>
      <c r="G39" s="71">
        <f t="shared" si="0"/>
        <v>3</v>
      </c>
    </row>
    <row r="40" spans="1:7" ht="13.5" customHeight="1">
      <c r="A40" s="71">
        <v>37</v>
      </c>
      <c r="B40" s="71" t="s">
        <v>217</v>
      </c>
      <c r="C40" s="72" t="s">
        <v>230</v>
      </c>
      <c r="D40" s="71">
        <v>3</v>
      </c>
      <c r="E40" s="71"/>
      <c r="F40" s="71"/>
      <c r="G40" s="71">
        <f t="shared" si="0"/>
        <v>3</v>
      </c>
    </row>
    <row r="41" spans="1:7" ht="13.5" customHeight="1">
      <c r="A41" s="71">
        <v>38</v>
      </c>
      <c r="B41" s="71" t="s">
        <v>218</v>
      </c>
      <c r="C41" s="72" t="s">
        <v>233</v>
      </c>
      <c r="D41" s="71">
        <v>2</v>
      </c>
      <c r="E41" s="71"/>
      <c r="F41" s="71"/>
      <c r="G41" s="71">
        <f t="shared" si="0"/>
        <v>2</v>
      </c>
    </row>
    <row r="42" spans="1:7" ht="13.5" customHeight="1">
      <c r="A42" s="71">
        <v>39</v>
      </c>
      <c r="B42" s="71" t="s">
        <v>219</v>
      </c>
      <c r="C42" s="72" t="s">
        <v>220</v>
      </c>
      <c r="D42" s="71">
        <v>1</v>
      </c>
      <c r="E42" s="71"/>
      <c r="F42" s="71"/>
      <c r="G42" s="71">
        <f t="shared" si="0"/>
        <v>1</v>
      </c>
    </row>
    <row r="43" spans="1:7" ht="13.5" customHeight="1">
      <c r="A43" s="71">
        <v>40</v>
      </c>
      <c r="B43" s="71" t="s">
        <v>221</v>
      </c>
      <c r="C43" s="72" t="s">
        <v>220</v>
      </c>
      <c r="D43" s="71">
        <v>1</v>
      </c>
      <c r="E43" s="71"/>
      <c r="F43" s="71"/>
      <c r="G43" s="71">
        <f t="shared" si="0"/>
        <v>1</v>
      </c>
    </row>
    <row r="44" spans="1:7" ht="13.5" customHeight="1">
      <c r="A44" s="71">
        <v>41</v>
      </c>
      <c r="B44" s="71" t="s">
        <v>222</v>
      </c>
      <c r="C44" s="72" t="s">
        <v>223</v>
      </c>
      <c r="D44" s="71">
        <v>2</v>
      </c>
      <c r="E44" s="71"/>
      <c r="F44" s="71"/>
      <c r="G44" s="71">
        <f t="shared" si="0"/>
        <v>2</v>
      </c>
    </row>
    <row r="45" spans="1:7" ht="13.5" customHeight="1">
      <c r="A45" s="71">
        <v>42</v>
      </c>
      <c r="B45" s="71" t="s">
        <v>224</v>
      </c>
      <c r="C45" s="72" t="s">
        <v>225</v>
      </c>
      <c r="D45" s="71">
        <v>2</v>
      </c>
      <c r="E45" s="71"/>
      <c r="F45" s="71"/>
      <c r="G45" s="71">
        <f t="shared" si="0"/>
        <v>2</v>
      </c>
    </row>
    <row r="46" spans="1:7" ht="13.5" customHeight="1">
      <c r="A46" s="71">
        <v>43</v>
      </c>
      <c r="B46" s="71" t="s">
        <v>226</v>
      </c>
      <c r="C46" s="72" t="s">
        <v>227</v>
      </c>
      <c r="D46" s="71">
        <v>1</v>
      </c>
      <c r="E46" s="71"/>
      <c r="F46" s="71"/>
      <c r="G46" s="71">
        <f t="shared" si="0"/>
        <v>1</v>
      </c>
    </row>
    <row r="47" spans="1:7" ht="13.5" customHeight="1">
      <c r="A47" s="71">
        <v>44</v>
      </c>
      <c r="B47" s="71" t="s">
        <v>228</v>
      </c>
      <c r="C47" s="72" t="s">
        <v>229</v>
      </c>
      <c r="D47" s="71">
        <v>1</v>
      </c>
      <c r="E47" s="71"/>
      <c r="F47" s="71"/>
      <c r="G47" s="71">
        <f t="shared" si="0"/>
        <v>1</v>
      </c>
    </row>
    <row r="48" spans="1:7" ht="13.5" customHeight="1">
      <c r="A48" s="71">
        <v>45</v>
      </c>
      <c r="B48" s="71" t="s">
        <v>237</v>
      </c>
      <c r="C48" s="72" t="s">
        <v>238</v>
      </c>
      <c r="D48" s="71">
        <v>2</v>
      </c>
      <c r="E48" s="71"/>
      <c r="F48" s="71"/>
      <c r="G48" s="71">
        <f t="shared" si="0"/>
        <v>2</v>
      </c>
    </row>
    <row r="49" spans="1:7" ht="13.5" customHeight="1">
      <c r="A49" s="71">
        <v>46</v>
      </c>
      <c r="B49" s="71" t="s">
        <v>239</v>
      </c>
      <c r="C49" s="72" t="s">
        <v>240</v>
      </c>
      <c r="D49" s="71">
        <v>2</v>
      </c>
      <c r="E49" s="71"/>
      <c r="F49" s="71"/>
      <c r="G49" s="71">
        <f t="shared" si="0"/>
        <v>2</v>
      </c>
    </row>
    <row r="50" spans="1:7" ht="13.5" customHeight="1">
      <c r="A50" s="71">
        <v>47</v>
      </c>
      <c r="B50" s="71" t="s">
        <v>241</v>
      </c>
      <c r="C50" s="72" t="s">
        <v>242</v>
      </c>
      <c r="D50" s="71">
        <v>8</v>
      </c>
      <c r="E50" s="71"/>
      <c r="F50" s="71"/>
      <c r="G50" s="71">
        <f t="shared" si="0"/>
        <v>8</v>
      </c>
    </row>
    <row r="51" spans="1:7" ht="13.5" customHeight="1">
      <c r="A51" s="71">
        <v>48</v>
      </c>
      <c r="B51" s="71" t="s">
        <v>243</v>
      </c>
      <c r="C51" s="72" t="s">
        <v>245</v>
      </c>
      <c r="D51" s="71">
        <v>1</v>
      </c>
      <c r="E51" s="71"/>
      <c r="F51" s="71"/>
      <c r="G51" s="71">
        <f t="shared" si="0"/>
        <v>1</v>
      </c>
    </row>
    <row r="52" spans="1:7" ht="13.5" customHeight="1">
      <c r="A52" s="71">
        <v>49</v>
      </c>
      <c r="B52" s="71" t="s">
        <v>244</v>
      </c>
      <c r="C52" s="72" t="s">
        <v>246</v>
      </c>
      <c r="D52" s="71">
        <v>2</v>
      </c>
      <c r="E52" s="71"/>
      <c r="F52" s="71"/>
      <c r="G52" s="71">
        <f t="shared" si="0"/>
        <v>2</v>
      </c>
    </row>
    <row r="53" spans="1:7" ht="13.5" customHeight="1">
      <c r="A53" s="71">
        <v>50</v>
      </c>
      <c r="B53" s="71" t="s">
        <v>247</v>
      </c>
      <c r="C53" s="72" t="s">
        <v>248</v>
      </c>
      <c r="D53" s="71">
        <v>2</v>
      </c>
      <c r="E53" s="71"/>
      <c r="F53" s="71"/>
      <c r="G53" s="71">
        <f t="shared" si="0"/>
        <v>2</v>
      </c>
    </row>
    <row r="54" spans="1:7" ht="13.5" customHeight="1">
      <c r="A54" s="71">
        <v>51</v>
      </c>
      <c r="B54" s="71" t="s">
        <v>249</v>
      </c>
      <c r="C54" s="72" t="s">
        <v>250</v>
      </c>
      <c r="D54" s="71">
        <v>2</v>
      </c>
      <c r="E54" s="71"/>
      <c r="F54" s="71"/>
      <c r="G54" s="71">
        <f t="shared" si="0"/>
        <v>2</v>
      </c>
    </row>
    <row r="55" spans="1:7" ht="13.5" customHeight="1">
      <c r="A55" s="71">
        <v>52</v>
      </c>
      <c r="B55" s="71" t="s">
        <v>251</v>
      </c>
      <c r="C55" s="72" t="s">
        <v>252</v>
      </c>
      <c r="D55" s="71">
        <v>1</v>
      </c>
      <c r="E55" s="71"/>
      <c r="F55" s="71"/>
      <c r="G55" s="71">
        <f t="shared" si="0"/>
        <v>1</v>
      </c>
    </row>
    <row r="56" spans="1:7" ht="13.5" customHeight="1">
      <c r="A56" s="73">
        <v>53</v>
      </c>
      <c r="B56" s="71" t="s">
        <v>272</v>
      </c>
      <c r="C56" s="74" t="s">
        <v>270</v>
      </c>
      <c r="D56" s="73">
        <v>2</v>
      </c>
      <c r="E56" s="71"/>
      <c r="F56" s="71"/>
      <c r="G56" s="71">
        <f t="shared" si="0"/>
        <v>2</v>
      </c>
    </row>
    <row r="57" spans="1:7" ht="13.5" customHeight="1">
      <c r="A57" s="73">
        <v>54</v>
      </c>
      <c r="B57" s="71" t="s">
        <v>273</v>
      </c>
      <c r="C57" s="74" t="s">
        <v>271</v>
      </c>
      <c r="D57" s="73">
        <v>3</v>
      </c>
      <c r="E57" s="71"/>
      <c r="F57" s="71"/>
      <c r="G57" s="71">
        <f t="shared" si="0"/>
        <v>3</v>
      </c>
    </row>
    <row r="58" spans="1:7" ht="13.5" customHeight="1">
      <c r="A58" s="73">
        <v>55</v>
      </c>
      <c r="B58" s="71" t="s">
        <v>274</v>
      </c>
      <c r="C58" s="72" t="s">
        <v>284</v>
      </c>
      <c r="D58" s="73">
        <v>4</v>
      </c>
      <c r="E58" s="71"/>
      <c r="F58" s="71"/>
      <c r="G58" s="71">
        <f t="shared" si="0"/>
        <v>4</v>
      </c>
    </row>
    <row r="59" spans="1:7" ht="13.5" customHeight="1">
      <c r="A59" s="73">
        <v>56</v>
      </c>
      <c r="B59" s="71" t="s">
        <v>275</v>
      </c>
      <c r="C59" s="74" t="s">
        <v>283</v>
      </c>
      <c r="D59" s="73">
        <v>2</v>
      </c>
      <c r="E59" s="71"/>
      <c r="F59" s="71">
        <v>1</v>
      </c>
      <c r="G59" s="71">
        <f t="shared" si="0"/>
        <v>1</v>
      </c>
    </row>
    <row r="60" spans="1:7" ht="13.5" customHeight="1">
      <c r="A60" s="73">
        <v>57</v>
      </c>
      <c r="B60" s="71" t="s">
        <v>281</v>
      </c>
      <c r="C60" s="74" t="s">
        <v>282</v>
      </c>
      <c r="D60" s="73">
        <v>2</v>
      </c>
      <c r="E60" s="71"/>
      <c r="F60" s="71"/>
      <c r="G60" s="71">
        <f t="shared" si="0"/>
        <v>2</v>
      </c>
    </row>
    <row r="61" spans="1:7" ht="13.5" customHeight="1">
      <c r="A61" s="73">
        <v>58</v>
      </c>
      <c r="B61" s="71" t="s">
        <v>285</v>
      </c>
      <c r="C61" s="74" t="s">
        <v>286</v>
      </c>
      <c r="D61" s="73">
        <v>2</v>
      </c>
      <c r="E61" s="71"/>
      <c r="F61" s="71">
        <v>1</v>
      </c>
      <c r="G61" s="71">
        <f t="shared" si="0"/>
        <v>1</v>
      </c>
    </row>
    <row r="62" spans="1:7">
      <c r="A62" s="73">
        <v>59</v>
      </c>
      <c r="B62" s="63" t="s">
        <v>291</v>
      </c>
      <c r="C62" s="49" t="s">
        <v>292</v>
      </c>
      <c r="D62" s="73">
        <v>1</v>
      </c>
      <c r="E62" s="71"/>
      <c r="F62" s="71"/>
      <c r="G62" s="71">
        <f t="shared" si="0"/>
        <v>1</v>
      </c>
    </row>
    <row r="63" spans="1:7">
      <c r="A63" s="75">
        <v>60</v>
      </c>
      <c r="B63" s="63" t="s">
        <v>294</v>
      </c>
      <c r="C63" s="52" t="s">
        <v>293</v>
      </c>
      <c r="D63" s="75">
        <v>0</v>
      </c>
      <c r="E63" s="75"/>
      <c r="F63" s="75"/>
      <c r="G63" s="71">
        <f t="shared" si="0"/>
        <v>0</v>
      </c>
    </row>
    <row r="64" spans="1:7">
      <c r="A64" s="75">
        <v>61</v>
      </c>
      <c r="B64" s="63" t="s">
        <v>295</v>
      </c>
      <c r="C64" s="52" t="s">
        <v>315</v>
      </c>
      <c r="D64" s="75">
        <v>70</v>
      </c>
      <c r="E64" s="75"/>
      <c r="F64" s="75"/>
      <c r="G64" s="71">
        <f t="shared" si="0"/>
        <v>70</v>
      </c>
    </row>
    <row r="65" spans="1:7">
      <c r="A65" s="75">
        <v>62</v>
      </c>
      <c r="B65" s="63" t="s">
        <v>296</v>
      </c>
      <c r="C65" s="52" t="s">
        <v>316</v>
      </c>
      <c r="D65" s="75">
        <v>14</v>
      </c>
      <c r="E65" s="75"/>
      <c r="F65" s="75"/>
      <c r="G65" s="71">
        <f t="shared" si="0"/>
        <v>14</v>
      </c>
    </row>
    <row r="66" spans="1:7">
      <c r="A66" s="75">
        <v>63</v>
      </c>
      <c r="B66" s="63" t="s">
        <v>297</v>
      </c>
      <c r="C66" s="52" t="s">
        <v>317</v>
      </c>
      <c r="D66" s="75">
        <v>36</v>
      </c>
      <c r="E66" s="75"/>
      <c r="F66" s="75"/>
      <c r="G66" s="71">
        <f t="shared" si="0"/>
        <v>36</v>
      </c>
    </row>
    <row r="67" spans="1:7">
      <c r="A67" s="75">
        <v>64</v>
      </c>
      <c r="B67" s="63" t="s">
        <v>298</v>
      </c>
      <c r="C67" s="52" t="s">
        <v>318</v>
      </c>
      <c r="D67" s="75">
        <v>39</v>
      </c>
      <c r="E67" s="75"/>
      <c r="F67" s="75"/>
      <c r="G67" s="71">
        <f t="shared" si="0"/>
        <v>39</v>
      </c>
    </row>
    <row r="68" spans="1:7">
      <c r="A68" s="75">
        <v>65</v>
      </c>
      <c r="B68" s="63" t="s">
        <v>299</v>
      </c>
      <c r="C68" s="52" t="s">
        <v>319</v>
      </c>
      <c r="D68" s="75">
        <v>25</v>
      </c>
      <c r="E68" s="75"/>
      <c r="F68" s="75"/>
      <c r="G68" s="71">
        <f t="shared" si="0"/>
        <v>25</v>
      </c>
    </row>
    <row r="69" spans="1:7">
      <c r="A69" s="75">
        <v>66</v>
      </c>
      <c r="B69" s="63" t="s">
        <v>300</v>
      </c>
      <c r="C69" s="52" t="s">
        <v>320</v>
      </c>
      <c r="D69" s="75">
        <v>43</v>
      </c>
      <c r="E69" s="75"/>
      <c r="F69" s="75"/>
      <c r="G69" s="71">
        <f t="shared" ref="G69:G87" si="1">SUM(D69+E69)-F69</f>
        <v>43</v>
      </c>
    </row>
    <row r="70" spans="1:7">
      <c r="A70" s="75">
        <v>67</v>
      </c>
      <c r="B70" s="63" t="s">
        <v>301</v>
      </c>
      <c r="C70" s="52" t="s">
        <v>321</v>
      </c>
      <c r="D70" s="75">
        <v>39</v>
      </c>
      <c r="E70" s="75"/>
      <c r="F70" s="75"/>
      <c r="G70" s="71">
        <f t="shared" si="1"/>
        <v>39</v>
      </c>
    </row>
    <row r="71" spans="1:7">
      <c r="A71" s="75">
        <v>68</v>
      </c>
      <c r="B71" s="63" t="s">
        <v>302</v>
      </c>
      <c r="C71" s="52" t="s">
        <v>322</v>
      </c>
      <c r="D71" s="75">
        <v>19</v>
      </c>
      <c r="E71" s="75"/>
      <c r="F71" s="75"/>
      <c r="G71" s="71">
        <f t="shared" si="1"/>
        <v>19</v>
      </c>
    </row>
    <row r="72" spans="1:7">
      <c r="A72" s="75">
        <v>69</v>
      </c>
      <c r="B72" s="63" t="s">
        <v>303</v>
      </c>
      <c r="C72" s="52" t="s">
        <v>323</v>
      </c>
      <c r="D72" s="75">
        <v>4</v>
      </c>
      <c r="E72" s="75"/>
      <c r="F72" s="75"/>
      <c r="G72" s="71">
        <f t="shared" si="1"/>
        <v>4</v>
      </c>
    </row>
    <row r="73" spans="1:7">
      <c r="A73" s="75">
        <v>70</v>
      </c>
      <c r="B73" s="63" t="s">
        <v>304</v>
      </c>
      <c r="C73" s="52" t="s">
        <v>324</v>
      </c>
      <c r="D73" s="75">
        <v>35</v>
      </c>
      <c r="E73" s="75"/>
      <c r="F73" s="75"/>
      <c r="G73" s="71">
        <f t="shared" si="1"/>
        <v>35</v>
      </c>
    </row>
    <row r="74" spans="1:7">
      <c r="A74" s="75">
        <v>71</v>
      </c>
      <c r="B74" s="63" t="s">
        <v>305</v>
      </c>
      <c r="C74" s="52" t="s">
        <v>325</v>
      </c>
      <c r="D74" s="75">
        <v>12</v>
      </c>
      <c r="E74" s="75"/>
      <c r="F74" s="75"/>
      <c r="G74" s="71">
        <f t="shared" si="1"/>
        <v>12</v>
      </c>
    </row>
    <row r="75" spans="1:7">
      <c r="A75" s="75">
        <v>72</v>
      </c>
      <c r="B75" s="63" t="s">
        <v>306</v>
      </c>
      <c r="C75" s="52" t="s">
        <v>326</v>
      </c>
      <c r="D75" s="75">
        <v>40</v>
      </c>
      <c r="E75" s="75"/>
      <c r="F75" s="75"/>
      <c r="G75" s="71">
        <f t="shared" si="1"/>
        <v>40</v>
      </c>
    </row>
    <row r="76" spans="1:7">
      <c r="A76" s="75">
        <v>73</v>
      </c>
      <c r="B76" s="63" t="s">
        <v>307</v>
      </c>
      <c r="C76" s="52" t="s">
        <v>327</v>
      </c>
      <c r="D76" s="75">
        <v>16</v>
      </c>
      <c r="E76" s="75"/>
      <c r="F76" s="75"/>
      <c r="G76" s="71">
        <f t="shared" si="1"/>
        <v>16</v>
      </c>
    </row>
    <row r="77" spans="1:7">
      <c r="A77" s="75">
        <v>74</v>
      </c>
      <c r="B77" s="63" t="s">
        <v>308</v>
      </c>
      <c r="C77" s="52" t="s">
        <v>328</v>
      </c>
      <c r="D77" s="75">
        <v>21</v>
      </c>
      <c r="E77" s="75"/>
      <c r="F77" s="75"/>
      <c r="G77" s="71">
        <f t="shared" si="1"/>
        <v>21</v>
      </c>
    </row>
    <row r="78" spans="1:7">
      <c r="A78" s="75">
        <v>75</v>
      </c>
      <c r="B78" s="63" t="s">
        <v>309</v>
      </c>
      <c r="C78" s="52" t="s">
        <v>329</v>
      </c>
      <c r="D78" s="75">
        <v>24</v>
      </c>
      <c r="E78" s="75"/>
      <c r="F78" s="75"/>
      <c r="G78" s="71">
        <f t="shared" si="1"/>
        <v>24</v>
      </c>
    </row>
    <row r="79" spans="1:7">
      <c r="A79" s="75">
        <v>76</v>
      </c>
      <c r="B79" s="63" t="s">
        <v>310</v>
      </c>
      <c r="C79" s="52" t="s">
        <v>330</v>
      </c>
      <c r="D79" s="75">
        <v>31</v>
      </c>
      <c r="E79" s="75"/>
      <c r="F79" s="75"/>
      <c r="G79" s="71">
        <f t="shared" si="1"/>
        <v>31</v>
      </c>
    </row>
    <row r="80" spans="1:7">
      <c r="A80" s="75">
        <v>77</v>
      </c>
      <c r="B80" s="63" t="s">
        <v>311</v>
      </c>
      <c r="C80" s="52" t="s">
        <v>331</v>
      </c>
      <c r="D80" s="75">
        <v>30</v>
      </c>
      <c r="E80" s="75"/>
      <c r="F80" s="75"/>
      <c r="G80" s="71">
        <f t="shared" si="1"/>
        <v>30</v>
      </c>
    </row>
    <row r="81" spans="1:7">
      <c r="A81" s="75">
        <v>78</v>
      </c>
      <c r="B81" s="63" t="s">
        <v>312</v>
      </c>
      <c r="C81" s="52" t="s">
        <v>332</v>
      </c>
      <c r="D81" s="75">
        <v>12</v>
      </c>
      <c r="E81" s="75"/>
      <c r="F81" s="75"/>
      <c r="G81" s="71">
        <f t="shared" si="1"/>
        <v>12</v>
      </c>
    </row>
    <row r="82" spans="1:7">
      <c r="A82" s="75">
        <v>79</v>
      </c>
      <c r="B82" s="63" t="s">
        <v>313</v>
      </c>
      <c r="C82" s="52" t="s">
        <v>333</v>
      </c>
      <c r="D82" s="75">
        <v>23</v>
      </c>
      <c r="E82" s="75"/>
      <c r="F82" s="75"/>
      <c r="G82" s="71">
        <f t="shared" si="1"/>
        <v>23</v>
      </c>
    </row>
    <row r="83" spans="1:7">
      <c r="A83" s="75">
        <v>80</v>
      </c>
      <c r="B83" s="63" t="s">
        <v>314</v>
      </c>
      <c r="C83" s="52" t="s">
        <v>334</v>
      </c>
      <c r="D83" s="75">
        <v>4</v>
      </c>
      <c r="E83" s="75"/>
      <c r="F83" s="75"/>
      <c r="G83" s="71">
        <f t="shared" si="1"/>
        <v>4</v>
      </c>
    </row>
    <row r="84" spans="1:7">
      <c r="A84" s="75">
        <v>81</v>
      </c>
      <c r="B84" s="63" t="s">
        <v>335</v>
      </c>
      <c r="C84" s="52" t="s">
        <v>336</v>
      </c>
      <c r="D84" s="75">
        <v>-1</v>
      </c>
      <c r="E84" s="75"/>
      <c r="F84" s="75">
        <v>7</v>
      </c>
      <c r="G84" s="71">
        <f t="shared" si="1"/>
        <v>-8</v>
      </c>
    </row>
    <row r="85" spans="1:7">
      <c r="A85" s="75">
        <v>82</v>
      </c>
      <c r="B85" s="63" t="s">
        <v>339</v>
      </c>
      <c r="C85" s="72" t="s">
        <v>340</v>
      </c>
      <c r="D85" s="75">
        <v>2</v>
      </c>
      <c r="E85" s="75"/>
      <c r="F85" s="75"/>
      <c r="G85" s="71">
        <f t="shared" si="1"/>
        <v>2</v>
      </c>
    </row>
    <row r="86" spans="1:7">
      <c r="A86" s="75">
        <v>83</v>
      </c>
      <c r="B86" s="63" t="s">
        <v>341</v>
      </c>
      <c r="C86" s="72" t="s">
        <v>342</v>
      </c>
      <c r="D86" s="75">
        <v>2</v>
      </c>
      <c r="E86" s="75"/>
      <c r="F86" s="75"/>
      <c r="G86" s="71">
        <f t="shared" si="1"/>
        <v>2</v>
      </c>
    </row>
    <row r="87" spans="1:7">
      <c r="A87" s="75">
        <v>84</v>
      </c>
      <c r="B87" s="63" t="s">
        <v>344</v>
      </c>
      <c r="C87" s="72" t="s">
        <v>345</v>
      </c>
      <c r="D87" s="75">
        <v>4</v>
      </c>
      <c r="E87" s="75"/>
      <c r="F87" s="75"/>
      <c r="G87" s="71">
        <f t="shared" si="1"/>
        <v>4</v>
      </c>
    </row>
    <row r="88" spans="1:7">
      <c r="A88" s="75">
        <v>85</v>
      </c>
      <c r="B88" s="63" t="s">
        <v>404</v>
      </c>
      <c r="C88" s="76" t="s">
        <v>405</v>
      </c>
      <c r="D88" s="75">
        <v>2</v>
      </c>
      <c r="E88" s="75"/>
      <c r="F88" s="75"/>
      <c r="G88" s="71">
        <f t="shared" ref="G88" si="2">SUM(D88+E88)-F88</f>
        <v>2</v>
      </c>
    </row>
    <row r="89" spans="1:7">
      <c r="A89" s="75">
        <v>86</v>
      </c>
      <c r="B89" s="63" t="s">
        <v>466</v>
      </c>
      <c r="C89" s="76" t="s">
        <v>467</v>
      </c>
      <c r="D89" s="75">
        <v>0</v>
      </c>
      <c r="E89" s="75"/>
      <c r="F89" s="75"/>
      <c r="G89" s="71">
        <f t="shared" ref="G89:G90" si="3">SUM(D89+E89)-F89</f>
        <v>0</v>
      </c>
    </row>
    <row r="90" spans="1:7">
      <c r="A90" s="75">
        <v>87</v>
      </c>
      <c r="B90" s="63" t="s">
        <v>472</v>
      </c>
      <c r="C90" s="77" t="s">
        <v>473</v>
      </c>
      <c r="D90" s="77"/>
      <c r="E90" s="75">
        <v>6</v>
      </c>
      <c r="F90" s="75">
        <v>6</v>
      </c>
      <c r="G90" s="71">
        <f t="shared" si="3"/>
        <v>0</v>
      </c>
    </row>
  </sheetData>
  <mergeCells count="2">
    <mergeCell ref="A1:D1"/>
    <mergeCell ref="E2:G2"/>
  </mergeCells>
  <hyperlinks>
    <hyperlink ref="A3" r:id="rId1" display="http://s.no/"/>
  </hyperlinks>
  <pageMargins left="0.70866141732283472" right="0.70866141732283472" top="0.56000000000000005" bottom="0.43" header="0.31496062992125984" footer="0.31496062992125984"/>
  <pageSetup paperSize="9" scale="95" orientation="portrait"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>
      <selection activeCell="A58" sqref="A58:A60"/>
    </sheetView>
  </sheetViews>
  <sheetFormatPr defaultRowHeight="15.75"/>
  <cols>
    <col min="1" max="1" width="4.5703125" style="55" bestFit="1" customWidth="1"/>
    <col min="2" max="2" width="10" style="55" customWidth="1"/>
    <col min="3" max="3" width="82" style="55" bestFit="1" customWidth="1"/>
    <col min="4" max="4" width="11.28515625" style="55" bestFit="1" customWidth="1"/>
    <col min="5" max="6" width="7.140625" style="55" bestFit="1" customWidth="1"/>
    <col min="7" max="7" width="5.140625" style="55" bestFit="1" customWidth="1"/>
    <col min="8" max="8" width="10.140625" style="55" customWidth="1"/>
    <col min="9" max="16384" width="9.140625" style="55"/>
  </cols>
  <sheetData>
    <row r="1" spans="1:8">
      <c r="A1" s="86" t="s">
        <v>402</v>
      </c>
      <c r="B1" s="86"/>
      <c r="C1" s="86"/>
      <c r="D1" s="86"/>
      <c r="E1" s="86"/>
    </row>
    <row r="2" spans="1:8" s="13" customFormat="1" ht="24">
      <c r="A2" s="58" t="s">
        <v>276</v>
      </c>
      <c r="B2" s="58" t="s">
        <v>410</v>
      </c>
      <c r="C2" s="59" t="s">
        <v>2</v>
      </c>
      <c r="D2" s="59" t="s">
        <v>346</v>
      </c>
      <c r="E2" s="59" t="s">
        <v>403</v>
      </c>
      <c r="F2" s="54" t="s">
        <v>278</v>
      </c>
      <c r="G2" s="54" t="s">
        <v>279</v>
      </c>
      <c r="H2" s="54" t="s">
        <v>280</v>
      </c>
    </row>
    <row r="3" spans="1:8" ht="31.5">
      <c r="A3" s="46">
        <v>1</v>
      </c>
      <c r="B3" s="46" t="s">
        <v>411</v>
      </c>
      <c r="C3" s="47" t="s">
        <v>347</v>
      </c>
      <c r="D3" s="48"/>
      <c r="E3" s="46">
        <v>0</v>
      </c>
      <c r="F3" s="53"/>
      <c r="G3" s="53"/>
      <c r="H3" s="53">
        <f>SUM(E3+F3)-G3</f>
        <v>0</v>
      </c>
    </row>
    <row r="4" spans="1:8">
      <c r="A4" s="46">
        <v>2</v>
      </c>
      <c r="B4" s="46" t="s">
        <v>412</v>
      </c>
      <c r="C4" s="47" t="s">
        <v>348</v>
      </c>
      <c r="D4" s="48">
        <v>105695091</v>
      </c>
      <c r="E4" s="46">
        <v>1</v>
      </c>
      <c r="F4" s="53"/>
      <c r="G4" s="53"/>
      <c r="H4" s="53">
        <f t="shared" ref="H4:H53" si="0">SUM(E4+F4)-G4</f>
        <v>1</v>
      </c>
    </row>
    <row r="5" spans="1:8">
      <c r="A5" s="46">
        <v>3</v>
      </c>
      <c r="B5" s="46" t="s">
        <v>413</v>
      </c>
      <c r="C5" s="47" t="s">
        <v>349</v>
      </c>
      <c r="D5" s="48">
        <v>15696211</v>
      </c>
      <c r="E5" s="46">
        <v>1</v>
      </c>
      <c r="F5" s="53"/>
      <c r="G5" s="53"/>
      <c r="H5" s="53">
        <f t="shared" si="0"/>
        <v>1</v>
      </c>
    </row>
    <row r="6" spans="1:8">
      <c r="A6" s="46">
        <v>4</v>
      </c>
      <c r="B6" s="46" t="s">
        <v>414</v>
      </c>
      <c r="C6" s="47" t="s">
        <v>350</v>
      </c>
      <c r="D6" s="48">
        <v>115001504</v>
      </c>
      <c r="E6" s="46">
        <v>1</v>
      </c>
      <c r="F6" s="53"/>
      <c r="G6" s="53"/>
      <c r="H6" s="53">
        <f t="shared" si="0"/>
        <v>1</v>
      </c>
    </row>
    <row r="7" spans="1:8" ht="31.5">
      <c r="A7" s="46">
        <v>5</v>
      </c>
      <c r="B7" s="46" t="s">
        <v>415</v>
      </c>
      <c r="C7" s="47" t="s">
        <v>351</v>
      </c>
      <c r="D7" s="48">
        <v>101385175</v>
      </c>
      <c r="E7" s="46">
        <v>3</v>
      </c>
      <c r="F7" s="53"/>
      <c r="G7" s="53"/>
      <c r="H7" s="53">
        <f t="shared" si="0"/>
        <v>3</v>
      </c>
    </row>
    <row r="8" spans="1:8" ht="31.5">
      <c r="A8" s="46">
        <v>6</v>
      </c>
      <c r="B8" s="46" t="s">
        <v>416</v>
      </c>
      <c r="C8" s="47" t="s">
        <v>352</v>
      </c>
      <c r="D8" s="48">
        <v>107971591</v>
      </c>
      <c r="E8" s="46">
        <v>5</v>
      </c>
      <c r="F8" s="53"/>
      <c r="G8" s="53"/>
      <c r="H8" s="53">
        <f t="shared" si="0"/>
        <v>5</v>
      </c>
    </row>
    <row r="9" spans="1:8" ht="31.5">
      <c r="A9" s="46">
        <v>7</v>
      </c>
      <c r="B9" s="46" t="s">
        <v>417</v>
      </c>
      <c r="C9" s="47" t="s">
        <v>353</v>
      </c>
      <c r="D9" s="48">
        <v>101385176</v>
      </c>
      <c r="E9" s="46">
        <v>2</v>
      </c>
      <c r="F9" s="53"/>
      <c r="G9" s="53"/>
      <c r="H9" s="53">
        <f t="shared" si="0"/>
        <v>2</v>
      </c>
    </row>
    <row r="10" spans="1:8" ht="31.5">
      <c r="A10" s="46">
        <v>8</v>
      </c>
      <c r="B10" s="46" t="s">
        <v>418</v>
      </c>
      <c r="C10" s="47" t="s">
        <v>354</v>
      </c>
      <c r="D10" s="48">
        <v>107983952</v>
      </c>
      <c r="E10" s="46">
        <v>2</v>
      </c>
      <c r="F10" s="53"/>
      <c r="G10" s="53"/>
      <c r="H10" s="53">
        <f t="shared" si="0"/>
        <v>2</v>
      </c>
    </row>
    <row r="11" spans="1:8">
      <c r="A11" s="46">
        <v>9</v>
      </c>
      <c r="B11" s="46" t="s">
        <v>419</v>
      </c>
      <c r="C11" s="47" t="s">
        <v>355</v>
      </c>
      <c r="D11" s="48"/>
      <c r="E11" s="46">
        <v>0</v>
      </c>
      <c r="F11" s="53"/>
      <c r="G11" s="53"/>
      <c r="H11" s="53">
        <f t="shared" si="0"/>
        <v>0</v>
      </c>
    </row>
    <row r="12" spans="1:8">
      <c r="A12" s="46">
        <v>10</v>
      </c>
      <c r="B12" s="46" t="s">
        <v>420</v>
      </c>
      <c r="C12" s="47" t="s">
        <v>356</v>
      </c>
      <c r="D12" s="48">
        <v>100848354</v>
      </c>
      <c r="E12" s="46">
        <v>1</v>
      </c>
      <c r="F12" s="53">
        <v>2</v>
      </c>
      <c r="G12" s="53">
        <v>1</v>
      </c>
      <c r="H12" s="53">
        <f t="shared" si="0"/>
        <v>2</v>
      </c>
    </row>
    <row r="13" spans="1:8" ht="31.5">
      <c r="A13" s="46">
        <v>11</v>
      </c>
      <c r="B13" s="46" t="s">
        <v>421</v>
      </c>
      <c r="C13" s="47" t="s">
        <v>357</v>
      </c>
      <c r="D13" s="48"/>
      <c r="E13" s="46">
        <v>1</v>
      </c>
      <c r="F13" s="53"/>
      <c r="G13" s="53"/>
      <c r="H13" s="53">
        <f t="shared" si="0"/>
        <v>1</v>
      </c>
    </row>
    <row r="14" spans="1:8">
      <c r="A14" s="46">
        <v>12</v>
      </c>
      <c r="B14" s="46" t="s">
        <v>422</v>
      </c>
      <c r="C14" s="47" t="s">
        <v>358</v>
      </c>
      <c r="D14" s="48">
        <v>100834285</v>
      </c>
      <c r="E14" s="46">
        <v>5</v>
      </c>
      <c r="F14" s="53"/>
      <c r="G14" s="53"/>
      <c r="H14" s="53">
        <f t="shared" si="0"/>
        <v>5</v>
      </c>
    </row>
    <row r="15" spans="1:8">
      <c r="A15" s="46">
        <v>13</v>
      </c>
      <c r="B15" s="46" t="s">
        <v>423</v>
      </c>
      <c r="C15" s="47" t="s">
        <v>359</v>
      </c>
      <c r="D15" s="48"/>
      <c r="E15" s="46">
        <v>4</v>
      </c>
      <c r="F15" s="53"/>
      <c r="G15" s="53"/>
      <c r="H15" s="53">
        <f t="shared" si="0"/>
        <v>4</v>
      </c>
    </row>
    <row r="16" spans="1:8" ht="31.5">
      <c r="A16" s="46">
        <v>14</v>
      </c>
      <c r="B16" s="46" t="s">
        <v>424</v>
      </c>
      <c r="C16" s="47" t="s">
        <v>360</v>
      </c>
      <c r="D16" s="48">
        <v>102192888</v>
      </c>
      <c r="E16" s="46">
        <v>1</v>
      </c>
      <c r="F16" s="53"/>
      <c r="G16" s="53"/>
      <c r="H16" s="53">
        <f t="shared" si="0"/>
        <v>1</v>
      </c>
    </row>
    <row r="17" spans="1:8" ht="31.5">
      <c r="A17" s="46">
        <v>15</v>
      </c>
      <c r="B17" s="46" t="s">
        <v>425</v>
      </c>
      <c r="C17" s="47" t="s">
        <v>361</v>
      </c>
      <c r="D17" s="48"/>
      <c r="E17" s="46">
        <v>0</v>
      </c>
      <c r="F17" s="53"/>
      <c r="G17" s="53"/>
      <c r="H17" s="53">
        <f t="shared" si="0"/>
        <v>0</v>
      </c>
    </row>
    <row r="18" spans="1:8" ht="31.5">
      <c r="A18" s="46">
        <v>16</v>
      </c>
      <c r="B18" s="46" t="s">
        <v>426</v>
      </c>
      <c r="C18" s="47" t="s">
        <v>362</v>
      </c>
      <c r="D18" s="48"/>
      <c r="E18" s="46">
        <v>0</v>
      </c>
      <c r="F18" s="53"/>
      <c r="G18" s="53"/>
      <c r="H18" s="53">
        <f t="shared" si="0"/>
        <v>0</v>
      </c>
    </row>
    <row r="19" spans="1:8">
      <c r="A19" s="46">
        <v>17</v>
      </c>
      <c r="B19" s="46" t="s">
        <v>427</v>
      </c>
      <c r="C19" s="47" t="s">
        <v>363</v>
      </c>
      <c r="D19" s="48">
        <v>107839405</v>
      </c>
      <c r="E19" s="46">
        <v>1</v>
      </c>
      <c r="F19" s="53"/>
      <c r="G19" s="53"/>
      <c r="H19" s="53">
        <f t="shared" si="0"/>
        <v>1</v>
      </c>
    </row>
    <row r="20" spans="1:8">
      <c r="A20" s="46">
        <v>18</v>
      </c>
      <c r="B20" s="46" t="s">
        <v>428</v>
      </c>
      <c r="C20" s="47" t="s">
        <v>364</v>
      </c>
      <c r="D20" s="48">
        <v>102891762</v>
      </c>
      <c r="E20" s="46">
        <v>1</v>
      </c>
      <c r="F20" s="53"/>
      <c r="G20" s="53"/>
      <c r="H20" s="53">
        <f t="shared" si="0"/>
        <v>1</v>
      </c>
    </row>
    <row r="21" spans="1:8">
      <c r="A21" s="46">
        <v>19</v>
      </c>
      <c r="B21" s="46" t="s">
        <v>429</v>
      </c>
      <c r="C21" s="47" t="s">
        <v>365</v>
      </c>
      <c r="D21" s="48">
        <v>100850370</v>
      </c>
      <c r="E21" s="46">
        <v>2</v>
      </c>
      <c r="F21" s="53"/>
      <c r="G21" s="53"/>
      <c r="H21" s="53">
        <f t="shared" si="0"/>
        <v>2</v>
      </c>
    </row>
    <row r="22" spans="1:8">
      <c r="A22" s="46">
        <v>20</v>
      </c>
      <c r="B22" s="46" t="s">
        <v>430</v>
      </c>
      <c r="C22" s="47" t="s">
        <v>366</v>
      </c>
      <c r="D22" s="48"/>
      <c r="E22" s="46"/>
      <c r="F22" s="53"/>
      <c r="G22" s="53"/>
      <c r="H22" s="53">
        <f t="shared" si="0"/>
        <v>0</v>
      </c>
    </row>
    <row r="23" spans="1:8">
      <c r="A23" s="46">
        <v>21</v>
      </c>
      <c r="B23" s="46" t="s">
        <v>431</v>
      </c>
      <c r="C23" s="47" t="s">
        <v>367</v>
      </c>
      <c r="D23" s="48"/>
      <c r="E23" s="46"/>
      <c r="F23" s="53"/>
      <c r="G23" s="53"/>
      <c r="H23" s="53">
        <f t="shared" si="0"/>
        <v>0</v>
      </c>
    </row>
    <row r="24" spans="1:8">
      <c r="A24" s="46">
        <v>22</v>
      </c>
      <c r="B24" s="46" t="s">
        <v>432</v>
      </c>
      <c r="C24" s="47" t="s">
        <v>368</v>
      </c>
      <c r="D24" s="48">
        <v>104987040</v>
      </c>
      <c r="E24" s="46">
        <v>6</v>
      </c>
      <c r="F24" s="53"/>
      <c r="G24" s="53"/>
      <c r="H24" s="53">
        <f t="shared" si="0"/>
        <v>6</v>
      </c>
    </row>
    <row r="25" spans="1:8">
      <c r="A25" s="46">
        <v>23</v>
      </c>
      <c r="B25" s="46" t="s">
        <v>433</v>
      </c>
      <c r="C25" s="47" t="s">
        <v>369</v>
      </c>
      <c r="D25" s="48">
        <v>104987058</v>
      </c>
      <c r="E25" s="46">
        <v>7</v>
      </c>
      <c r="F25" s="53"/>
      <c r="G25" s="53"/>
      <c r="H25" s="53">
        <f t="shared" si="0"/>
        <v>7</v>
      </c>
    </row>
    <row r="26" spans="1:8">
      <c r="A26" s="46">
        <v>24</v>
      </c>
      <c r="B26" s="46" t="s">
        <v>434</v>
      </c>
      <c r="C26" s="47" t="s">
        <v>370</v>
      </c>
      <c r="D26" s="48"/>
      <c r="E26" s="46">
        <v>19</v>
      </c>
      <c r="F26" s="53"/>
      <c r="G26" s="53"/>
      <c r="H26" s="53">
        <f t="shared" si="0"/>
        <v>19</v>
      </c>
    </row>
    <row r="27" spans="1:8">
      <c r="A27" s="46">
        <v>25</v>
      </c>
      <c r="B27" s="46" t="s">
        <v>435</v>
      </c>
      <c r="C27" s="47" t="s">
        <v>371</v>
      </c>
      <c r="D27" s="48"/>
      <c r="E27" s="46">
        <v>0</v>
      </c>
      <c r="F27" s="53"/>
      <c r="G27" s="53"/>
      <c r="H27" s="53">
        <f t="shared" si="0"/>
        <v>0</v>
      </c>
    </row>
    <row r="28" spans="1:8">
      <c r="A28" s="46">
        <v>26</v>
      </c>
      <c r="B28" s="46" t="s">
        <v>436</v>
      </c>
      <c r="C28" s="47" t="s">
        <v>372</v>
      </c>
      <c r="D28" s="48"/>
      <c r="E28" s="46">
        <v>0</v>
      </c>
      <c r="F28" s="53"/>
      <c r="G28" s="53"/>
      <c r="H28" s="53">
        <f t="shared" si="0"/>
        <v>0</v>
      </c>
    </row>
    <row r="29" spans="1:8" ht="31.5">
      <c r="A29" s="46">
        <v>27</v>
      </c>
      <c r="B29" s="46" t="s">
        <v>437</v>
      </c>
      <c r="C29" s="47" t="s">
        <v>373</v>
      </c>
      <c r="D29" s="48"/>
      <c r="E29" s="46">
        <v>0</v>
      </c>
      <c r="F29" s="53"/>
      <c r="G29" s="53"/>
      <c r="H29" s="53">
        <f t="shared" si="0"/>
        <v>0</v>
      </c>
    </row>
    <row r="30" spans="1:8">
      <c r="A30" s="46">
        <v>28</v>
      </c>
      <c r="B30" s="46" t="s">
        <v>438</v>
      </c>
      <c r="C30" s="47" t="s">
        <v>374</v>
      </c>
      <c r="D30" s="48"/>
      <c r="E30" s="46">
        <v>0</v>
      </c>
      <c r="F30" s="53"/>
      <c r="G30" s="53"/>
      <c r="H30" s="53">
        <f t="shared" si="0"/>
        <v>0</v>
      </c>
    </row>
    <row r="31" spans="1:8" ht="31.5">
      <c r="A31" s="46">
        <v>29</v>
      </c>
      <c r="B31" s="46" t="s">
        <v>439</v>
      </c>
      <c r="C31" s="47" t="s">
        <v>375</v>
      </c>
      <c r="D31" s="48"/>
      <c r="E31" s="46">
        <v>1</v>
      </c>
      <c r="F31" s="53"/>
      <c r="G31" s="53"/>
      <c r="H31" s="53">
        <f t="shared" si="0"/>
        <v>1</v>
      </c>
    </row>
    <row r="32" spans="1:8">
      <c r="A32" s="46">
        <v>30</v>
      </c>
      <c r="B32" s="46" t="s">
        <v>440</v>
      </c>
      <c r="C32" s="47" t="s">
        <v>376</v>
      </c>
      <c r="D32" s="48"/>
      <c r="E32" s="46">
        <v>0</v>
      </c>
      <c r="F32" s="53"/>
      <c r="G32" s="53"/>
      <c r="H32" s="53">
        <f t="shared" si="0"/>
        <v>0</v>
      </c>
    </row>
    <row r="33" spans="1:8">
      <c r="A33" s="46">
        <v>31</v>
      </c>
      <c r="B33" s="46" t="s">
        <v>441</v>
      </c>
      <c r="C33" s="47" t="s">
        <v>377</v>
      </c>
      <c r="D33" s="48"/>
      <c r="E33" s="46">
        <v>0</v>
      </c>
      <c r="F33" s="53"/>
      <c r="G33" s="53"/>
      <c r="H33" s="53">
        <f t="shared" si="0"/>
        <v>0</v>
      </c>
    </row>
    <row r="34" spans="1:8">
      <c r="A34" s="46">
        <v>32</v>
      </c>
      <c r="B34" s="46" t="s">
        <v>442</v>
      </c>
      <c r="C34" s="47" t="s">
        <v>378</v>
      </c>
      <c r="D34" s="48"/>
      <c r="E34" s="46">
        <v>0</v>
      </c>
      <c r="F34" s="53"/>
      <c r="G34" s="53"/>
      <c r="H34" s="53">
        <f t="shared" si="0"/>
        <v>0</v>
      </c>
    </row>
    <row r="35" spans="1:8">
      <c r="A35" s="46">
        <v>33</v>
      </c>
      <c r="B35" s="46" t="s">
        <v>443</v>
      </c>
      <c r="C35" s="47" t="s">
        <v>379</v>
      </c>
      <c r="D35" s="48">
        <v>106025001</v>
      </c>
      <c r="E35" s="46">
        <v>1</v>
      </c>
      <c r="F35" s="53"/>
      <c r="G35" s="53"/>
      <c r="H35" s="53">
        <f t="shared" si="0"/>
        <v>1</v>
      </c>
    </row>
    <row r="36" spans="1:8">
      <c r="A36" s="46">
        <v>34</v>
      </c>
      <c r="B36" s="46" t="s">
        <v>444</v>
      </c>
      <c r="C36" s="47" t="s">
        <v>380</v>
      </c>
      <c r="D36" s="48">
        <v>105704435</v>
      </c>
      <c r="E36" s="46">
        <v>1</v>
      </c>
      <c r="F36" s="53"/>
      <c r="G36" s="53"/>
      <c r="H36" s="53">
        <f t="shared" si="0"/>
        <v>1</v>
      </c>
    </row>
    <row r="37" spans="1:8">
      <c r="A37" s="46">
        <v>35</v>
      </c>
      <c r="B37" s="46" t="s">
        <v>445</v>
      </c>
      <c r="C37" s="47" t="s">
        <v>381</v>
      </c>
      <c r="D37" s="48"/>
      <c r="E37" s="46">
        <v>0</v>
      </c>
      <c r="F37" s="53"/>
      <c r="G37" s="53"/>
      <c r="H37" s="53">
        <f t="shared" si="0"/>
        <v>0</v>
      </c>
    </row>
    <row r="38" spans="1:8">
      <c r="A38" s="46">
        <v>36</v>
      </c>
      <c r="B38" s="46" t="s">
        <v>446</v>
      </c>
      <c r="C38" s="47" t="s">
        <v>382</v>
      </c>
      <c r="D38" s="48"/>
      <c r="E38" s="46">
        <v>0</v>
      </c>
      <c r="F38" s="53"/>
      <c r="G38" s="53"/>
      <c r="H38" s="53">
        <f t="shared" si="0"/>
        <v>0</v>
      </c>
    </row>
    <row r="39" spans="1:8" ht="31.5">
      <c r="A39" s="46">
        <v>37</v>
      </c>
      <c r="B39" s="46" t="s">
        <v>447</v>
      </c>
      <c r="C39" s="47" t="s">
        <v>383</v>
      </c>
      <c r="D39" s="48"/>
      <c r="E39" s="46">
        <v>0</v>
      </c>
      <c r="F39" s="53"/>
      <c r="G39" s="53"/>
      <c r="H39" s="53">
        <f t="shared" si="0"/>
        <v>0</v>
      </c>
    </row>
    <row r="40" spans="1:8" ht="31.5">
      <c r="A40" s="46">
        <v>38</v>
      </c>
      <c r="B40" s="46" t="s">
        <v>448</v>
      </c>
      <c r="C40" s="47" t="s">
        <v>384</v>
      </c>
      <c r="D40" s="48"/>
      <c r="E40" s="46">
        <v>0</v>
      </c>
      <c r="F40" s="53"/>
      <c r="G40" s="53"/>
      <c r="H40" s="53">
        <f t="shared" si="0"/>
        <v>0</v>
      </c>
    </row>
    <row r="41" spans="1:8" ht="31.5">
      <c r="A41" s="46">
        <v>39</v>
      </c>
      <c r="B41" s="46" t="s">
        <v>449</v>
      </c>
      <c r="C41" s="47" t="s">
        <v>385</v>
      </c>
      <c r="D41" s="48"/>
      <c r="E41" s="46">
        <v>0</v>
      </c>
      <c r="F41" s="53"/>
      <c r="G41" s="53"/>
      <c r="H41" s="53">
        <f t="shared" si="0"/>
        <v>0</v>
      </c>
    </row>
    <row r="42" spans="1:8">
      <c r="A42" s="46">
        <v>40</v>
      </c>
      <c r="B42" s="46" t="s">
        <v>450</v>
      </c>
      <c r="C42" s="47" t="s">
        <v>386</v>
      </c>
      <c r="D42" s="48"/>
      <c r="E42" s="46">
        <v>0</v>
      </c>
      <c r="F42" s="53"/>
      <c r="G42" s="53"/>
      <c r="H42" s="53">
        <f t="shared" si="0"/>
        <v>0</v>
      </c>
    </row>
    <row r="43" spans="1:8">
      <c r="A43" s="46">
        <v>41</v>
      </c>
      <c r="B43" s="46" t="s">
        <v>451</v>
      </c>
      <c r="C43" s="47" t="s">
        <v>387</v>
      </c>
      <c r="D43" s="48"/>
      <c r="E43" s="46">
        <v>0</v>
      </c>
      <c r="F43" s="53"/>
      <c r="G43" s="53"/>
      <c r="H43" s="53">
        <f t="shared" si="0"/>
        <v>0</v>
      </c>
    </row>
    <row r="44" spans="1:8">
      <c r="A44" s="46">
        <v>42</v>
      </c>
      <c r="B44" s="46" t="s">
        <v>452</v>
      </c>
      <c r="C44" s="47" t="s">
        <v>388</v>
      </c>
      <c r="D44" s="48"/>
      <c r="E44" s="46">
        <v>1</v>
      </c>
      <c r="F44" s="53"/>
      <c r="G44" s="53"/>
      <c r="H44" s="53">
        <f t="shared" si="0"/>
        <v>1</v>
      </c>
    </row>
    <row r="45" spans="1:8">
      <c r="A45" s="46">
        <v>43</v>
      </c>
      <c r="B45" s="46" t="s">
        <v>453</v>
      </c>
      <c r="C45" s="47" t="s">
        <v>389</v>
      </c>
      <c r="D45" s="48"/>
      <c r="E45" s="46">
        <v>0</v>
      </c>
      <c r="F45" s="53"/>
      <c r="G45" s="53"/>
      <c r="H45" s="53">
        <f t="shared" si="0"/>
        <v>0</v>
      </c>
    </row>
    <row r="46" spans="1:8" ht="31.5">
      <c r="A46" s="46">
        <v>44</v>
      </c>
      <c r="B46" s="46" t="s">
        <v>454</v>
      </c>
      <c r="C46" s="47" t="s">
        <v>390</v>
      </c>
      <c r="D46" s="48"/>
      <c r="E46" s="46">
        <v>1</v>
      </c>
      <c r="F46" s="53"/>
      <c r="G46" s="53"/>
      <c r="H46" s="53">
        <f t="shared" si="0"/>
        <v>1</v>
      </c>
    </row>
    <row r="47" spans="1:8" ht="38.25">
      <c r="A47" s="46">
        <v>45</v>
      </c>
      <c r="B47" s="46" t="s">
        <v>455</v>
      </c>
      <c r="C47" s="49" t="s">
        <v>391</v>
      </c>
      <c r="D47" s="48"/>
      <c r="E47" s="46">
        <v>0</v>
      </c>
      <c r="F47" s="53"/>
      <c r="G47" s="53"/>
      <c r="H47" s="53">
        <f t="shared" si="0"/>
        <v>0</v>
      </c>
    </row>
    <row r="48" spans="1:8" ht="31.5">
      <c r="A48" s="46">
        <v>46</v>
      </c>
      <c r="B48" s="46" t="s">
        <v>456</v>
      </c>
      <c r="C48" s="47" t="s">
        <v>392</v>
      </c>
      <c r="D48" s="48"/>
      <c r="E48" s="46">
        <v>0</v>
      </c>
      <c r="F48" s="53"/>
      <c r="G48" s="53"/>
      <c r="H48" s="53">
        <f t="shared" si="0"/>
        <v>0</v>
      </c>
    </row>
    <row r="49" spans="1:8">
      <c r="A49" s="46">
        <v>47</v>
      </c>
      <c r="B49" s="46" t="s">
        <v>457</v>
      </c>
      <c r="C49" s="47" t="s">
        <v>393</v>
      </c>
      <c r="D49" s="48"/>
      <c r="E49" s="46">
        <v>0</v>
      </c>
      <c r="F49" s="53"/>
      <c r="G49" s="53"/>
      <c r="H49" s="53">
        <f t="shared" si="0"/>
        <v>0</v>
      </c>
    </row>
    <row r="50" spans="1:8">
      <c r="A50" s="46">
        <v>48</v>
      </c>
      <c r="B50" s="46" t="s">
        <v>458</v>
      </c>
      <c r="C50" s="56" t="s">
        <v>394</v>
      </c>
      <c r="D50" s="57"/>
      <c r="E50" s="53">
        <v>1</v>
      </c>
      <c r="F50" s="53"/>
      <c r="G50" s="53"/>
      <c r="H50" s="53">
        <f t="shared" si="0"/>
        <v>1</v>
      </c>
    </row>
    <row r="51" spans="1:8" ht="31.5">
      <c r="A51" s="46">
        <v>49</v>
      </c>
      <c r="B51" s="46" t="s">
        <v>459</v>
      </c>
      <c r="C51" s="56" t="s">
        <v>395</v>
      </c>
      <c r="D51" s="57"/>
      <c r="E51" s="53">
        <v>1</v>
      </c>
      <c r="F51" s="53"/>
      <c r="G51" s="53"/>
      <c r="H51" s="53">
        <f t="shared" si="0"/>
        <v>1</v>
      </c>
    </row>
    <row r="52" spans="1:8">
      <c r="A52" s="46">
        <v>50</v>
      </c>
      <c r="B52" s="46" t="s">
        <v>460</v>
      </c>
      <c r="C52" s="56" t="s">
        <v>396</v>
      </c>
      <c r="D52" s="57">
        <v>102088980</v>
      </c>
      <c r="E52" s="53">
        <v>5</v>
      </c>
      <c r="F52" s="53"/>
      <c r="G52" s="53"/>
      <c r="H52" s="53">
        <f t="shared" si="0"/>
        <v>5</v>
      </c>
    </row>
    <row r="53" spans="1:8" ht="31.5">
      <c r="A53" s="46">
        <v>51</v>
      </c>
      <c r="B53" s="46" t="s">
        <v>461</v>
      </c>
      <c r="C53" s="56" t="s">
        <v>397</v>
      </c>
      <c r="D53" s="57"/>
      <c r="E53" s="53">
        <v>1</v>
      </c>
      <c r="F53" s="53"/>
      <c r="G53" s="53"/>
      <c r="H53" s="53">
        <f t="shared" si="0"/>
        <v>1</v>
      </c>
    </row>
    <row r="54" spans="1:8">
      <c r="A54" s="46">
        <v>52</v>
      </c>
      <c r="B54" s="46" t="s">
        <v>462</v>
      </c>
      <c r="C54" s="56" t="s">
        <v>406</v>
      </c>
      <c r="D54" s="57">
        <v>106599392</v>
      </c>
      <c r="E54" s="53">
        <v>4</v>
      </c>
      <c r="F54" s="53"/>
      <c r="G54" s="53"/>
      <c r="H54" s="53">
        <f t="shared" ref="H54" si="1">SUM(E54+F54)-G54</f>
        <v>4</v>
      </c>
    </row>
    <row r="55" spans="1:8">
      <c r="A55" s="46">
        <v>53</v>
      </c>
      <c r="B55" s="46" t="s">
        <v>463</v>
      </c>
      <c r="C55" s="56" t="s">
        <v>407</v>
      </c>
      <c r="D55" s="57">
        <v>102464156</v>
      </c>
      <c r="E55" s="53">
        <v>4</v>
      </c>
      <c r="F55" s="53"/>
      <c r="G55" s="53"/>
      <c r="H55" s="53">
        <f t="shared" ref="H55" si="2">SUM(E55+F55)-G55</f>
        <v>4</v>
      </c>
    </row>
    <row r="56" spans="1:8">
      <c r="A56" s="46">
        <v>54</v>
      </c>
      <c r="B56" s="46" t="s">
        <v>464</v>
      </c>
      <c r="C56" s="56" t="s">
        <v>408</v>
      </c>
      <c r="D56" s="57"/>
      <c r="E56" s="53">
        <v>6</v>
      </c>
      <c r="F56" s="53"/>
      <c r="G56" s="53"/>
      <c r="H56" s="53">
        <f t="shared" ref="H56" si="3">SUM(E56+F56)-G56</f>
        <v>6</v>
      </c>
    </row>
    <row r="57" spans="1:8">
      <c r="A57" s="46">
        <v>55</v>
      </c>
      <c r="B57" s="46" t="s">
        <v>465</v>
      </c>
      <c r="C57" s="56" t="s">
        <v>409</v>
      </c>
      <c r="D57" s="57"/>
      <c r="E57" s="53">
        <v>1</v>
      </c>
      <c r="F57" s="53"/>
      <c r="G57" s="53"/>
      <c r="H57" s="53">
        <f t="shared" ref="H57" si="4">SUM(E57+F57)-G57</f>
        <v>1</v>
      </c>
    </row>
    <row r="58" spans="1:8">
      <c r="A58" s="87">
        <v>56</v>
      </c>
      <c r="B58" s="46" t="s">
        <v>468</v>
      </c>
      <c r="C58" s="60" t="s">
        <v>469</v>
      </c>
      <c r="D58" s="57"/>
      <c r="E58" s="53">
        <v>1</v>
      </c>
      <c r="F58" s="53"/>
      <c r="G58" s="53"/>
      <c r="H58" s="53">
        <f t="shared" ref="H58" si="5">SUM(E58+F58)-G58</f>
        <v>1</v>
      </c>
    </row>
    <row r="59" spans="1:8">
      <c r="A59" s="87">
        <v>57</v>
      </c>
      <c r="B59" s="46" t="s">
        <v>470</v>
      </c>
      <c r="C59" s="56" t="s">
        <v>471</v>
      </c>
      <c r="D59" s="57"/>
      <c r="E59" s="61">
        <v>0</v>
      </c>
      <c r="F59" s="61">
        <v>2</v>
      </c>
      <c r="G59" s="61"/>
      <c r="H59" s="61">
        <f t="shared" ref="H59" si="6">SUM(E59+F59)-G59</f>
        <v>2</v>
      </c>
    </row>
    <row r="60" spans="1:8">
      <c r="A60" s="87">
        <v>58</v>
      </c>
      <c r="B60" s="46" t="s">
        <v>474</v>
      </c>
      <c r="C60" s="56" t="s">
        <v>475</v>
      </c>
      <c r="D60" s="57">
        <v>100670749</v>
      </c>
      <c r="E60" s="62">
        <v>0</v>
      </c>
      <c r="F60" s="62">
        <v>2</v>
      </c>
      <c r="G60" s="62"/>
      <c r="H60" s="62">
        <f t="shared" ref="H60" si="7">SUM(E60+F60)-G60</f>
        <v>2</v>
      </c>
    </row>
  </sheetData>
  <mergeCells count="1">
    <mergeCell ref="A1:E1"/>
  </mergeCells>
  <hyperlinks>
    <hyperlink ref="A2" r:id="rId1" display="http://s.no/"/>
  </hyperlinks>
  <pageMargins left="0.46" right="0.25" top="7.874015748031496E-2" bottom="0.15748031496062992" header="7.874015748031496E-2" footer="0.11811023622047245"/>
  <pageSetup paperSize="9" orientation="landscape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CONTACTOR</vt:lpstr>
      <vt:lpstr>RELAY</vt:lpstr>
      <vt:lpstr>MCB</vt:lpstr>
      <vt:lpstr>ELE GENERAL</vt:lpstr>
      <vt:lpstr>VFD DRIVE</vt:lpstr>
      <vt:lpstr>'VFD DRIVE'!Print_Titles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2026-08-13T06:43:59Z</dcterms:modified>
</cp:coreProperties>
</file>