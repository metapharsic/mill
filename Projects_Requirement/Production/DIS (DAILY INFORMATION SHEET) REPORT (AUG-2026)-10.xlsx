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8_{369602DB-170F-42C9-BFF4-CFCB74D69DB8}" xr6:coauthVersionLast="47" xr6:coauthVersionMax="47" xr10:uidLastSave="{00000000-0000-0000-0000-000000000000}"/>
  <bookViews>
    <workbookView xWindow="-120" yWindow="-120" windowWidth="29040" windowHeight="15720" firstSheet="19" activeTab="2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31-07-2026" sheetId="5" r:id="rId5"/>
    <sheet name="01-08-2026" sheetId="6" r:id="rId6"/>
    <sheet name="02-08-2026" sheetId="7" r:id="rId7"/>
    <sheet name="03-08-2026" sheetId="8" r:id="rId8"/>
    <sheet name="04-08-2026" sheetId="9" r:id="rId9"/>
    <sheet name="05-08-2026" sheetId="10" r:id="rId10"/>
    <sheet name="06-08-2026" sheetId="11" r:id="rId11"/>
    <sheet name="07.08.2026" sheetId="12" r:id="rId12"/>
    <sheet name="08-08-26" sheetId="13" r:id="rId13"/>
    <sheet name="09-08-2026" sheetId="14" r:id="rId14"/>
    <sheet name="10-08-2026" sheetId="15" r:id="rId15"/>
    <sheet name="11-08-2026" sheetId="16" r:id="rId16"/>
    <sheet name="12-08-2026" sheetId="17" r:id="rId17"/>
    <sheet name="13-08-2026" sheetId="18" r:id="rId18"/>
    <sheet name="14-08-2026" sheetId="19" r:id="rId19"/>
    <sheet name="15-08-2026" sheetId="20" r:id="rId20"/>
    <sheet name="16-08-2026" sheetId="21" r:id="rId21"/>
    <sheet name="17-08-2026" sheetId="22" r:id="rId22"/>
    <sheet name="18-08-2026" sheetId="23" r:id="rId23"/>
    <sheet name="19-08-2026" sheetId="24" r:id="rId24"/>
    <sheet name="20-08-2026" sheetId="25" r:id="rId25"/>
    <sheet name="21-08-2026" sheetId="26" r:id="rId26"/>
    <sheet name="22-08-2026" sheetId="27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5" i="27" l="1"/>
  <c r="D46" i="27"/>
  <c r="C69" i="27"/>
  <c r="D67" i="27"/>
  <c r="C67" i="27"/>
  <c r="D65" i="27"/>
  <c r="C63" i="27"/>
  <c r="D61" i="27"/>
  <c r="C61" i="27"/>
  <c r="D56" i="27"/>
  <c r="C56" i="27"/>
  <c r="D69" i="27"/>
  <c r="C69" i="26"/>
  <c r="D9" i="26"/>
  <c r="D11" i="26"/>
  <c r="D10" i="26"/>
  <c r="D8" i="26"/>
  <c r="D65" i="26" s="1"/>
  <c r="C71" i="26"/>
  <c r="C65" i="26"/>
  <c r="C63" i="26"/>
  <c r="C58" i="26"/>
  <c r="C27" i="26"/>
  <c r="D22" i="26" s="1"/>
  <c r="D27" i="26" s="1"/>
  <c r="C67" i="26" s="1"/>
  <c r="D71" i="25"/>
  <c r="C71" i="25"/>
  <c r="D69" i="25"/>
  <c r="D67" i="25"/>
  <c r="C65" i="25"/>
  <c r="D65" i="25"/>
  <c r="D63" i="25"/>
  <c r="C63" i="25"/>
  <c r="D58" i="25"/>
  <c r="C58" i="25"/>
  <c r="D27" i="25"/>
  <c r="C67" i="25" s="1"/>
  <c r="C27" i="25"/>
  <c r="C58" i="24"/>
  <c r="D63" i="24"/>
  <c r="D65" i="24"/>
  <c r="D67" i="24"/>
  <c r="D69" i="24"/>
  <c r="C71" i="24"/>
  <c r="D68" i="24"/>
  <c r="D64" i="24"/>
  <c r="C65" i="24"/>
  <c r="D62" i="24"/>
  <c r="C63" i="24"/>
  <c r="D63" i="27" l="1"/>
  <c r="D63" i="26"/>
  <c r="D71" i="26"/>
  <c r="D58" i="26"/>
  <c r="D69" i="26"/>
  <c r="D67" i="26"/>
  <c r="D58" i="24"/>
  <c r="D48" i="24"/>
  <c r="D27" i="24"/>
  <c r="C67" i="24" s="1"/>
  <c r="C27" i="24"/>
  <c r="D71" i="24"/>
  <c r="D70" i="22"/>
  <c r="D48" i="23"/>
  <c r="D11" i="23" l="1"/>
  <c r="D10" i="23"/>
  <c r="D8" i="23"/>
  <c r="D9" i="23" s="1"/>
  <c r="D27" i="23"/>
  <c r="C27" i="23"/>
  <c r="D71" i="22"/>
  <c r="D68" i="22"/>
  <c r="D69" i="22" s="1"/>
  <c r="D66" i="22"/>
  <c r="D67" i="22" s="1"/>
  <c r="D64" i="22"/>
  <c r="D65" i="22" s="1"/>
  <c r="D62" i="22"/>
  <c r="D63" i="22" s="1"/>
  <c r="D57" i="22"/>
  <c r="D58" i="22" s="1"/>
  <c r="D48" i="22"/>
  <c r="D47" i="22"/>
  <c r="D32" i="22"/>
  <c r="D11" i="22"/>
  <c r="D9" i="22"/>
  <c r="D27" i="22"/>
  <c r="C27" i="22"/>
  <c r="D71" i="21"/>
  <c r="D69" i="21"/>
  <c r="D67" i="21"/>
  <c r="D65" i="21"/>
  <c r="D63" i="21"/>
  <c r="D58" i="21"/>
  <c r="D27" i="21"/>
  <c r="C27" i="21"/>
  <c r="D65" i="20"/>
  <c r="D58" i="20"/>
  <c r="D27" i="20"/>
  <c r="C27" i="20"/>
  <c r="D71" i="20"/>
  <c r="D69" i="20"/>
  <c r="D67" i="20"/>
  <c r="D63" i="20"/>
  <c r="D70" i="19"/>
  <c r="D68" i="19"/>
  <c r="D66" i="19"/>
  <c r="D64" i="19"/>
  <c r="D62" i="19"/>
  <c r="D26" i="19"/>
  <c r="C26" i="19"/>
  <c r="D70" i="18"/>
  <c r="D68" i="18"/>
  <c r="D66" i="18"/>
  <c r="D64" i="18"/>
  <c r="D62" i="18"/>
  <c r="D26" i="18"/>
  <c r="C26" i="18"/>
  <c r="D68" i="17"/>
  <c r="D66" i="17"/>
  <c r="D64" i="17"/>
  <c r="D62" i="17"/>
  <c r="D26" i="17"/>
  <c r="C26" i="17"/>
  <c r="D68" i="16"/>
  <c r="D66" i="16"/>
  <c r="D64" i="16"/>
  <c r="D62" i="16"/>
  <c r="D26" i="16"/>
  <c r="C26" i="16"/>
  <c r="H64" i="14"/>
  <c r="G62" i="7"/>
  <c r="D68" i="15"/>
  <c r="D66" i="15"/>
  <c r="D64" i="15"/>
  <c r="D62" i="15"/>
  <c r="D26" i="15"/>
  <c r="C26" i="15"/>
  <c r="D68" i="14"/>
  <c r="D66" i="14"/>
  <c r="D64" i="14"/>
  <c r="D62" i="14"/>
  <c r="D26" i="14"/>
  <c r="C26" i="14"/>
  <c r="D61" i="13"/>
  <c r="D62" i="13" s="1"/>
  <c r="D68" i="13"/>
  <c r="D66" i="13"/>
  <c r="D64" i="13"/>
  <c r="D26" i="13"/>
  <c r="C26" i="13"/>
  <c r="D67" i="12"/>
  <c r="D68" i="12" s="1"/>
  <c r="D66" i="12"/>
  <c r="D65" i="12"/>
  <c r="D63" i="12"/>
  <c r="D64" i="12" s="1"/>
  <c r="D62" i="12"/>
  <c r="D61" i="12"/>
  <c r="D31" i="12"/>
  <c r="D26" i="12"/>
  <c r="C26" i="12"/>
  <c r="D26" i="11"/>
  <c r="C26" i="11"/>
  <c r="D71" i="23" l="1"/>
  <c r="D69" i="23"/>
  <c r="D58" i="23"/>
  <c r="D25" i="10"/>
  <c r="C25" i="10"/>
  <c r="D25" i="9"/>
  <c r="C25" i="9"/>
  <c r="C25" i="8"/>
  <c r="D25" i="8"/>
  <c r="D45" i="3"/>
  <c r="D45" i="2"/>
  <c r="D23" i="1"/>
  <c r="C35" i="1"/>
  <c r="D35" i="1"/>
  <c r="D24" i="2" l="1"/>
  <c r="C25" i="27"/>
  <c r="D22" i="27"/>
  <c r="D25" i="27"/>
  <c r="C24" i="2"/>
</calcChain>
</file>

<file path=xl/sharedStrings.xml><?xml version="1.0" encoding="utf-8"?>
<sst xmlns="http://schemas.openxmlformats.org/spreadsheetml/2006/main" count="3342" uniqueCount="327">
  <si>
    <t>SRI MK PAPER MILLS PVT. LTD.</t>
  </si>
  <si>
    <t>SR.</t>
  </si>
  <si>
    <t>NO.</t>
  </si>
  <si>
    <t>TODAY</t>
  </si>
  <si>
    <t>TO DATE</t>
  </si>
  <si>
    <t>DESCRIPTION</t>
  </si>
  <si>
    <t>PM/C PRODUCTION (MT)</t>
  </si>
  <si>
    <t>AVG. PRODUCTION    (MT)</t>
  </si>
  <si>
    <t>FINISH PRODUCTION  (MT)</t>
  </si>
  <si>
    <t>AVG. FINISH PRODUCTION  (MT)</t>
  </si>
  <si>
    <t>FINISH PRODUCTION  (MT)(GY)</t>
  </si>
  <si>
    <t>AVG. FINISH PROD. (MT)   (GY)</t>
  </si>
  <si>
    <t>FINISHING LOSS (%)</t>
  </si>
  <si>
    <t>REMARKS</t>
  </si>
  <si>
    <t>PM/C RUNNING TIME (HRS.)</t>
  </si>
  <si>
    <t>PROCESS</t>
  </si>
  <si>
    <t>PLULP MILL</t>
  </si>
  <si>
    <t>MECHANICAL</t>
  </si>
  <si>
    <t>INSTRUMENTS</t>
  </si>
  <si>
    <t>ELECTRICAL</t>
  </si>
  <si>
    <t>POWER</t>
  </si>
  <si>
    <t>BOILER</t>
  </si>
  <si>
    <t>OTHERS</t>
  </si>
  <si>
    <t>(B) RAW  MATERIAL  CONSUMPTION :</t>
  </si>
  <si>
    <t>(D) DOWNTIME &amp; BREADOWN  LOG :</t>
  </si>
  <si>
    <t>(E) UTILITIES  CONSUMPTION :</t>
  </si>
  <si>
    <t>(C)  QUALITY  PARAMETERS WISE M/C PRODUCTION :</t>
  </si>
  <si>
    <t>FURNISH</t>
  </si>
  <si>
    <t>FURNISH(%)</t>
  </si>
  <si>
    <t>TOTAL</t>
  </si>
  <si>
    <t>DIS [ DAILY  INFORMATION  SHEET ]  REPORT</t>
  </si>
  <si>
    <t>QUALITY</t>
  </si>
  <si>
    <t>(A) PRODUCTION  SUMMARY :</t>
  </si>
  <si>
    <t>M/C PRODUCTION</t>
  </si>
  <si>
    <t xml:space="preserve">NOS. OF </t>
  </si>
  <si>
    <t>SET</t>
  </si>
  <si>
    <t>150 GSM/20BF ( NATURAL )</t>
  </si>
  <si>
    <t>145 GSM/20BF ( NATURAL )</t>
  </si>
  <si>
    <t>150 GSM/18BF ( NATURAL )</t>
  </si>
  <si>
    <t>140GSM/18BF ( NATURAL )</t>
  </si>
  <si>
    <t>(HRS.)</t>
  </si>
  <si>
    <t>(C) PULPER RUNNING HRS. :</t>
  </si>
  <si>
    <t>( MT/HR.)</t>
  </si>
  <si>
    <t>PULPER RUNNING (HRS.)</t>
  </si>
  <si>
    <t>AVG. PRODUCTION(GY) (MT)</t>
  </si>
  <si>
    <t>PM/C PRODUCTION(GY) (MT)</t>
  </si>
  <si>
    <t>(KWH)</t>
  </si>
  <si>
    <t>POWER/MTP</t>
  </si>
  <si>
    <t xml:space="preserve">BOILER HOUSE </t>
  </si>
  <si>
    <t>STEAM  (MT)</t>
  </si>
  <si>
    <t>CONDENSATE (m3)</t>
  </si>
  <si>
    <t>RO WATER (m3)</t>
  </si>
  <si>
    <t>STEAM  (MT/MTP)</t>
  </si>
  <si>
    <t>CONDENSATE (m3/MTP)</t>
  </si>
  <si>
    <t>RO WATER (m3/MTP)</t>
  </si>
  <si>
    <t>RICE  HUSK   (MT)</t>
  </si>
  <si>
    <t>RICE  HUSK   (MT/MTP)</t>
  </si>
  <si>
    <t>NIL</t>
  </si>
  <si>
    <t>OCC (MT)</t>
  </si>
  <si>
    <t>LOCAL (MT)</t>
  </si>
  <si>
    <t>TOTAL (MT)</t>
  </si>
  <si>
    <t>TODAY DRAW</t>
  </si>
  <si>
    <t>DOWN TIME (HRS.)</t>
  </si>
  <si>
    <t>...</t>
  </si>
  <si>
    <t>....</t>
  </si>
  <si>
    <t>POWER (36375+3770)</t>
  </si>
  <si>
    <t>PAPER BREAK &amp; HEAD BOX CLEANING !</t>
  </si>
  <si>
    <t xml:space="preserve">DATE :  28-07-2026  </t>
  </si>
  <si>
    <t>......</t>
  </si>
  <si>
    <t>(+)4.06</t>
  </si>
  <si>
    <t>(-)0.39</t>
  </si>
  <si>
    <t>HEAD BOX   &amp; I PRESS CLEANING !</t>
  </si>
  <si>
    <t xml:space="preserve">PAPER BREAK ON SIZE PRESS 03 TIMES ; </t>
  </si>
  <si>
    <t>(F) UTILITIES  CONSUMPTION :</t>
  </si>
  <si>
    <t>POWER (37275+3120)</t>
  </si>
  <si>
    <t>(B)  QUALITY  PARAMETERS WISE M/C PRODUCTION :</t>
  </si>
  <si>
    <t>(C) DOWNTIME &amp; BREADOWN  LOG :</t>
  </si>
  <si>
    <t>(D) RAW  MATERIAL  CONSUMPTION :</t>
  </si>
  <si>
    <t>(E) PULPER RUNNING HRS. :</t>
  </si>
  <si>
    <t xml:space="preserve">DATE :  29-07-2026  </t>
  </si>
  <si>
    <t>140 GSM/18BF ( NATURAL )</t>
  </si>
  <si>
    <t>120 GSM/18BF (  NATURAL )</t>
  </si>
  <si>
    <t xml:space="preserve">05.00 Hrs Production loss due to 1st </t>
  </si>
  <si>
    <t>press top felt change and 2nd press vaccum</t>
  </si>
  <si>
    <t>02.20 Hrs production loss due to size press</t>
  </si>
  <si>
    <t>01.25 Hrs production loss due to paper break</t>
  </si>
  <si>
    <t>box change.</t>
  </si>
  <si>
    <t>rope change.</t>
  </si>
  <si>
    <t>and headbox cleaning.</t>
  </si>
  <si>
    <t>(-)0.44</t>
  </si>
  <si>
    <t>(-)2.40</t>
  </si>
  <si>
    <t>POWER (27225+1446)</t>
  </si>
  <si>
    <t>(P/F : 0.994 )</t>
  </si>
  <si>
    <t>00:10 Hrs production loss due to paper break</t>
  </si>
  <si>
    <t>00:30 Hrs production loss due to 2nd press paper</t>
  </si>
  <si>
    <t>picking.</t>
  </si>
  <si>
    <t>and head box cleaning.</t>
  </si>
  <si>
    <t>02:05 Hrs production loss due to power cut.</t>
  </si>
  <si>
    <t>.....</t>
  </si>
  <si>
    <t>TOTAL DOWN TIME (HRS.)</t>
  </si>
  <si>
    <t>POWER (33825+448)</t>
  </si>
  <si>
    <t>(P/F : 1.000 )</t>
  </si>
  <si>
    <t>(-)3.38</t>
  </si>
  <si>
    <t>(-)0.53</t>
  </si>
  <si>
    <t>(B)  QUALITY  PARAMETERS(GSM/BF) WISE M/C PRODUCTION :</t>
  </si>
  <si>
    <t>(C) DOWNTIME &amp; BREADOWN  LOG :(DEPARTMENT WISE)</t>
  </si>
  <si>
    <t xml:space="preserve">01.30 Hrs production loss due to bottom machine </t>
  </si>
  <si>
    <t>00.35 Hrs production loss due to head box cleaning</t>
  </si>
  <si>
    <t>00.10 Hrs production loss due to 1st press cleaning.</t>
  </si>
  <si>
    <t>and paper break.</t>
  </si>
  <si>
    <t>chest pump change.</t>
  </si>
  <si>
    <t>(+)0.31</t>
  </si>
  <si>
    <t>(-)0.51</t>
  </si>
  <si>
    <t>POWER (32400+4106)</t>
  </si>
  <si>
    <t>(P/F : 0.997)</t>
  </si>
  <si>
    <t>….</t>
  </si>
  <si>
    <t>…..</t>
  </si>
  <si>
    <t>…….</t>
  </si>
  <si>
    <t>……</t>
  </si>
  <si>
    <t>DATE : 31-07-2026</t>
  </si>
  <si>
    <t>DATE : 01- 08- 2026</t>
  </si>
  <si>
    <t>00:50 HRSProduction loss due to head box cleaning</t>
  </si>
  <si>
    <t>and felt roll cleaning</t>
  </si>
  <si>
    <t>00:40 Hrs Production loss due to power cut (2 Times)</t>
  </si>
  <si>
    <t>(-)3.943</t>
  </si>
  <si>
    <t>POWER (32700+4696)</t>
  </si>
  <si>
    <t>DATE : 02- 08- 2026</t>
  </si>
  <si>
    <t>140 GSM/20BF (  NATURAL )</t>
  </si>
  <si>
    <t xml:space="preserve">03:20 Hrs rproduction loss due to 1st press top felt </t>
  </si>
  <si>
    <t>creased 2 times.</t>
  </si>
  <si>
    <t>00:30 Hrs production loss due to power cut.</t>
  </si>
  <si>
    <t xml:space="preserve">00:20 Hrs production loss due to felt roll cleaning and </t>
  </si>
  <si>
    <t>head box cleaning.</t>
  </si>
  <si>
    <t>(+)6.953</t>
  </si>
  <si>
    <t>(+)1.327</t>
  </si>
  <si>
    <t>POWER (28350+3756)</t>
  </si>
  <si>
    <t>(P/F : 0.994)</t>
  </si>
  <si>
    <t>DATE : 03- 08- 2026</t>
  </si>
  <si>
    <t>04:10 Hrs production loss due to 1st press felt work complete</t>
  </si>
  <si>
    <t>and post dryer cordon shaft bolt change.</t>
  </si>
  <si>
    <t>00:25 Hrs production loss due to 1st press felt cleaning.</t>
  </si>
  <si>
    <t>(-)4.5</t>
  </si>
  <si>
    <t>(-)0.401</t>
  </si>
  <si>
    <t>120 GSM/18BF ( NATURAL )</t>
  </si>
  <si>
    <t>180 GSM/18BF (  NATURAL )</t>
  </si>
  <si>
    <t>POWER (31650+4201)</t>
  </si>
  <si>
    <t>(P/F : 1.000)</t>
  </si>
  <si>
    <t>DATE : 04- 08- 2026</t>
  </si>
  <si>
    <t xml:space="preserve">01:15 Hrs production loss due to 1st press felt roll cleaning </t>
  </si>
  <si>
    <t>(-)1.1</t>
  </si>
  <si>
    <t>(-)0.580</t>
  </si>
  <si>
    <t>POWER (32250+1971)</t>
  </si>
  <si>
    <t>(P/F : 0.974)</t>
  </si>
  <si>
    <t>DATE : 05- 08- 2026</t>
  </si>
  <si>
    <t>(+)114.13</t>
  </si>
  <si>
    <t>(+)0.977</t>
  </si>
  <si>
    <t>NILL</t>
  </si>
  <si>
    <t>POWER (1575+4261)</t>
  </si>
  <si>
    <t>(P/F : 0.809)</t>
  </si>
  <si>
    <t>13:45 Hrs production loss due to second press top back</t>
  </si>
  <si>
    <t>side bearing change and mechanical works.</t>
  </si>
  <si>
    <t>09:00 Hrs production loss due to bottom wire change.</t>
  </si>
  <si>
    <t>DATE : 06- 08- 2026</t>
  </si>
  <si>
    <t>180 GSM/16BF ( NATURAL )</t>
  </si>
  <si>
    <t>180/GSM/18BF (NATURAL)</t>
  </si>
  <si>
    <t>150/GSM/16/BF (NATURAL)</t>
  </si>
  <si>
    <t>150/GSM/18/BF (NATURAL)</t>
  </si>
  <si>
    <t>07:40 Hrs production loss due to pre dryer motor cable</t>
  </si>
  <si>
    <t xml:space="preserve">problem and top fan pump motor cable changed and </t>
  </si>
  <si>
    <t>wire draw variation.</t>
  </si>
  <si>
    <t xml:space="preserve">01:00 Hrs producion loss due to post dryer cordon shaft </t>
  </si>
  <si>
    <t>changed.</t>
  </si>
  <si>
    <t>00:30 Hrs production loss due to felt cleaning.</t>
  </si>
  <si>
    <t>POWER (27600+4244)</t>
  </si>
  <si>
    <t>(-)11.28</t>
  </si>
  <si>
    <t>(-)0.906</t>
  </si>
  <si>
    <t>DATE : 07- 08- 2026</t>
  </si>
  <si>
    <t>(+)00.12</t>
  </si>
  <si>
    <t>(-)0.708</t>
  </si>
  <si>
    <t>150 GSM/18 BF ( NATURAL)</t>
  </si>
  <si>
    <t>140 GSM/18 BF ( NATURAL)</t>
  </si>
  <si>
    <t>180 GSM/18 BF ( NATURAL)</t>
  </si>
  <si>
    <t>…</t>
  </si>
  <si>
    <t>1.25 hrs loss due to 1st press roll cleaning/head box cleaning &amp; paper breck</t>
  </si>
  <si>
    <t>POWER (35100+3103)</t>
  </si>
  <si>
    <t>DATE : 08- 08- 2026</t>
  </si>
  <si>
    <t>(+)1.0</t>
  </si>
  <si>
    <t>(-)0.507</t>
  </si>
  <si>
    <t>120 GSM/18 BF ( NATURAL)</t>
  </si>
  <si>
    <t>POWER (30300+2576)</t>
  </si>
  <si>
    <t>3.25 HRS PRODUCTION LOSS DUE TO SIZE PRESS ROPE CHANGED AND WIRE VACCUMP GLAND CHANGED,1ST PRESS BOTTOM FELT STITCHING,PAPER BREAK AND FELT ROLL CLEANING 2 TIME`!</t>
  </si>
  <si>
    <t>01:30 HRS PRODUCTION LOSS DUE TO WIRE STETCHER ROLL BEARING CHANGED</t>
  </si>
  <si>
    <t>01:00 HRS PRODUCTION LOSS DUE TO POWER CUT</t>
  </si>
  <si>
    <t>DATE : 09- 08- 2026</t>
  </si>
  <si>
    <t>(-)2.35</t>
  </si>
  <si>
    <t>(-)0.673</t>
  </si>
  <si>
    <t xml:space="preserve">2.00 HRS PRODUCTION LOSS DUE TO SIZE PRESS ROPE CHANGED AND 1ST PRESS BOTTOM  FELT ROLL CLEANING </t>
  </si>
  <si>
    <t xml:space="preserve">6.25 HRS. LOSS PRESS  MOTOR  PROBLEM&amp; I PRESS ELECTRIC PROBLEM </t>
  </si>
  <si>
    <t>DATE : 10- 08- 2026</t>
  </si>
  <si>
    <t>(+)3.49</t>
  </si>
  <si>
    <t>(-)0.210</t>
  </si>
  <si>
    <t>1.15 HRS 1ST PRESS  FELT ROLL CLEANING ,Head Box Cleaning</t>
  </si>
  <si>
    <t>1.10 HRS. M/C trip two time due to Card/Power cut.</t>
  </si>
  <si>
    <t>POWER (32625+4639)</t>
  </si>
  <si>
    <t>POWER (22800+4825)</t>
  </si>
  <si>
    <t>DATE : 11- 08- 2026</t>
  </si>
  <si>
    <t>(-)1.71</t>
  </si>
  <si>
    <t>*141.54</t>
  </si>
  <si>
    <t>*144</t>
  </si>
  <si>
    <t>*84 SET</t>
  </si>
  <si>
    <t>*83 SET</t>
  </si>
  <si>
    <t>(-)0.370</t>
  </si>
  <si>
    <t>1.35 HRS 1ST PRESS  FELT ROLL CLEANING ,Head Box Cleaning &amp; Paper Break.</t>
  </si>
  <si>
    <t>POWER (34275+4935)</t>
  </si>
  <si>
    <r>
      <t>FRESH WATER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/Day )</t>
    </r>
  </si>
  <si>
    <r>
      <t>FRESH WATER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/MTP )</t>
    </r>
  </si>
  <si>
    <t>DATE : 12- 08- 2026</t>
  </si>
  <si>
    <t>*166</t>
  </si>
  <si>
    <t>*97 SET</t>
  </si>
  <si>
    <t>*98 SET</t>
  </si>
  <si>
    <t>*166.400</t>
  </si>
  <si>
    <t>(-)0.30</t>
  </si>
  <si>
    <t>0.50 HR. 1ST PRESS  FELT ROLL CLEANING ,Head Box Cleaning 02 TIMES IN BOTH SHIFT.</t>
  </si>
  <si>
    <t>(+)0.24</t>
  </si>
  <si>
    <t>POWER (35325+3684)</t>
  </si>
  <si>
    <t>DATE : 13- 08- 2026</t>
  </si>
  <si>
    <t>*142</t>
  </si>
  <si>
    <t>*137.33</t>
  </si>
  <si>
    <t>*82 SET</t>
  </si>
  <si>
    <t>(-)3.29</t>
  </si>
  <si>
    <t>(-)0.56</t>
  </si>
  <si>
    <t>1.55 HR. 1ST PRESS  FELT ROLL CLEANING ,Head Box Cleaning 02 TIMES IN BOTH SHIFT.</t>
  </si>
  <si>
    <t>POWER (34200+3555)</t>
  </si>
  <si>
    <t>DATE : 14- 08- 2026</t>
  </si>
  <si>
    <t>*161</t>
  </si>
  <si>
    <t>*93 SET</t>
  </si>
  <si>
    <t>*159.94</t>
  </si>
  <si>
    <t>(-)0.66</t>
  </si>
  <si>
    <t>0.40HR. 1ST PRESS  FELT ROLL CLEANING ,</t>
  </si>
  <si>
    <t>0.30 Hrs for FDR trip,1.0 hrs 1st press trip.</t>
  </si>
  <si>
    <t>POWER (32250+3812)</t>
  </si>
  <si>
    <t>DATE : 15- 08- 2026</t>
  </si>
  <si>
    <t>*104 SET</t>
  </si>
  <si>
    <t>*187.100</t>
  </si>
  <si>
    <t>(+)5.11</t>
  </si>
  <si>
    <t>*107 SET</t>
  </si>
  <si>
    <t>(-)0.06</t>
  </si>
  <si>
    <t>175 GSM/18 BF ( NATURAL)</t>
  </si>
  <si>
    <t>175 GSM/20 BF ( NATURAL)</t>
  </si>
  <si>
    <t>180 GSM/20 BF ( NATURAL)</t>
  </si>
  <si>
    <t>180 GSM/22 BF ( NATURAL)</t>
  </si>
  <si>
    <t xml:space="preserve">TOTAL </t>
  </si>
  <si>
    <t>1.05 Hrs. for FDR MOTOR  trip, 1st press trip &amp; FELT CLEANING</t>
  </si>
  <si>
    <t>POWER (36750+4269)</t>
  </si>
  <si>
    <t>*178.000</t>
  </si>
  <si>
    <t>OCC (%) : 19.43%</t>
  </si>
  <si>
    <t>(P/F : 0.995)</t>
  </si>
  <si>
    <t>DATE : 16- 08- 2026</t>
  </si>
  <si>
    <t>*171.000</t>
  </si>
  <si>
    <t>*148.520</t>
  </si>
  <si>
    <t>*100 SET</t>
  </si>
  <si>
    <t>*91 SET</t>
  </si>
  <si>
    <t>(-)13.15</t>
  </si>
  <si>
    <t>(-)1.09</t>
  </si>
  <si>
    <t>150 GSM/20 BF ( NATURAL)</t>
  </si>
  <si>
    <t>200 GSM/20 BF ( NATURAL)</t>
  </si>
  <si>
    <t>200 GSM/18 BF ( NATURAL)</t>
  </si>
  <si>
    <t>150 GSM/22 BF ( NATURAL)</t>
  </si>
  <si>
    <t>1.40 HRS. 1ST PRESS  FELT ROLL CLEANING &amp; FELT Cleaning  IN BOTH SHIFT.</t>
  </si>
  <si>
    <t>OCC (%) : 19.39%</t>
  </si>
  <si>
    <t>POWER (36075+3677)</t>
  </si>
  <si>
    <t>DATE : 17- 08- 2026</t>
  </si>
  <si>
    <t>*159.000</t>
  </si>
  <si>
    <t>*150.95</t>
  </si>
  <si>
    <t>*88 SET</t>
  </si>
  <si>
    <t>*86 SET</t>
  </si>
  <si>
    <t>(-)5.06</t>
  </si>
  <si>
    <t>(-)1.36</t>
  </si>
  <si>
    <t>140 GSM/20 BF ( NATURAL)</t>
  </si>
  <si>
    <t>0.20 HRS. 1ST PRESS  FELT ROLL CLEANING &amp; FELT Cleaning  IN BOTH SHIFT.</t>
  </si>
  <si>
    <t>2.40 hrs.Second Group dryer Draw variation .0.20Hrs FDR Motor trip</t>
  </si>
  <si>
    <t>0.40 Hrs Power Cut</t>
  </si>
  <si>
    <t xml:space="preserve">OCC (%) : </t>
  </si>
  <si>
    <t>POWER (32850+4204)</t>
  </si>
  <si>
    <t>DATE : 18- 08- 2026</t>
  </si>
  <si>
    <t>*95 SET</t>
  </si>
  <si>
    <t>*148.62</t>
  </si>
  <si>
    <t>*90 SET</t>
  </si>
  <si>
    <t>(-)9.38</t>
  </si>
  <si>
    <t>(-)1.89</t>
  </si>
  <si>
    <t>120 GSM/20 BF ( NATURAL)</t>
  </si>
  <si>
    <t>0.40 HRS. 1ST PRESS  FELT ROLL CLEANING &amp; FELT Cleaning  IN BOTH SHIFT,0.20 HRS FOR Edge cutter Nozzle Jamming,</t>
  </si>
  <si>
    <t>0.25 Hrs FDR Trip</t>
  </si>
  <si>
    <t>POWER (33750+3909)</t>
  </si>
  <si>
    <t>DATE : 19- 08- 2026</t>
  </si>
  <si>
    <t>*92 SET</t>
  </si>
  <si>
    <t>(+)1.94</t>
  </si>
  <si>
    <t>(-)1.64</t>
  </si>
  <si>
    <t>R.No 1628 150/22 BF Natural 4 set(Edge Cut)
R.No 1629 150/22 BF Natural 1 set(Crease)</t>
  </si>
  <si>
    <t>Power cut</t>
  </si>
  <si>
    <t>0.40 HRS. 1ST PRESS  FELT ROLL CLEANING &amp;0.30Hrs FELT Cleaning  IN BOTH SHIFT,Rope Change 1.40Hrs.</t>
  </si>
  <si>
    <t>POWER (33825+2589)</t>
  </si>
  <si>
    <t>DATE : 20- 08- 2026</t>
  </si>
  <si>
    <t>93 SET</t>
  </si>
  <si>
    <t>(+)7.84</t>
  </si>
  <si>
    <t>(-)1.10</t>
  </si>
  <si>
    <t>POWER (34125+4079)</t>
  </si>
  <si>
    <t>00:40 HRS LOSS FOR BOTTOM PRESSURE SCREEN BOLT BROKEN</t>
  </si>
  <si>
    <t>00:20 HRS LOSS FOR FDR TRIP</t>
  </si>
  <si>
    <t>0.40 HRS. 1ST PRESS  FELT ROLL CLEANING AND HEADBOX CLEANING</t>
  </si>
  <si>
    <t>*78 SET</t>
  </si>
  <si>
    <t>(-)5.19</t>
  </si>
  <si>
    <t>(-)1.28</t>
  </si>
  <si>
    <t>76 SET</t>
  </si>
  <si>
    <t>1.45 HRS. 1ST PRESS  FELT ROLL CLEANING AND HEADBOX CLEANING</t>
  </si>
  <si>
    <t>1.30 LOSS FOR 1ST PRESS TOP FELT CREASED</t>
  </si>
  <si>
    <t>POWER (31950+4646)</t>
  </si>
  <si>
    <t>DATE : 21- 08- 2026</t>
  </si>
  <si>
    <t>DATE : 22- 08- 2026</t>
  </si>
  <si>
    <t>*73 SET</t>
  </si>
  <si>
    <t>72 SET</t>
  </si>
  <si>
    <t>(-)2.22</t>
  </si>
  <si>
    <t>(-)1.32</t>
  </si>
  <si>
    <t>POWER (29475+4317)</t>
  </si>
  <si>
    <t>(P/F : 0.992)</t>
  </si>
  <si>
    <t>0.45 HRS. 1ST PRESS  FELT ROLL CLEANING AND HEADBOX CLEANING</t>
  </si>
  <si>
    <t>3.20 LOSS FOR TOP WIRE COMBINATION ROLL MOTOR BEARING CHANGE ! &amp; 00:40 HR.  LOSS FOR FDR 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</si>
</sst>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9900"/>
      <name val="Arial Black"/>
      <family val="2"/>
    </font>
    <font>
      <b/>
      <sz val="9"/>
      <color rgb="FFFF9900"/>
      <name val="Arial Black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 val="double"/>
      <sz val="11"/>
      <color theme="1"/>
      <name val="Arial Black"/>
      <family val="2"/>
    </font>
    <font>
      <b/>
      <u val="double"/>
      <sz val="12"/>
      <color theme="1"/>
      <name val="Arial Black"/>
      <family val="2"/>
    </font>
    <font>
      <b/>
      <u val="double"/>
      <sz val="12"/>
      <color rgb="FF000000"/>
      <name val="Calibri"/>
      <family val="2"/>
      <scheme val="minor"/>
    </font>
    <font>
      <b/>
      <u val="double"/>
      <sz val="12"/>
      <color rgb="FF000000"/>
      <name val="Arial Black"/>
      <family val="2"/>
    </font>
    <font>
      <sz val="9"/>
      <color theme="1"/>
      <name val="Arial Black"/>
      <family val="2"/>
    </font>
    <font>
      <b/>
      <sz val="11"/>
      <color rgb="FF000000"/>
      <name val="Calibri"/>
      <family val="2"/>
      <scheme val="minor"/>
    </font>
    <font>
      <b/>
      <u val="double"/>
      <sz val="14"/>
      <color rgb="FFFF0000"/>
      <name val="Arial Black"/>
      <family val="2"/>
    </font>
    <font>
      <b/>
      <sz val="12"/>
      <color rgb="FFFF9900"/>
      <name val="Calibri"/>
      <family val="2"/>
      <scheme val="minor"/>
    </font>
    <font>
      <b/>
      <sz val="8"/>
      <color theme="1"/>
      <name val="Arial Black"/>
      <family val="2"/>
    </font>
    <font>
      <b/>
      <sz val="9"/>
      <color rgb="FF000000"/>
      <name val="Arial Black"/>
      <family val="2"/>
    </font>
    <font>
      <b/>
      <u val="double"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Arial Black"/>
      <family val="2"/>
    </font>
    <font>
      <b/>
      <sz val="9"/>
      <color theme="1"/>
      <name val="Arial Black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Arial Black"/>
      <family val="2"/>
    </font>
    <font>
      <b/>
      <sz val="12"/>
      <color rgb="FF000000"/>
      <name val="Arial Black"/>
      <family val="2"/>
    </font>
    <font>
      <b/>
      <u val="double"/>
      <sz val="14"/>
      <color theme="1"/>
      <name val="Arial Black"/>
      <family val="2"/>
    </font>
    <font>
      <b/>
      <u val="double"/>
      <sz val="16"/>
      <color rgb="FFFF0000"/>
      <name val="Arial Black"/>
      <family val="2"/>
    </font>
    <font>
      <b/>
      <sz val="11"/>
      <color rgb="FF000000"/>
      <name val="Arial Black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  <font>
      <b/>
      <sz val="12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0"/>
      <color theme="1"/>
      <name val="Arial Black"/>
      <family val="2"/>
    </font>
    <font>
      <b/>
      <sz val="12"/>
      <name val="Arial Black"/>
      <family val="2"/>
    </font>
    <font>
      <b/>
      <sz val="10"/>
      <color rgb="FF000000"/>
      <name val="Arial Black"/>
      <family val="2"/>
    </font>
    <font>
      <b/>
      <sz val="12"/>
      <color theme="1"/>
      <name val="Arial Black"/>
      <family val="2"/>
    </font>
    <font>
      <b/>
      <sz val="8"/>
      <color rgb="FF000000"/>
      <name val="Arial Black"/>
      <family val="2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4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3" xfId="0" applyFont="1" applyBorder="1"/>
    <xf numFmtId="0" fontId="1" fillId="0" borderId="2" xfId="0" applyFont="1" applyBorder="1"/>
    <xf numFmtId="0" fontId="3" fillId="0" borderId="2" xfId="0" applyFont="1" applyBorder="1"/>
    <xf numFmtId="0" fontId="2" fillId="0" borderId="2" xfId="0" applyFont="1" applyBorder="1"/>
    <xf numFmtId="0" fontId="5" fillId="0" borderId="0" xfId="0" applyFont="1"/>
    <xf numFmtId="0" fontId="1" fillId="0" borderId="0" xfId="0" applyFont="1"/>
    <xf numFmtId="0" fontId="9" fillId="0" borderId="0" xfId="0" applyFont="1"/>
    <xf numFmtId="0" fontId="4" fillId="0" borderId="3" xfId="0" applyFont="1" applyBorder="1" applyAlignment="1">
      <alignment horizontal="center" vertical="center"/>
    </xf>
    <xf numFmtId="0" fontId="5" fillId="0" borderId="8" xfId="0" applyFont="1" applyBorder="1"/>
    <xf numFmtId="0" fontId="4" fillId="0" borderId="13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4" fillId="0" borderId="17" xfId="0" applyFont="1" applyBorder="1"/>
    <xf numFmtId="0" fontId="1" fillId="0" borderId="10" xfId="0" applyFont="1" applyBorder="1"/>
    <xf numFmtId="0" fontId="4" fillId="0" borderId="1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11" fillId="0" borderId="2" xfId="0" applyFont="1" applyBorder="1" applyAlignment="1">
      <alignment horizontal="left"/>
    </xf>
    <xf numFmtId="0" fontId="4" fillId="0" borderId="1" xfId="0" applyFont="1" applyBorder="1"/>
    <xf numFmtId="0" fontId="4" fillId="0" borderId="27" xfId="0" applyFont="1" applyBorder="1" applyAlignment="1">
      <alignment horizontal="center" vertical="center"/>
    </xf>
    <xf numFmtId="0" fontId="0" fillId="0" borderId="1" xfId="0" applyBorder="1"/>
    <xf numFmtId="0" fontId="0" fillId="0" borderId="32" xfId="0" applyBorder="1"/>
    <xf numFmtId="0" fontId="7" fillId="0" borderId="1" xfId="0" applyFont="1" applyBorder="1"/>
    <xf numFmtId="0" fontId="0" fillId="0" borderId="34" xfId="0" applyBorder="1"/>
    <xf numFmtId="0" fontId="0" fillId="0" borderId="36" xfId="0" applyBorder="1"/>
    <xf numFmtId="0" fontId="6" fillId="0" borderId="1" xfId="0" applyFont="1" applyBorder="1"/>
    <xf numFmtId="0" fontId="0" fillId="0" borderId="35" xfId="0" applyBorder="1" applyAlignment="1">
      <alignment horizontal="center"/>
    </xf>
    <xf numFmtId="0" fontId="8" fillId="0" borderId="1" xfId="0" applyFont="1" applyBorder="1"/>
    <xf numFmtId="0" fontId="0" fillId="0" borderId="9" xfId="0" applyBorder="1"/>
    <xf numFmtId="0" fontId="1" fillId="0" borderId="35" xfId="0" applyFont="1" applyBorder="1" applyAlignment="1">
      <alignment horizontal="center"/>
    </xf>
    <xf numFmtId="0" fontId="1" fillId="0" borderId="35" xfId="0" applyFont="1" applyBorder="1" applyAlignment="1">
      <alignment horizontal="center" vertical="center"/>
    </xf>
    <xf numFmtId="0" fontId="9" fillId="0" borderId="1" xfId="0" applyFont="1" applyBorder="1"/>
    <xf numFmtId="0" fontId="1" fillId="0" borderId="33" xfId="0" applyFont="1" applyBorder="1" applyAlignment="1">
      <alignment horizontal="center"/>
    </xf>
    <xf numFmtId="0" fontId="7" fillId="0" borderId="0" xfId="0" applyFont="1"/>
    <xf numFmtId="0" fontId="1" fillId="0" borderId="18" xfId="0" applyFont="1" applyBorder="1" applyAlignment="1">
      <alignment horizontal="center"/>
    </xf>
    <xf numFmtId="0" fontId="0" fillId="0" borderId="20" xfId="0" applyBorder="1"/>
    <xf numFmtId="164" fontId="13" fillId="0" borderId="2" xfId="0" applyNumberFormat="1" applyFont="1" applyBorder="1" applyAlignment="1">
      <alignment horizontal="right" vertical="center"/>
    </xf>
    <xf numFmtId="0" fontId="13" fillId="0" borderId="10" xfId="0" applyFont="1" applyBorder="1" applyAlignment="1">
      <alignment horizontal="right" vertical="center"/>
    </xf>
    <xf numFmtId="0" fontId="14" fillId="0" borderId="13" xfId="0" applyFont="1" applyBorder="1" applyAlignment="1">
      <alignment horizontal="center"/>
    </xf>
    <xf numFmtId="0" fontId="0" fillId="0" borderId="37" xfId="0" applyBorder="1"/>
    <xf numFmtId="0" fontId="0" fillId="0" borderId="38" xfId="0" applyBorder="1"/>
    <xf numFmtId="0" fontId="1" fillId="0" borderId="4" xfId="0" applyFont="1" applyBorder="1" applyAlignment="1">
      <alignment horizontal="center"/>
    </xf>
    <xf numFmtId="0" fontId="15" fillId="0" borderId="5" xfId="0" applyFont="1" applyBorder="1"/>
    <xf numFmtId="0" fontId="15" fillId="0" borderId="21" xfId="0" applyFont="1" applyBorder="1"/>
    <xf numFmtId="0" fontId="5" fillId="0" borderId="10" xfId="0" applyFont="1" applyBorder="1" applyAlignment="1">
      <alignment horizontal="right"/>
    </xf>
    <xf numFmtId="164" fontId="5" fillId="0" borderId="2" xfId="0" applyNumberFormat="1" applyFont="1" applyBorder="1" applyAlignment="1">
      <alignment horizontal="right"/>
    </xf>
    <xf numFmtId="164" fontId="5" fillId="0" borderId="10" xfId="0" applyNumberFormat="1" applyFont="1" applyBorder="1" applyAlignment="1">
      <alignment horizontal="right"/>
    </xf>
    <xf numFmtId="2" fontId="0" fillId="0" borderId="2" xfId="0" applyNumberFormat="1" applyBorder="1" applyAlignment="1">
      <alignment horizontal="center"/>
    </xf>
    <xf numFmtId="0" fontId="0" fillId="0" borderId="36" xfId="0" applyBorder="1" applyAlignment="1">
      <alignment horizontal="center"/>
    </xf>
    <xf numFmtId="0" fontId="1" fillId="0" borderId="21" xfId="0" applyFont="1" applyBorder="1"/>
    <xf numFmtId="0" fontId="11" fillId="0" borderId="10" xfId="0" applyFont="1" applyBorder="1"/>
    <xf numFmtId="0" fontId="11" fillId="0" borderId="2" xfId="0" applyFont="1" applyBorder="1"/>
    <xf numFmtId="0" fontId="11" fillId="0" borderId="21" xfId="0" applyFont="1" applyBorder="1"/>
    <xf numFmtId="0" fontId="11" fillId="0" borderId="13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16" fillId="0" borderId="0" xfId="0" applyFont="1"/>
    <xf numFmtId="0" fontId="1" fillId="0" borderId="13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164" fontId="17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2" fontId="18" fillId="0" borderId="5" xfId="0" applyNumberFormat="1" applyFont="1" applyBorder="1"/>
    <xf numFmtId="2" fontId="18" fillId="0" borderId="6" xfId="0" applyNumberFormat="1" applyFont="1" applyBorder="1"/>
    <xf numFmtId="2" fontId="18" fillId="0" borderId="21" xfId="0" applyNumberFormat="1" applyFont="1" applyBorder="1"/>
    <xf numFmtId="2" fontId="18" fillId="0" borderId="20" xfId="0" applyNumberFormat="1" applyFont="1" applyBorder="1"/>
    <xf numFmtId="2" fontId="17" fillId="0" borderId="10" xfId="0" applyNumberFormat="1" applyFont="1" applyBorder="1"/>
    <xf numFmtId="0" fontId="17" fillId="0" borderId="10" xfId="0" applyFont="1" applyBorder="1"/>
    <xf numFmtId="0" fontId="17" fillId="0" borderId="2" xfId="0" applyFont="1" applyBorder="1" applyAlignment="1">
      <alignment horizontal="right"/>
    </xf>
    <xf numFmtId="0" fontId="17" fillId="0" borderId="2" xfId="0" applyFont="1" applyBorder="1"/>
    <xf numFmtId="0" fontId="17" fillId="0" borderId="21" xfId="0" applyFont="1" applyBorder="1"/>
    <xf numFmtId="0" fontId="1" fillId="0" borderId="36" xfId="0" applyFont="1" applyBorder="1"/>
    <xf numFmtId="0" fontId="19" fillId="0" borderId="2" xfId="0" applyFont="1" applyBorder="1"/>
    <xf numFmtId="0" fontId="19" fillId="0" borderId="21" xfId="0" applyFont="1" applyBorder="1"/>
    <xf numFmtId="164" fontId="4" fillId="0" borderId="10" xfId="0" applyNumberFormat="1" applyFont="1" applyBorder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0" fontId="4" fillId="0" borderId="21" xfId="0" applyFont="1" applyBorder="1" applyAlignment="1">
      <alignment horizontal="center" vertical="center"/>
    </xf>
    <xf numFmtId="2" fontId="17" fillId="0" borderId="2" xfId="0" applyNumberFormat="1" applyFont="1" applyBorder="1"/>
    <xf numFmtId="2" fontId="17" fillId="0" borderId="2" xfId="0" applyNumberFormat="1" applyFont="1" applyBorder="1" applyAlignment="1">
      <alignment horizontal="right"/>
    </xf>
    <xf numFmtId="2" fontId="17" fillId="0" borderId="21" xfId="0" applyNumberFormat="1" applyFont="1" applyBorder="1"/>
    <xf numFmtId="2" fontId="17" fillId="0" borderId="43" xfId="0" applyNumberFormat="1" applyFont="1" applyBorder="1"/>
    <xf numFmtId="2" fontId="17" fillId="0" borderId="44" xfId="0" applyNumberFormat="1" applyFont="1" applyBorder="1" applyAlignment="1">
      <alignment horizontal="right"/>
    </xf>
    <xf numFmtId="0" fontId="0" fillId="0" borderId="45" xfId="0" applyBorder="1"/>
    <xf numFmtId="0" fontId="14" fillId="0" borderId="13" xfId="0" applyFont="1" applyBorder="1"/>
    <xf numFmtId="0" fontId="20" fillId="0" borderId="46" xfId="0" applyFont="1" applyBorder="1"/>
    <xf numFmtId="164" fontId="19" fillId="0" borderId="2" xfId="0" applyNumberFormat="1" applyFont="1" applyBorder="1"/>
    <xf numFmtId="0" fontId="0" fillId="0" borderId="2" xfId="0" applyBorder="1"/>
    <xf numFmtId="0" fontId="17" fillId="0" borderId="10" xfId="0" applyFont="1" applyBorder="1" applyAlignment="1">
      <alignment horizontal="center"/>
    </xf>
    <xf numFmtId="164" fontId="17" fillId="0" borderId="10" xfId="0" applyNumberFormat="1" applyFont="1" applyBorder="1" applyAlignment="1">
      <alignment horizontal="center"/>
    </xf>
    <xf numFmtId="0" fontId="4" fillId="0" borderId="46" xfId="0" applyFont="1" applyBorder="1" applyAlignment="1">
      <alignment horizontal="center"/>
    </xf>
    <xf numFmtId="0" fontId="11" fillId="0" borderId="46" xfId="0" applyFont="1" applyBorder="1" applyAlignment="1">
      <alignment horizontal="center"/>
    </xf>
    <xf numFmtId="0" fontId="4" fillId="0" borderId="46" xfId="0" applyFont="1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0" fillId="0" borderId="35" xfId="0" applyBorder="1"/>
    <xf numFmtId="0" fontId="1" fillId="0" borderId="18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164" fontId="4" fillId="0" borderId="21" xfId="0" applyNumberFormat="1" applyFont="1" applyBorder="1" applyAlignment="1">
      <alignment horizontal="center" vertical="center"/>
    </xf>
    <xf numFmtId="0" fontId="16" fillId="0" borderId="3" xfId="0" applyFont="1" applyBorder="1"/>
    <xf numFmtId="0" fontId="0" fillId="0" borderId="14" xfId="0" applyBorder="1"/>
    <xf numFmtId="0" fontId="0" fillId="0" borderId="47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 applyAlignment="1">
      <alignment horizontal="center"/>
    </xf>
    <xf numFmtId="0" fontId="21" fillId="0" borderId="13" xfId="0" applyFont="1" applyBorder="1"/>
    <xf numFmtId="0" fontId="21" fillId="0" borderId="46" xfId="0" applyFont="1" applyBorder="1"/>
    <xf numFmtId="0" fontId="0" fillId="0" borderId="13" xfId="0" applyBorder="1"/>
    <xf numFmtId="2" fontId="18" fillId="0" borderId="24" xfId="0" applyNumberFormat="1" applyFont="1" applyBorder="1"/>
    <xf numFmtId="2" fontId="18" fillId="0" borderId="50" xfId="0" applyNumberFormat="1" applyFont="1" applyBorder="1"/>
    <xf numFmtId="2" fontId="17" fillId="0" borderId="44" xfId="0" applyNumberFormat="1" applyFont="1" applyBorder="1"/>
    <xf numFmtId="2" fontId="17" fillId="0" borderId="50" xfId="0" applyNumberFormat="1" applyFont="1" applyBorder="1"/>
    <xf numFmtId="0" fontId="0" fillId="0" borderId="16" xfId="0" applyBorder="1"/>
    <xf numFmtId="0" fontId="21" fillId="0" borderId="16" xfId="0" applyFont="1" applyBorder="1"/>
    <xf numFmtId="2" fontId="17" fillId="0" borderId="21" xfId="0" applyNumberFormat="1" applyFont="1" applyBorder="1" applyAlignment="1">
      <alignment horizontal="right"/>
    </xf>
    <xf numFmtId="14" fontId="22" fillId="0" borderId="14" xfId="0" applyNumberFormat="1" applyFont="1" applyBorder="1" applyAlignment="1">
      <alignment horizontal="left"/>
    </xf>
    <xf numFmtId="164" fontId="18" fillId="0" borderId="10" xfId="0" applyNumberFormat="1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2" fontId="18" fillId="0" borderId="10" xfId="0" applyNumberFormat="1" applyFont="1" applyBorder="1"/>
    <xf numFmtId="2" fontId="18" fillId="0" borderId="43" xfId="0" applyNumberFormat="1" applyFont="1" applyBorder="1"/>
    <xf numFmtId="0" fontId="18" fillId="0" borderId="2" xfId="0" applyFont="1" applyBorder="1" applyAlignment="1">
      <alignment horizontal="right"/>
    </xf>
    <xf numFmtId="2" fontId="18" fillId="0" borderId="44" xfId="0" applyNumberFormat="1" applyFont="1" applyBorder="1" applyAlignment="1">
      <alignment horizontal="right"/>
    </xf>
    <xf numFmtId="2" fontId="18" fillId="0" borderId="2" xfId="0" applyNumberFormat="1" applyFont="1" applyBorder="1" applyAlignment="1">
      <alignment horizontal="right"/>
    </xf>
    <xf numFmtId="2" fontId="18" fillId="0" borderId="44" xfId="0" applyNumberFormat="1" applyFont="1" applyBorder="1"/>
    <xf numFmtId="2" fontId="18" fillId="0" borderId="21" xfId="0" applyNumberFormat="1" applyFont="1" applyBorder="1" applyAlignment="1">
      <alignment horizontal="right"/>
    </xf>
    <xf numFmtId="0" fontId="21" fillId="0" borderId="51" xfId="0" applyFont="1" applyBorder="1"/>
    <xf numFmtId="0" fontId="23" fillId="0" borderId="4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2" fontId="24" fillId="0" borderId="5" xfId="0" applyNumberFormat="1" applyFont="1" applyBorder="1" applyAlignment="1">
      <alignment horizontal="right" vertical="center"/>
    </xf>
    <xf numFmtId="2" fontId="24" fillId="0" borderId="6" xfId="0" applyNumberFormat="1" applyFont="1" applyBorder="1" applyAlignment="1">
      <alignment horizontal="right" vertical="center"/>
    </xf>
    <xf numFmtId="2" fontId="24" fillId="0" borderId="21" xfId="0" applyNumberFormat="1" applyFont="1" applyBorder="1" applyAlignment="1">
      <alignment horizontal="right" vertical="center"/>
    </xf>
    <xf numFmtId="2" fontId="24" fillId="0" borderId="20" xfId="0" applyNumberFormat="1" applyFont="1" applyBorder="1" applyAlignment="1">
      <alignment horizontal="right" vertical="center"/>
    </xf>
    <xf numFmtId="14" fontId="22" fillId="0" borderId="0" xfId="0" applyNumberFormat="1" applyFont="1" applyAlignment="1">
      <alignment horizontal="left"/>
    </xf>
    <xf numFmtId="0" fontId="27" fillId="0" borderId="5" xfId="0" applyFont="1" applyBorder="1"/>
    <xf numFmtId="0" fontId="27" fillId="0" borderId="21" xfId="0" applyFont="1" applyBorder="1"/>
    <xf numFmtId="0" fontId="4" fillId="0" borderId="2" xfId="0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2" fontId="18" fillId="0" borderId="50" xfId="0" applyNumberFormat="1" applyFont="1" applyBorder="1" applyAlignment="1">
      <alignment horizontal="right"/>
    </xf>
    <xf numFmtId="0" fontId="21" fillId="0" borderId="2" xfId="0" applyFont="1" applyBorder="1"/>
    <xf numFmtId="0" fontId="21" fillId="0" borderId="52" xfId="0" applyFont="1" applyBorder="1"/>
    <xf numFmtId="0" fontId="21" fillId="0" borderId="53" xfId="0" applyFont="1" applyBorder="1"/>
    <xf numFmtId="0" fontId="21" fillId="0" borderId="27" xfId="0" applyFont="1" applyBorder="1"/>
    <xf numFmtId="0" fontId="21" fillId="0" borderId="10" xfId="0" applyFont="1" applyBorder="1"/>
    <xf numFmtId="2" fontId="24" fillId="0" borderId="50" xfId="0" applyNumberFormat="1" applyFont="1" applyBorder="1" applyAlignment="1">
      <alignment horizontal="right" vertical="center"/>
    </xf>
    <xf numFmtId="2" fontId="24" fillId="0" borderId="24" xfId="0" applyNumberFormat="1" applyFont="1" applyBorder="1" applyAlignment="1">
      <alignment horizontal="right" vertical="center"/>
    </xf>
    <xf numFmtId="0" fontId="21" fillId="0" borderId="54" xfId="0" applyFont="1" applyBorder="1"/>
    <xf numFmtId="0" fontId="21" fillId="0" borderId="34" xfId="0" applyFont="1" applyBorder="1"/>
    <xf numFmtId="20" fontId="21" fillId="0" borderId="9" xfId="0" applyNumberFormat="1" applyFont="1" applyBorder="1"/>
    <xf numFmtId="0" fontId="21" fillId="0" borderId="55" xfId="0" applyFont="1" applyBorder="1"/>
    <xf numFmtId="0" fontId="21" fillId="0" borderId="36" xfId="0" applyFont="1" applyBorder="1"/>
    <xf numFmtId="165" fontId="19" fillId="0" borderId="2" xfId="0" applyNumberFormat="1" applyFont="1" applyBorder="1"/>
    <xf numFmtId="20" fontId="21" fillId="0" borderId="2" xfId="0" applyNumberFormat="1" applyFont="1" applyBorder="1"/>
    <xf numFmtId="2" fontId="18" fillId="0" borderId="10" xfId="0" applyNumberFormat="1" applyFont="1" applyBorder="1" applyAlignment="1">
      <alignment horizontal="right"/>
    </xf>
    <xf numFmtId="0" fontId="0" fillId="0" borderId="7" xfId="0" applyBorder="1" applyAlignment="1">
      <alignment horizontal="center"/>
    </xf>
    <xf numFmtId="0" fontId="11" fillId="0" borderId="8" xfId="0" applyFont="1" applyBorder="1"/>
    <xf numFmtId="0" fontId="4" fillId="0" borderId="8" xfId="0" applyFont="1" applyBorder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164" fontId="19" fillId="0" borderId="21" xfId="0" applyNumberFormat="1" applyFont="1" applyBorder="1"/>
    <xf numFmtId="0" fontId="28" fillId="0" borderId="33" xfId="0" applyFont="1" applyBorder="1" applyAlignment="1">
      <alignment horizontal="center" vertical="center"/>
    </xf>
    <xf numFmtId="0" fontId="29" fillId="0" borderId="10" xfId="0" applyFont="1" applyBorder="1" applyAlignment="1">
      <alignment vertical="center"/>
    </xf>
    <xf numFmtId="0" fontId="28" fillId="0" borderId="56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0" fontId="29" fillId="0" borderId="2" xfId="0" applyFont="1" applyBorder="1" applyAlignment="1">
      <alignment vertical="center"/>
    </xf>
    <xf numFmtId="0" fontId="28" fillId="0" borderId="57" xfId="0" applyFont="1" applyBorder="1" applyAlignment="1">
      <alignment horizontal="center" vertical="center"/>
    </xf>
    <xf numFmtId="0" fontId="30" fillId="0" borderId="57" xfId="0" applyFont="1" applyBorder="1" applyAlignment="1">
      <alignment horizontal="center" vertical="center"/>
    </xf>
    <xf numFmtId="164" fontId="18" fillId="0" borderId="34" xfId="0" applyNumberFormat="1" applyFont="1" applyBorder="1" applyAlignment="1">
      <alignment vertical="center"/>
    </xf>
    <xf numFmtId="164" fontId="18" fillId="0" borderId="36" xfId="0" applyNumberFormat="1" applyFont="1" applyBorder="1" applyAlignment="1">
      <alignment vertical="center"/>
    </xf>
    <xf numFmtId="164" fontId="31" fillId="0" borderId="36" xfId="0" applyNumberFormat="1" applyFont="1" applyBorder="1" applyAlignment="1">
      <alignment vertical="center"/>
    </xf>
    <xf numFmtId="0" fontId="21" fillId="0" borderId="2" xfId="0" applyFont="1" applyBorder="1" applyAlignment="1">
      <alignment wrapText="1"/>
    </xf>
    <xf numFmtId="20" fontId="21" fillId="0" borderId="51" xfId="0" applyNumberFormat="1" applyFont="1" applyBorder="1"/>
    <xf numFmtId="0" fontId="21" fillId="0" borderId="51" xfId="0" applyFont="1" applyBorder="1" applyAlignment="1">
      <alignment wrapText="1"/>
    </xf>
    <xf numFmtId="0" fontId="11" fillId="0" borderId="5" xfId="0" applyFont="1" applyBorder="1"/>
    <xf numFmtId="2" fontId="24" fillId="0" borderId="58" xfId="0" applyNumberFormat="1" applyFont="1" applyBorder="1" applyAlignment="1">
      <alignment horizontal="right" vertical="center"/>
    </xf>
    <xf numFmtId="0" fontId="21" fillId="0" borderId="32" xfId="0" applyFont="1" applyBorder="1"/>
    <xf numFmtId="0" fontId="21" fillId="0" borderId="13" xfId="0" applyFont="1" applyBorder="1" applyAlignment="1">
      <alignment wrapText="1"/>
    </xf>
    <xf numFmtId="0" fontId="21" fillId="0" borderId="16" xfId="0" applyFont="1" applyBorder="1" applyAlignment="1">
      <alignment wrapText="1"/>
    </xf>
    <xf numFmtId="20" fontId="21" fillId="0" borderId="16" xfId="0" applyNumberFormat="1" applyFont="1" applyBorder="1"/>
    <xf numFmtId="2" fontId="19" fillId="0" borderId="2" xfId="0" applyNumberFormat="1" applyFont="1" applyBorder="1"/>
    <xf numFmtId="0" fontId="19" fillId="0" borderId="0" xfId="0" applyFont="1"/>
    <xf numFmtId="2" fontId="0" fillId="0" borderId="0" xfId="0" applyNumberFormat="1"/>
    <xf numFmtId="2" fontId="0" fillId="0" borderId="0" xfId="0" applyNumberFormat="1" applyAlignment="1">
      <alignment horizontal="center"/>
    </xf>
    <xf numFmtId="0" fontId="1" fillId="0" borderId="13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4" fillId="0" borderId="36" xfId="0" applyFont="1" applyBorder="1" applyAlignment="1">
      <alignment horizontal="left"/>
    </xf>
    <xf numFmtId="164" fontId="0" fillId="0" borderId="0" xfId="0" applyNumberFormat="1"/>
    <xf numFmtId="164" fontId="19" fillId="0" borderId="0" xfId="0" applyNumberFormat="1" applyFont="1"/>
    <xf numFmtId="0" fontId="19" fillId="0" borderId="0" xfId="0" applyFont="1" applyAlignment="1">
      <alignment horizontal="center"/>
    </xf>
    <xf numFmtId="0" fontId="4" fillId="0" borderId="34" xfId="0" applyFont="1" applyBorder="1"/>
    <xf numFmtId="0" fontId="4" fillId="0" borderId="36" xfId="0" applyFont="1" applyBorder="1"/>
    <xf numFmtId="164" fontId="18" fillId="0" borderId="34" xfId="0" applyNumberFormat="1" applyFont="1" applyBorder="1" applyAlignment="1">
      <alignment horizontal="center" vertical="center"/>
    </xf>
    <xf numFmtId="164" fontId="18" fillId="0" borderId="36" xfId="0" applyNumberFormat="1" applyFont="1" applyBorder="1" applyAlignment="1">
      <alignment horizontal="center" vertical="center"/>
    </xf>
    <xf numFmtId="164" fontId="31" fillId="0" borderId="36" xfId="0" applyNumberFormat="1" applyFont="1" applyBorder="1" applyAlignment="1">
      <alignment horizontal="center" vertical="center"/>
    </xf>
    <xf numFmtId="165" fontId="0" fillId="0" borderId="0" xfId="0" applyNumberFormat="1"/>
    <xf numFmtId="165" fontId="19" fillId="0" borderId="0" xfId="0" applyNumberFormat="1" applyFont="1"/>
    <xf numFmtId="0" fontId="4" fillId="0" borderId="4" xfId="0" applyFont="1" applyBorder="1"/>
    <xf numFmtId="0" fontId="4" fillId="0" borderId="35" xfId="0" applyFont="1" applyBorder="1"/>
    <xf numFmtId="0" fontId="33" fillId="0" borderId="51" xfId="0" applyFont="1" applyBorder="1" applyAlignment="1">
      <alignment horizontal="left" wrapText="1"/>
    </xf>
    <xf numFmtId="0" fontId="18" fillId="0" borderId="10" xfId="0" applyFont="1" applyBorder="1" applyAlignment="1">
      <alignment horizontal="right"/>
    </xf>
    <xf numFmtId="2" fontId="18" fillId="0" borderId="43" xfId="0" applyNumberFormat="1" applyFont="1" applyBorder="1" applyAlignment="1">
      <alignment horizontal="right"/>
    </xf>
    <xf numFmtId="0" fontId="1" fillId="0" borderId="59" xfId="0" applyFont="1" applyBorder="1" applyAlignment="1">
      <alignment horizontal="center"/>
    </xf>
    <xf numFmtId="0" fontId="11" fillId="0" borderId="58" xfId="0" applyFont="1" applyBorder="1"/>
    <xf numFmtId="2" fontId="24" fillId="0" borderId="60" xfId="0" applyNumberFormat="1" applyFont="1" applyBorder="1" applyAlignment="1">
      <alignment horizontal="right" vertical="center"/>
    </xf>
    <xf numFmtId="2" fontId="19" fillId="0" borderId="0" xfId="0" applyNumberFormat="1" applyFont="1"/>
    <xf numFmtId="0" fontId="31" fillId="0" borderId="2" xfId="0" applyFont="1" applyBorder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0" fontId="28" fillId="0" borderId="7" xfId="0" applyFont="1" applyBorder="1" applyAlignment="1">
      <alignment horizontal="center" vertical="center"/>
    </xf>
    <xf numFmtId="0" fontId="9" fillId="0" borderId="61" xfId="0" applyFont="1" applyBorder="1" applyAlignment="1">
      <alignment horizontal="center" vertical="center"/>
    </xf>
    <xf numFmtId="0" fontId="34" fillId="0" borderId="8" xfId="0" applyFont="1" applyBorder="1" applyAlignment="1">
      <alignment horizontal="center" vertical="center"/>
    </xf>
    <xf numFmtId="0" fontId="29" fillId="0" borderId="27" xfId="0" applyFont="1" applyBorder="1" applyAlignment="1">
      <alignment vertical="center"/>
    </xf>
    <xf numFmtId="0" fontId="28" fillId="0" borderId="59" xfId="0" applyFont="1" applyBorder="1" applyAlignment="1">
      <alignment horizontal="center" vertical="center"/>
    </xf>
    <xf numFmtId="0" fontId="36" fillId="0" borderId="51" xfId="0" applyFont="1" applyBorder="1" applyAlignment="1">
      <alignment horizontal="center"/>
    </xf>
    <xf numFmtId="164" fontId="36" fillId="0" borderId="31" xfId="0" applyNumberFormat="1" applyFont="1" applyBorder="1" applyAlignment="1">
      <alignment horizontal="center"/>
    </xf>
    <xf numFmtId="164" fontId="35" fillId="0" borderId="9" xfId="0" applyNumberFormat="1" applyFont="1" applyBorder="1" applyAlignment="1">
      <alignment horizontal="center" vertical="center"/>
    </xf>
    <xf numFmtId="0" fontId="24" fillId="0" borderId="56" xfId="0" applyFont="1" applyBorder="1" applyAlignment="1">
      <alignment horizontal="center" vertical="center"/>
    </xf>
    <xf numFmtId="164" fontId="24" fillId="0" borderId="34" xfId="0" applyNumberFormat="1" applyFont="1" applyBorder="1" applyAlignment="1">
      <alignment horizontal="center" vertical="center"/>
    </xf>
    <xf numFmtId="0" fontId="24" fillId="0" borderId="57" xfId="0" applyFont="1" applyBorder="1" applyAlignment="1">
      <alignment horizontal="center" vertical="center"/>
    </xf>
    <xf numFmtId="164" fontId="24" fillId="0" borderId="36" xfId="0" applyNumberFormat="1" applyFont="1" applyBorder="1" applyAlignment="1">
      <alignment horizontal="center" vertical="center"/>
    </xf>
    <xf numFmtId="0" fontId="34" fillId="0" borderId="57" xfId="0" applyFont="1" applyBorder="1" applyAlignment="1">
      <alignment horizontal="center" vertical="center"/>
    </xf>
    <xf numFmtId="164" fontId="34" fillId="0" borderId="36" xfId="0" applyNumberFormat="1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2" fontId="24" fillId="0" borderId="0" xfId="0" applyNumberFormat="1" applyFont="1" applyAlignment="1">
      <alignment horizontal="right" vertical="center"/>
    </xf>
    <xf numFmtId="2" fontId="18" fillId="0" borderId="0" xfId="0" applyNumberFormat="1" applyFont="1" applyAlignment="1">
      <alignment horizontal="right"/>
    </xf>
    <xf numFmtId="2" fontId="37" fillId="0" borderId="0" xfId="0" applyNumberFormat="1" applyFont="1" applyAlignment="1">
      <alignment horizontal="right" vertical="center"/>
    </xf>
    <xf numFmtId="2" fontId="38" fillId="0" borderId="0" xfId="0" applyNumberFormat="1" applyFont="1"/>
    <xf numFmtId="2" fontId="18" fillId="0" borderId="43" xfId="0" applyNumberFormat="1" applyFont="1" applyBorder="1" applyAlignment="1">
      <alignment horizontal="right" vertical="center"/>
    </xf>
    <xf numFmtId="0" fontId="0" fillId="0" borderId="62" xfId="0" applyBorder="1"/>
    <xf numFmtId="0" fontId="33" fillId="0" borderId="13" xfId="0" applyFont="1" applyBorder="1" applyAlignment="1">
      <alignment horizontal="left" wrapText="1"/>
    </xf>
    <xf numFmtId="164" fontId="24" fillId="0" borderId="0" xfId="0" applyNumberFormat="1" applyFont="1" applyAlignment="1">
      <alignment horizontal="center" vertical="center"/>
    </xf>
    <xf numFmtId="164" fontId="34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right"/>
    </xf>
    <xf numFmtId="0" fontId="33" fillId="0" borderId="51" xfId="0" applyFont="1" applyBorder="1" applyAlignment="1">
      <alignment vertical="center" wrapText="1"/>
    </xf>
    <xf numFmtId="0" fontId="11" fillId="0" borderId="34" xfId="0" applyFont="1" applyBorder="1"/>
    <xf numFmtId="0" fontId="31" fillId="0" borderId="8" xfId="0" applyFont="1" applyBorder="1" applyAlignment="1">
      <alignment horizontal="center" vertical="center"/>
    </xf>
    <xf numFmtId="0" fontId="33" fillId="0" borderId="16" xfId="0" applyFont="1" applyBorder="1" applyAlignment="1">
      <alignment vertical="center" wrapText="1"/>
    </xf>
    <xf numFmtId="0" fontId="4" fillId="0" borderId="36" xfId="0" applyFont="1" applyBorder="1" applyAlignment="1">
      <alignment wrapText="1"/>
    </xf>
    <xf numFmtId="2" fontId="18" fillId="0" borderId="2" xfId="0" applyNumberFormat="1" applyFont="1" applyBorder="1" applyAlignment="1">
      <alignment horizontal="right" vertical="center"/>
    </xf>
    <xf numFmtId="0" fontId="33" fillId="0" borderId="16" xfId="0" applyFont="1" applyBorder="1" applyAlignment="1">
      <alignment wrapText="1"/>
    </xf>
    <xf numFmtId="0" fontId="33" fillId="0" borderId="16" xfId="0" applyFont="1" applyBorder="1"/>
    <xf numFmtId="0" fontId="21" fillId="0" borderId="16" xfId="0" applyFont="1" applyBorder="1" applyAlignment="1">
      <alignment vertical="center" wrapText="1"/>
    </xf>
    <xf numFmtId="0" fontId="21" fillId="0" borderId="51" xfId="0" applyFont="1" applyBorder="1" applyAlignment="1">
      <alignment horizontal="left" wrapText="1"/>
    </xf>
    <xf numFmtId="164" fontId="23" fillId="0" borderId="0" xfId="0" applyNumberFormat="1" applyFont="1"/>
    <xf numFmtId="165" fontId="0" fillId="0" borderId="36" xfId="0" applyNumberFormat="1" applyBorder="1"/>
    <xf numFmtId="164" fontId="0" fillId="0" borderId="36" xfId="0" applyNumberFormat="1" applyBorder="1"/>
    <xf numFmtId="0" fontId="21" fillId="0" borderId="51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9" xfId="0" applyFont="1" applyBorder="1" applyAlignment="1">
      <alignment horizontal="left" vertical="center"/>
    </xf>
    <xf numFmtId="0" fontId="9" fillId="0" borderId="48" xfId="0" applyFont="1" applyBorder="1" applyAlignment="1">
      <alignment horizontal="left" vertical="center"/>
    </xf>
    <xf numFmtId="0" fontId="9" fillId="0" borderId="45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4" fillId="0" borderId="39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32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10" fillId="0" borderId="41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47" xfId="0" applyFont="1" applyBorder="1" applyAlignment="1">
      <alignment horizontal="left" vertical="center"/>
    </xf>
    <xf numFmtId="0" fontId="4" fillId="0" borderId="40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5" fillId="0" borderId="29" xfId="0" applyFont="1" applyBorder="1" applyAlignment="1">
      <alignment horizontal="left"/>
    </xf>
    <xf numFmtId="0" fontId="25" fillId="0" borderId="30" xfId="0" applyFont="1" applyBorder="1" applyAlignment="1">
      <alignment horizontal="left"/>
    </xf>
    <xf numFmtId="0" fontId="25" fillId="0" borderId="31" xfId="0" applyFont="1" applyBorder="1" applyAlignment="1">
      <alignment horizontal="left"/>
    </xf>
    <xf numFmtId="0" fontId="25" fillId="0" borderId="29" xfId="0" applyFont="1" applyBorder="1" applyAlignment="1">
      <alignment horizontal="center"/>
    </xf>
    <xf numFmtId="0" fontId="25" fillId="0" borderId="30" xfId="0" applyFont="1" applyBorder="1" applyAlignment="1">
      <alignment horizontal="center"/>
    </xf>
    <xf numFmtId="0" fontId="25" fillId="0" borderId="31" xfId="0" applyFont="1" applyBorder="1" applyAlignment="1">
      <alignment horizontal="center"/>
    </xf>
    <xf numFmtId="0" fontId="26" fillId="0" borderId="29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47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28" xfId="0" applyFont="1" applyBorder="1" applyAlignment="1">
      <alignment horizontal="left" vertical="center"/>
    </xf>
    <xf numFmtId="0" fontId="12" fillId="0" borderId="17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99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workbookViewId="0">
      <selection sqref="A1:E64"/>
    </sheetView>
  </sheetViews>
  <sheetFormatPr defaultRowHeight="15" x14ac:dyDescent="0.25"/>
  <cols>
    <col min="1" max="1" width="7.28515625" customWidth="1"/>
    <col min="2" max="2" width="30.42578125" customWidth="1"/>
    <col min="3" max="3" width="10.85546875" customWidth="1"/>
    <col min="4" max="4" width="17.42578125" customWidth="1"/>
    <col min="5" max="5" width="35.7109375" customWidth="1"/>
  </cols>
  <sheetData>
    <row r="1" spans="1:5" ht="19.5" thickBot="1" x14ac:dyDescent="0.35">
      <c r="A1" s="59" t="s">
        <v>67</v>
      </c>
    </row>
    <row r="2" spans="1:5" ht="20.25" thickBot="1" x14ac:dyDescent="0.45">
      <c r="A2" s="302" t="s">
        <v>30</v>
      </c>
      <c r="B2" s="303"/>
      <c r="C2" s="303"/>
      <c r="D2" s="303"/>
      <c r="E2" s="304"/>
    </row>
    <row r="3" spans="1:5" ht="23.25" thickBot="1" x14ac:dyDescent="0.3">
      <c r="A3" s="299" t="s">
        <v>0</v>
      </c>
      <c r="B3" s="300"/>
      <c r="C3" s="300"/>
      <c r="D3" s="300"/>
      <c r="E3" s="301"/>
    </row>
    <row r="4" spans="1:5" x14ac:dyDescent="0.25">
      <c r="A4" s="23"/>
      <c r="E4" s="24"/>
    </row>
    <row r="5" spans="1:5" ht="20.25" thickBot="1" x14ac:dyDescent="0.45">
      <c r="A5" s="25" t="s">
        <v>32</v>
      </c>
      <c r="E5" s="24"/>
    </row>
    <row r="6" spans="1:5" ht="15.75" x14ac:dyDescent="0.25">
      <c r="A6" s="2" t="s">
        <v>1</v>
      </c>
      <c r="B6" s="305" t="s">
        <v>5</v>
      </c>
      <c r="C6" s="258" t="s">
        <v>3</v>
      </c>
      <c r="D6" s="258" t="s">
        <v>4</v>
      </c>
      <c r="E6" s="260" t="s">
        <v>13</v>
      </c>
    </row>
    <row r="7" spans="1:5" ht="16.5" thickBot="1" x14ac:dyDescent="0.3">
      <c r="A7" s="15" t="s">
        <v>2</v>
      </c>
      <c r="B7" s="309"/>
      <c r="C7" s="310"/>
      <c r="D7" s="310"/>
      <c r="E7" s="311"/>
    </row>
    <row r="8" spans="1:5" ht="15.75" x14ac:dyDescent="0.25">
      <c r="A8" s="35">
        <v>1</v>
      </c>
      <c r="B8" s="16" t="s">
        <v>6</v>
      </c>
      <c r="C8" s="78">
        <v>172</v>
      </c>
      <c r="D8" s="78">
        <v>4066</v>
      </c>
      <c r="E8" s="26"/>
    </row>
    <row r="9" spans="1:5" ht="15.75" x14ac:dyDescent="0.25">
      <c r="A9" s="32">
        <v>2</v>
      </c>
      <c r="B9" s="3" t="s">
        <v>7</v>
      </c>
      <c r="C9" s="79" t="s">
        <v>68</v>
      </c>
      <c r="D9" s="79">
        <v>145.214</v>
      </c>
      <c r="E9" s="27"/>
    </row>
    <row r="10" spans="1:5" ht="15.75" x14ac:dyDescent="0.25">
      <c r="A10" s="32">
        <v>3</v>
      </c>
      <c r="B10" s="3" t="s">
        <v>8</v>
      </c>
      <c r="C10" s="79">
        <v>179.4</v>
      </c>
      <c r="D10" s="79">
        <v>4050.06</v>
      </c>
      <c r="E10" s="27"/>
    </row>
    <row r="11" spans="1:5" ht="15.75" x14ac:dyDescent="0.25">
      <c r="A11" s="32">
        <v>4</v>
      </c>
      <c r="B11" s="3" t="s">
        <v>9</v>
      </c>
      <c r="C11" s="79"/>
      <c r="D11" s="79">
        <v>144.64500000000001</v>
      </c>
      <c r="E11" s="27"/>
    </row>
    <row r="12" spans="1:5" ht="15.75" x14ac:dyDescent="0.25">
      <c r="A12" s="32">
        <v>5</v>
      </c>
      <c r="B12" s="3" t="s">
        <v>12</v>
      </c>
      <c r="C12" s="79" t="s">
        <v>69</v>
      </c>
      <c r="D12" s="79" t="s">
        <v>70</v>
      </c>
      <c r="E12" s="27"/>
    </row>
    <row r="13" spans="1:5" ht="15.75" x14ac:dyDescent="0.3">
      <c r="A13" s="58">
        <v>6</v>
      </c>
      <c r="B13" s="5" t="s">
        <v>45</v>
      </c>
      <c r="C13" s="39"/>
      <c r="D13" s="39">
        <v>464.5</v>
      </c>
      <c r="E13" s="27"/>
    </row>
    <row r="14" spans="1:5" ht="15.75" x14ac:dyDescent="0.3">
      <c r="A14" s="58">
        <v>7</v>
      </c>
      <c r="B14" s="5" t="s">
        <v>44</v>
      </c>
      <c r="C14" s="39"/>
      <c r="D14" s="39">
        <v>116.125</v>
      </c>
      <c r="E14" s="27"/>
    </row>
    <row r="15" spans="1:5" ht="15.75" x14ac:dyDescent="0.3">
      <c r="A15" s="58">
        <v>8</v>
      </c>
      <c r="B15" s="5" t="s">
        <v>10</v>
      </c>
      <c r="C15" s="39"/>
      <c r="D15" s="39">
        <v>464.5</v>
      </c>
      <c r="E15" s="27"/>
    </row>
    <row r="16" spans="1:5" ht="15.75" x14ac:dyDescent="0.3">
      <c r="A16" s="58">
        <v>9</v>
      </c>
      <c r="B16" s="5" t="s">
        <v>11</v>
      </c>
      <c r="C16" s="39"/>
      <c r="D16" s="39">
        <v>116.125</v>
      </c>
      <c r="E16" s="27"/>
    </row>
    <row r="17" spans="1:12" ht="15.75" x14ac:dyDescent="0.3">
      <c r="A17" s="58">
        <v>10</v>
      </c>
      <c r="B17" s="4" t="s">
        <v>12</v>
      </c>
      <c r="C17" s="39"/>
      <c r="D17" s="40" t="s">
        <v>57</v>
      </c>
      <c r="E17" s="27"/>
    </row>
    <row r="18" spans="1:12" ht="19.5" thickBot="1" x14ac:dyDescent="0.45">
      <c r="A18" s="28" t="s">
        <v>23</v>
      </c>
      <c r="E18" s="24"/>
    </row>
    <row r="19" spans="1:12" ht="10.5" customHeight="1" x14ac:dyDescent="0.25">
      <c r="A19" s="9" t="s">
        <v>1</v>
      </c>
      <c r="B19" s="312" t="s">
        <v>27</v>
      </c>
      <c r="C19" s="258" t="s">
        <v>3</v>
      </c>
      <c r="D19" s="258" t="s">
        <v>4</v>
      </c>
      <c r="E19" s="272" t="s">
        <v>28</v>
      </c>
    </row>
    <row r="20" spans="1:12" ht="11.25" customHeight="1" thickBot="1" x14ac:dyDescent="0.3">
      <c r="A20" s="17" t="s">
        <v>2</v>
      </c>
      <c r="B20" s="313"/>
      <c r="C20" s="310"/>
      <c r="D20" s="310"/>
      <c r="E20" s="273"/>
    </row>
    <row r="21" spans="1:12" ht="19.5" x14ac:dyDescent="0.4">
      <c r="A21" s="35">
        <v>1</v>
      </c>
      <c r="B21" s="53" t="s">
        <v>58</v>
      </c>
      <c r="C21" s="47" t="s">
        <v>57</v>
      </c>
      <c r="D21" s="49">
        <v>88.65</v>
      </c>
      <c r="E21" s="26"/>
      <c r="K21" s="8"/>
      <c r="L21" s="6"/>
    </row>
    <row r="22" spans="1:12" x14ac:dyDescent="0.25">
      <c r="A22" s="32">
        <v>2</v>
      </c>
      <c r="B22" s="54" t="s">
        <v>59</v>
      </c>
      <c r="C22" s="48">
        <v>199</v>
      </c>
      <c r="D22" s="48">
        <v>4239.3500000000004</v>
      </c>
      <c r="E22" s="27"/>
    </row>
    <row r="23" spans="1:12" x14ac:dyDescent="0.25">
      <c r="A23" s="32">
        <v>3</v>
      </c>
      <c r="B23" s="54" t="s">
        <v>60</v>
      </c>
      <c r="C23" s="48">
        <v>199</v>
      </c>
      <c r="D23" s="48">
        <f>SUM(D21:D22)</f>
        <v>4328</v>
      </c>
      <c r="E23" s="27"/>
    </row>
    <row r="24" spans="1:12" ht="19.5" thickBot="1" x14ac:dyDescent="0.45">
      <c r="A24" s="28" t="s">
        <v>41</v>
      </c>
      <c r="E24" s="24"/>
    </row>
    <row r="25" spans="1:12" ht="15.75" x14ac:dyDescent="0.25">
      <c r="A25" s="9" t="s">
        <v>1</v>
      </c>
      <c r="B25" s="305" t="s">
        <v>5</v>
      </c>
      <c r="C25" s="314" t="s">
        <v>3</v>
      </c>
      <c r="D25" s="316" t="s">
        <v>4</v>
      </c>
      <c r="E25" s="60" t="s">
        <v>61</v>
      </c>
    </row>
    <row r="26" spans="1:12" ht="15.75" x14ac:dyDescent="0.25">
      <c r="A26" s="1" t="s">
        <v>2</v>
      </c>
      <c r="B26" s="306"/>
      <c r="C26" s="315"/>
      <c r="D26" s="317"/>
      <c r="E26" s="61" t="s">
        <v>42</v>
      </c>
    </row>
    <row r="27" spans="1:12" ht="15" customHeight="1" x14ac:dyDescent="0.25">
      <c r="A27" s="29">
        <v>1</v>
      </c>
      <c r="B27" s="20" t="s">
        <v>43</v>
      </c>
      <c r="C27" s="50">
        <v>17.239999999999998</v>
      </c>
      <c r="D27" s="50">
        <v>394.42</v>
      </c>
      <c r="E27" s="51">
        <v>10.38</v>
      </c>
    </row>
    <row r="28" spans="1:12" ht="16.5" thickBot="1" x14ac:dyDescent="0.3">
      <c r="A28" s="30" t="s">
        <v>26</v>
      </c>
      <c r="B28" s="10"/>
      <c r="C28" s="10"/>
      <c r="D28" s="10"/>
      <c r="E28" s="31"/>
    </row>
    <row r="29" spans="1:12" ht="15.75" x14ac:dyDescent="0.25">
      <c r="A29" s="11" t="s">
        <v>1</v>
      </c>
      <c r="B29" s="318" t="s">
        <v>31</v>
      </c>
      <c r="C29" s="56" t="s">
        <v>34</v>
      </c>
      <c r="D29" s="41" t="s">
        <v>33</v>
      </c>
      <c r="E29" s="260" t="s">
        <v>13</v>
      </c>
    </row>
    <row r="30" spans="1:12" ht="15.75" x14ac:dyDescent="0.25">
      <c r="A30" s="12" t="s">
        <v>2</v>
      </c>
      <c r="B30" s="319"/>
      <c r="C30" s="57" t="s">
        <v>35</v>
      </c>
      <c r="D30" s="13" t="s">
        <v>3</v>
      </c>
      <c r="E30" s="307"/>
    </row>
    <row r="31" spans="1:12" ht="15.75" x14ac:dyDescent="0.25">
      <c r="A31" s="29">
        <v>1</v>
      </c>
      <c r="B31" s="54" t="s">
        <v>36</v>
      </c>
      <c r="C31" s="62">
        <v>15</v>
      </c>
      <c r="D31" s="63">
        <v>26</v>
      </c>
      <c r="E31" s="27"/>
    </row>
    <row r="32" spans="1:12" ht="15.75" x14ac:dyDescent="0.25">
      <c r="A32" s="32">
        <v>2</v>
      </c>
      <c r="B32" s="54" t="s">
        <v>37</v>
      </c>
      <c r="C32" s="62">
        <v>8</v>
      </c>
      <c r="D32" s="63">
        <v>14</v>
      </c>
      <c r="E32" s="27"/>
    </row>
    <row r="33" spans="1:11" ht="15.75" x14ac:dyDescent="0.25">
      <c r="A33" s="32">
        <v>3</v>
      </c>
      <c r="B33" s="54" t="s">
        <v>38</v>
      </c>
      <c r="C33" s="62">
        <v>22</v>
      </c>
      <c r="D33" s="63">
        <v>37</v>
      </c>
      <c r="E33" s="27"/>
    </row>
    <row r="34" spans="1:11" ht="15.75" x14ac:dyDescent="0.25">
      <c r="A34" s="29">
        <v>4</v>
      </c>
      <c r="B34" s="54" t="s">
        <v>39</v>
      </c>
      <c r="C34" s="62">
        <v>60</v>
      </c>
      <c r="D34" s="63">
        <v>102</v>
      </c>
      <c r="E34" s="27"/>
      <c r="J34" s="6"/>
    </row>
    <row r="35" spans="1:11" ht="15.75" x14ac:dyDescent="0.25">
      <c r="A35" s="33">
        <v>5</v>
      </c>
      <c r="B35" s="14" t="s">
        <v>29</v>
      </c>
      <c r="C35" s="64">
        <f>SUM(C31:C34)</f>
        <v>105</v>
      </c>
      <c r="D35" s="65">
        <f>SUM(D31:D34)</f>
        <v>179</v>
      </c>
      <c r="E35" s="27"/>
      <c r="J35" s="7"/>
    </row>
    <row r="36" spans="1:11" ht="20.25" thickBot="1" x14ac:dyDescent="0.45">
      <c r="A36" s="34" t="s">
        <v>24</v>
      </c>
      <c r="E36" s="24"/>
      <c r="J36" s="7"/>
    </row>
    <row r="37" spans="1:11" ht="15.75" x14ac:dyDescent="0.25">
      <c r="A37" s="2" t="s">
        <v>1</v>
      </c>
      <c r="B37" s="305" t="s">
        <v>5</v>
      </c>
      <c r="C37" s="18" t="s">
        <v>3</v>
      </c>
      <c r="D37" s="18" t="s">
        <v>4</v>
      </c>
      <c r="E37" s="260" t="s">
        <v>13</v>
      </c>
      <c r="J37" s="7"/>
    </row>
    <row r="38" spans="1:11" ht="16.5" thickBot="1" x14ac:dyDescent="0.3">
      <c r="A38" s="15" t="s">
        <v>2</v>
      </c>
      <c r="B38" s="309"/>
      <c r="C38" s="19" t="s">
        <v>40</v>
      </c>
      <c r="D38" s="19" t="s">
        <v>40</v>
      </c>
      <c r="E38" s="311"/>
      <c r="J38" s="7"/>
    </row>
    <row r="39" spans="1:11" ht="16.5" x14ac:dyDescent="0.3">
      <c r="A39" s="44">
        <v>1</v>
      </c>
      <c r="B39" s="45" t="s">
        <v>14</v>
      </c>
      <c r="C39" s="66">
        <v>23.3</v>
      </c>
      <c r="D39" s="67">
        <v>538.45000000000005</v>
      </c>
      <c r="E39" s="42"/>
      <c r="J39" s="7"/>
    </row>
    <row r="40" spans="1:11" ht="17.25" thickBot="1" x14ac:dyDescent="0.35">
      <c r="A40" s="37">
        <v>2</v>
      </c>
      <c r="B40" s="46" t="s">
        <v>62</v>
      </c>
      <c r="C40" s="68">
        <v>0.3</v>
      </c>
      <c r="D40" s="69">
        <v>109.15</v>
      </c>
      <c r="E40" s="43"/>
      <c r="J40" s="7"/>
    </row>
    <row r="41" spans="1:11" ht="15.75" x14ac:dyDescent="0.25">
      <c r="A41" s="35">
        <v>3</v>
      </c>
      <c r="B41" s="53" t="s">
        <v>15</v>
      </c>
      <c r="C41" s="70">
        <v>0.3</v>
      </c>
      <c r="D41" s="71">
        <v>15.55</v>
      </c>
      <c r="E41" s="75" t="s">
        <v>66</v>
      </c>
      <c r="J41" s="7"/>
    </row>
    <row r="42" spans="1:11" ht="15.75" x14ac:dyDescent="0.25">
      <c r="A42" s="32">
        <v>4</v>
      </c>
      <c r="B42" s="54" t="s">
        <v>16</v>
      </c>
      <c r="C42" s="72" t="s">
        <v>64</v>
      </c>
      <c r="D42" s="72" t="s">
        <v>63</v>
      </c>
      <c r="E42" s="27"/>
      <c r="J42" s="7"/>
    </row>
    <row r="43" spans="1:11" ht="15.75" x14ac:dyDescent="0.25">
      <c r="A43" s="32">
        <v>5</v>
      </c>
      <c r="B43" s="54" t="s">
        <v>17</v>
      </c>
      <c r="C43" s="72" t="s">
        <v>64</v>
      </c>
      <c r="D43" s="73">
        <v>38.549999999999997</v>
      </c>
      <c r="E43" s="27"/>
      <c r="J43" s="7"/>
    </row>
    <row r="44" spans="1:11" ht="15.75" x14ac:dyDescent="0.25">
      <c r="A44" s="32">
        <v>6</v>
      </c>
      <c r="B44" s="54" t="s">
        <v>18</v>
      </c>
      <c r="C44" s="72" t="s">
        <v>64</v>
      </c>
      <c r="D44" s="72" t="s">
        <v>64</v>
      </c>
      <c r="E44" s="27"/>
      <c r="J44" s="7"/>
      <c r="K44" s="6"/>
    </row>
    <row r="45" spans="1:11" ht="15.75" x14ac:dyDescent="0.25">
      <c r="A45" s="32">
        <v>7</v>
      </c>
      <c r="B45" s="54" t="s">
        <v>19</v>
      </c>
      <c r="C45" s="72" t="s">
        <v>64</v>
      </c>
      <c r="D45" s="73">
        <v>23.4</v>
      </c>
      <c r="E45" s="27"/>
    </row>
    <row r="46" spans="1:11" ht="15.75" x14ac:dyDescent="0.25">
      <c r="A46" s="32">
        <v>8</v>
      </c>
      <c r="B46" s="54" t="s">
        <v>20</v>
      </c>
      <c r="C46" s="72" t="s">
        <v>64</v>
      </c>
      <c r="D46" s="73">
        <v>4.55</v>
      </c>
      <c r="E46" s="27"/>
    </row>
    <row r="47" spans="1:11" ht="15.75" x14ac:dyDescent="0.25">
      <c r="A47" s="32">
        <v>9</v>
      </c>
      <c r="B47" s="54" t="s">
        <v>21</v>
      </c>
      <c r="C47" s="72" t="s">
        <v>64</v>
      </c>
      <c r="D47" s="73">
        <v>18</v>
      </c>
      <c r="E47" s="27"/>
    </row>
    <row r="48" spans="1:11" ht="16.5" thickBot="1" x14ac:dyDescent="0.3">
      <c r="A48" s="37">
        <v>10</v>
      </c>
      <c r="B48" s="55" t="s">
        <v>22</v>
      </c>
      <c r="C48" s="72" t="s">
        <v>64</v>
      </c>
      <c r="D48" s="74">
        <v>7.5</v>
      </c>
      <c r="E48" s="38"/>
    </row>
    <row r="49" spans="1:5" ht="20.25" thickBot="1" x14ac:dyDescent="0.45">
      <c r="A49" s="34" t="s">
        <v>25</v>
      </c>
      <c r="E49" s="24"/>
    </row>
    <row r="50" spans="1:5" ht="15.75" x14ac:dyDescent="0.25">
      <c r="A50" s="2" t="s">
        <v>1</v>
      </c>
      <c r="B50" s="305" t="s">
        <v>5</v>
      </c>
      <c r="C50" s="18" t="s">
        <v>3</v>
      </c>
      <c r="D50" s="18" t="s">
        <v>4</v>
      </c>
      <c r="E50" s="260" t="s">
        <v>13</v>
      </c>
    </row>
    <row r="51" spans="1:5" ht="15.75" x14ac:dyDescent="0.25">
      <c r="A51" s="21" t="s">
        <v>2</v>
      </c>
      <c r="B51" s="306"/>
      <c r="C51" s="22" t="s">
        <v>46</v>
      </c>
      <c r="D51" s="22" t="s">
        <v>46</v>
      </c>
      <c r="E51" s="307"/>
    </row>
    <row r="52" spans="1:5" ht="15.75" x14ac:dyDescent="0.25">
      <c r="A52" s="32">
        <v>1</v>
      </c>
      <c r="B52" s="54" t="s">
        <v>65</v>
      </c>
      <c r="C52" s="76">
        <v>40145</v>
      </c>
      <c r="D52" s="76">
        <v>956092</v>
      </c>
      <c r="E52" s="27"/>
    </row>
    <row r="53" spans="1:5" ht="15.75" x14ac:dyDescent="0.25">
      <c r="A53" s="32">
        <v>2</v>
      </c>
      <c r="B53" s="54" t="s">
        <v>47</v>
      </c>
      <c r="C53" s="76">
        <v>224.27</v>
      </c>
      <c r="D53" s="76">
        <v>245.52</v>
      </c>
      <c r="E53" s="27"/>
    </row>
    <row r="54" spans="1:5" ht="20.25" thickBot="1" x14ac:dyDescent="0.45">
      <c r="A54" s="25" t="s">
        <v>48</v>
      </c>
      <c r="B54" s="36"/>
      <c r="E54" s="24"/>
    </row>
    <row r="55" spans="1:5" ht="15.75" x14ac:dyDescent="0.25">
      <c r="A55" s="2" t="s">
        <v>1</v>
      </c>
      <c r="B55" s="305" t="s">
        <v>5</v>
      </c>
      <c r="C55" s="270" t="s">
        <v>3</v>
      </c>
      <c r="D55" s="270" t="s">
        <v>4</v>
      </c>
      <c r="E55" s="260" t="s">
        <v>13</v>
      </c>
    </row>
    <row r="56" spans="1:5" ht="15.75" x14ac:dyDescent="0.25">
      <c r="A56" s="21" t="s">
        <v>2</v>
      </c>
      <c r="B56" s="306"/>
      <c r="C56" s="308"/>
      <c r="D56" s="308"/>
      <c r="E56" s="307"/>
    </row>
    <row r="57" spans="1:5" ht="15.75" x14ac:dyDescent="0.25">
      <c r="A57" s="32">
        <v>1</v>
      </c>
      <c r="B57" s="3" t="s">
        <v>49</v>
      </c>
      <c r="C57" s="76">
        <v>233</v>
      </c>
      <c r="D57" s="76">
        <v>5604</v>
      </c>
      <c r="E57" s="27"/>
    </row>
    <row r="58" spans="1:5" ht="15.75" x14ac:dyDescent="0.25">
      <c r="A58" s="32">
        <v>2</v>
      </c>
      <c r="B58" s="3" t="s">
        <v>52</v>
      </c>
      <c r="C58" s="76">
        <v>1.3009999999999999</v>
      </c>
      <c r="D58" s="76">
        <v>1.4390000000000001</v>
      </c>
      <c r="E58" s="27"/>
    </row>
    <row r="59" spans="1:5" ht="15.75" x14ac:dyDescent="0.25">
      <c r="A59" s="32">
        <v>3</v>
      </c>
      <c r="B59" s="3" t="s">
        <v>50</v>
      </c>
      <c r="C59" s="76">
        <v>118</v>
      </c>
      <c r="D59" s="76">
        <v>2119</v>
      </c>
      <c r="E59" s="27"/>
    </row>
    <row r="60" spans="1:5" ht="15.75" x14ac:dyDescent="0.25">
      <c r="A60" s="32">
        <v>4</v>
      </c>
      <c r="B60" s="3" t="s">
        <v>53</v>
      </c>
      <c r="C60" s="76">
        <v>0.65900000000000003</v>
      </c>
      <c r="D60" s="76">
        <v>0.54400000000000004</v>
      </c>
      <c r="E60" s="27"/>
    </row>
    <row r="61" spans="1:5" ht="15.75" x14ac:dyDescent="0.25">
      <c r="A61" s="32">
        <v>5</v>
      </c>
      <c r="B61" s="3" t="s">
        <v>51</v>
      </c>
      <c r="C61" s="76">
        <v>37.5</v>
      </c>
      <c r="D61" s="76">
        <v>1272.98</v>
      </c>
      <c r="E61" s="27"/>
    </row>
    <row r="62" spans="1:5" ht="15.75" x14ac:dyDescent="0.25">
      <c r="A62" s="32">
        <v>6</v>
      </c>
      <c r="B62" s="3" t="s">
        <v>54</v>
      </c>
      <c r="C62" s="76">
        <v>0.20899999999999999</v>
      </c>
      <c r="D62" s="76">
        <v>0.32600000000000001</v>
      </c>
      <c r="E62" s="27"/>
    </row>
    <row r="63" spans="1:5" ht="15.75" x14ac:dyDescent="0.25">
      <c r="A63" s="32">
        <v>7</v>
      </c>
      <c r="B63" s="3" t="s">
        <v>55</v>
      </c>
      <c r="C63" s="76">
        <v>47.652999999999999</v>
      </c>
      <c r="D63" s="76">
        <v>1094.367</v>
      </c>
      <c r="E63" s="27"/>
    </row>
    <row r="64" spans="1:5" ht="16.5" thickBot="1" x14ac:dyDescent="0.3">
      <c r="A64" s="37">
        <v>8</v>
      </c>
      <c r="B64" s="52" t="s">
        <v>56</v>
      </c>
      <c r="C64" s="77">
        <v>0.26600000000000001</v>
      </c>
      <c r="D64" s="77">
        <v>0.28100000000000003</v>
      </c>
      <c r="E64" s="38"/>
    </row>
  </sheetData>
  <mergeCells count="23">
    <mergeCell ref="B25:B26"/>
    <mergeCell ref="B37:B38"/>
    <mergeCell ref="E37:E38"/>
    <mergeCell ref="C25:C26"/>
    <mergeCell ref="D25:D26"/>
    <mergeCell ref="E29:E30"/>
    <mergeCell ref="B29:B30"/>
    <mergeCell ref="A3:E3"/>
    <mergeCell ref="A2:E2"/>
    <mergeCell ref="B50:B51"/>
    <mergeCell ref="E50:E51"/>
    <mergeCell ref="B55:B56"/>
    <mergeCell ref="E55:E56"/>
    <mergeCell ref="C55:C56"/>
    <mergeCell ref="D55:D56"/>
    <mergeCell ref="B6:B7"/>
    <mergeCell ref="C6:C7"/>
    <mergeCell ref="D6:D7"/>
    <mergeCell ref="E6:E7"/>
    <mergeCell ref="B19:B20"/>
    <mergeCell ref="C19:C20"/>
    <mergeCell ref="D19:D20"/>
    <mergeCell ref="E19:E20"/>
  </mergeCells>
  <pageMargins left="1.1299999999999999" right="0.15748031496062992" top="0.27559055118110237" bottom="0.19685039370078741" header="0.19685039370078741" footer="0.15748031496062992"/>
  <pageSetup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topLeftCell="A31" workbookViewId="0">
      <selection activeCell="C49" sqref="C49"/>
    </sheetView>
  </sheetViews>
  <sheetFormatPr defaultRowHeight="15" x14ac:dyDescent="0.25"/>
  <cols>
    <col min="1" max="1" width="4.42578125" customWidth="1"/>
    <col min="2" max="2" width="30.5703125" customWidth="1"/>
    <col min="3" max="3" width="10.28515625" customWidth="1"/>
    <col min="4" max="4" width="17.5703125" customWidth="1"/>
    <col min="5" max="5" width="38.42578125" customWidth="1"/>
  </cols>
  <sheetData>
    <row r="1" spans="1:5" ht="19.5" thickBot="1" x14ac:dyDescent="0.35">
      <c r="A1" s="101" t="s">
        <v>67</v>
      </c>
      <c r="B1" s="102"/>
      <c r="C1" s="102"/>
      <c r="D1" s="102"/>
      <c r="E1" s="103"/>
    </row>
    <row r="2" spans="1:5" ht="20.25" thickBot="1" x14ac:dyDescent="0.45">
      <c r="A2" s="302" t="s">
        <v>30</v>
      </c>
      <c r="B2" s="303"/>
      <c r="C2" s="303"/>
      <c r="D2" s="303"/>
      <c r="E2" s="304"/>
    </row>
    <row r="3" spans="1:5" ht="23.25" thickBot="1" x14ac:dyDescent="0.3">
      <c r="A3" s="320" t="s">
        <v>0</v>
      </c>
      <c r="B3" s="321"/>
      <c r="C3" s="321"/>
      <c r="D3" s="321"/>
      <c r="E3" s="322"/>
    </row>
    <row r="4" spans="1:5" x14ac:dyDescent="0.25">
      <c r="A4" s="23"/>
      <c r="E4" s="24"/>
    </row>
    <row r="5" spans="1:5" ht="20.25" thickBot="1" x14ac:dyDescent="0.45">
      <c r="A5" s="25" t="s">
        <v>32</v>
      </c>
      <c r="E5" s="24"/>
    </row>
    <row r="6" spans="1:5" ht="15.75" x14ac:dyDescent="0.25">
      <c r="A6" s="2" t="s">
        <v>1</v>
      </c>
      <c r="B6" s="254" t="s">
        <v>5</v>
      </c>
      <c r="C6" s="270" t="s">
        <v>3</v>
      </c>
      <c r="D6" s="270" t="s">
        <v>4</v>
      </c>
      <c r="E6" s="256" t="s">
        <v>13</v>
      </c>
    </row>
    <row r="7" spans="1:5" ht="16.5" thickBot="1" x14ac:dyDescent="0.3">
      <c r="A7" s="15" t="s">
        <v>2</v>
      </c>
      <c r="B7" s="282"/>
      <c r="C7" s="271"/>
      <c r="D7" s="271"/>
      <c r="E7" s="283"/>
    </row>
    <row r="8" spans="1:5" ht="15.75" x14ac:dyDescent="0.25">
      <c r="A8" s="35">
        <v>1</v>
      </c>
      <c r="B8" s="16" t="s">
        <v>6</v>
      </c>
      <c r="C8" s="78">
        <v>172</v>
      </c>
      <c r="D8" s="78">
        <v>4066</v>
      </c>
      <c r="E8" s="26"/>
    </row>
    <row r="9" spans="1:5" ht="15.75" x14ac:dyDescent="0.25">
      <c r="A9" s="32">
        <v>2</v>
      </c>
      <c r="B9" s="3" t="s">
        <v>7</v>
      </c>
      <c r="C9" s="79" t="s">
        <v>68</v>
      </c>
      <c r="D9" s="79">
        <v>145.214</v>
      </c>
      <c r="E9" s="27"/>
    </row>
    <row r="10" spans="1:5" ht="15.75" x14ac:dyDescent="0.25">
      <c r="A10" s="32">
        <v>3</v>
      </c>
      <c r="B10" s="3" t="s">
        <v>8</v>
      </c>
      <c r="C10" s="79">
        <v>179.4</v>
      </c>
      <c r="D10" s="79">
        <v>4050.06</v>
      </c>
      <c r="E10" s="27"/>
    </row>
    <row r="11" spans="1:5" ht="15.75" x14ac:dyDescent="0.25">
      <c r="A11" s="32">
        <v>4</v>
      </c>
      <c r="B11" s="3" t="s">
        <v>9</v>
      </c>
      <c r="C11" s="79"/>
      <c r="D11" s="79">
        <v>144.64500000000001</v>
      </c>
      <c r="E11" s="27"/>
    </row>
    <row r="12" spans="1:5" ht="15.75" x14ac:dyDescent="0.25">
      <c r="A12" s="32">
        <v>5</v>
      </c>
      <c r="B12" s="3" t="s">
        <v>12</v>
      </c>
      <c r="C12" s="79" t="s">
        <v>69</v>
      </c>
      <c r="D12" s="79" t="s">
        <v>70</v>
      </c>
      <c r="E12" s="27"/>
    </row>
    <row r="13" spans="1:5" ht="15.75" x14ac:dyDescent="0.3">
      <c r="A13" s="58">
        <v>6</v>
      </c>
      <c r="B13" s="5" t="s">
        <v>45</v>
      </c>
      <c r="C13" s="39"/>
      <c r="D13" s="39">
        <v>464.5</v>
      </c>
      <c r="E13" s="27"/>
    </row>
    <row r="14" spans="1:5" ht="15.75" x14ac:dyDescent="0.3">
      <c r="A14" s="58">
        <v>7</v>
      </c>
      <c r="B14" s="5" t="s">
        <v>44</v>
      </c>
      <c r="C14" s="39"/>
      <c r="D14" s="39">
        <v>116.125</v>
      </c>
      <c r="E14" s="27"/>
    </row>
    <row r="15" spans="1:5" ht="15.75" x14ac:dyDescent="0.3">
      <c r="A15" s="58">
        <v>8</v>
      </c>
      <c r="B15" s="5" t="s">
        <v>10</v>
      </c>
      <c r="C15" s="39"/>
      <c r="D15" s="39">
        <v>464.5</v>
      </c>
      <c r="E15" s="27"/>
    </row>
    <row r="16" spans="1:5" ht="15.75" x14ac:dyDescent="0.3">
      <c r="A16" s="58">
        <v>9</v>
      </c>
      <c r="B16" s="5" t="s">
        <v>11</v>
      </c>
      <c r="C16" s="39"/>
      <c r="D16" s="39">
        <v>116.125</v>
      </c>
      <c r="E16" s="27"/>
    </row>
    <row r="17" spans="1:5" ht="15.75" x14ac:dyDescent="0.3">
      <c r="A17" s="58">
        <v>10</v>
      </c>
      <c r="B17" s="4" t="s">
        <v>12</v>
      </c>
      <c r="C17" s="39"/>
      <c r="D17" s="40" t="s">
        <v>57</v>
      </c>
      <c r="E17" s="27"/>
    </row>
    <row r="18" spans="1:5" x14ac:dyDescent="0.25">
      <c r="A18" s="248" t="s">
        <v>75</v>
      </c>
      <c r="B18" s="249"/>
      <c r="C18" s="249"/>
      <c r="D18" s="249"/>
      <c r="E18" s="250"/>
    </row>
    <row r="19" spans="1:5" ht="11.25" customHeight="1" thickBot="1" x14ac:dyDescent="0.3">
      <c r="A19" s="251"/>
      <c r="B19" s="252"/>
      <c r="C19" s="252"/>
      <c r="D19" s="252"/>
      <c r="E19" s="253"/>
    </row>
    <row r="20" spans="1:5" ht="15.75" x14ac:dyDescent="0.25">
      <c r="A20" s="11" t="s">
        <v>1</v>
      </c>
      <c r="B20" s="275" t="s">
        <v>31</v>
      </c>
      <c r="C20" s="56" t="s">
        <v>34</v>
      </c>
      <c r="D20" s="41" t="s">
        <v>33</v>
      </c>
      <c r="E20" s="277" t="s">
        <v>13</v>
      </c>
    </row>
    <row r="21" spans="1:5" ht="16.5" thickBot="1" x14ac:dyDescent="0.3">
      <c r="A21" s="93" t="s">
        <v>2</v>
      </c>
      <c r="B21" s="276"/>
      <c r="C21" s="94" t="s">
        <v>35</v>
      </c>
      <c r="D21" s="95" t="s">
        <v>3</v>
      </c>
      <c r="E21" s="278"/>
    </row>
    <row r="22" spans="1:5" ht="15.75" x14ac:dyDescent="0.25">
      <c r="A22" s="96">
        <v>1</v>
      </c>
      <c r="B22" s="53" t="s">
        <v>80</v>
      </c>
      <c r="C22" s="91">
        <v>102</v>
      </c>
      <c r="D22" s="92">
        <v>172</v>
      </c>
      <c r="E22" s="26"/>
    </row>
    <row r="23" spans="1:5" x14ac:dyDescent="0.25">
      <c r="A23" s="97"/>
      <c r="B23" s="90"/>
      <c r="C23" s="90"/>
      <c r="D23" s="90"/>
      <c r="E23" s="27"/>
    </row>
    <row r="24" spans="1:5" ht="16.5" thickBot="1" x14ac:dyDescent="0.3">
      <c r="A24" s="98">
        <v>2</v>
      </c>
      <c r="B24" s="99" t="s">
        <v>29</v>
      </c>
      <c r="C24" s="80">
        <f ca="1">SUM(C22:C25)</f>
        <v>102</v>
      </c>
      <c r="D24" s="100">
        <f ca="1">SUM(D22:D25)</f>
        <v>172</v>
      </c>
      <c r="E24" s="38"/>
    </row>
    <row r="25" spans="1:5" x14ac:dyDescent="0.25">
      <c r="A25" s="279" t="s">
        <v>76</v>
      </c>
      <c r="B25" s="280"/>
      <c r="C25" s="280"/>
      <c r="D25" s="280"/>
      <c r="E25" s="281"/>
    </row>
    <row r="26" spans="1:5" ht="12" customHeight="1" thickBot="1" x14ac:dyDescent="0.3">
      <c r="A26" s="251"/>
      <c r="B26" s="252"/>
      <c r="C26" s="252"/>
      <c r="D26" s="252"/>
      <c r="E26" s="253"/>
    </row>
    <row r="27" spans="1:5" ht="15.75" x14ac:dyDescent="0.25">
      <c r="A27" s="2" t="s">
        <v>1</v>
      </c>
      <c r="B27" s="254" t="s">
        <v>5</v>
      </c>
      <c r="C27" s="18" t="s">
        <v>3</v>
      </c>
      <c r="D27" s="18" t="s">
        <v>4</v>
      </c>
      <c r="E27" s="256" t="s">
        <v>13</v>
      </c>
    </row>
    <row r="28" spans="1:5" ht="16.5" thickBot="1" x14ac:dyDescent="0.3">
      <c r="A28" s="15" t="s">
        <v>2</v>
      </c>
      <c r="B28" s="282"/>
      <c r="C28" s="19" t="s">
        <v>40</v>
      </c>
      <c r="D28" s="19" t="s">
        <v>40</v>
      </c>
      <c r="E28" s="283"/>
    </row>
    <row r="29" spans="1:5" ht="16.5" x14ac:dyDescent="0.3">
      <c r="A29" s="44">
        <v>1</v>
      </c>
      <c r="B29" s="45" t="s">
        <v>14</v>
      </c>
      <c r="C29" s="66">
        <v>22.45</v>
      </c>
      <c r="D29" s="67">
        <v>561.29999999999995</v>
      </c>
      <c r="E29" s="42"/>
    </row>
    <row r="30" spans="1:5" ht="17.25" thickBot="1" x14ac:dyDescent="0.35">
      <c r="A30" s="37">
        <v>2</v>
      </c>
      <c r="B30" s="46" t="s">
        <v>62</v>
      </c>
      <c r="C30" s="68">
        <v>1.1499999999999999</v>
      </c>
      <c r="D30" s="69">
        <v>110.3</v>
      </c>
      <c r="E30" s="86"/>
    </row>
    <row r="31" spans="1:5" ht="15.75" x14ac:dyDescent="0.25">
      <c r="A31" s="35">
        <v>3</v>
      </c>
      <c r="B31" s="53" t="s">
        <v>15</v>
      </c>
      <c r="C31" s="70">
        <v>1.1499999999999999</v>
      </c>
      <c r="D31" s="84">
        <v>17.100000000000001</v>
      </c>
      <c r="E31" s="87" t="s">
        <v>72</v>
      </c>
    </row>
    <row r="32" spans="1:5" ht="16.5" thickBot="1" x14ac:dyDescent="0.3">
      <c r="A32" s="32">
        <v>4</v>
      </c>
      <c r="B32" s="54" t="s">
        <v>16</v>
      </c>
      <c r="C32" s="72" t="s">
        <v>64</v>
      </c>
      <c r="D32" s="85" t="s">
        <v>63</v>
      </c>
      <c r="E32" s="88" t="s">
        <v>71</v>
      </c>
    </row>
    <row r="33" spans="1:5" ht="15.75" x14ac:dyDescent="0.25">
      <c r="A33" s="32">
        <v>5</v>
      </c>
      <c r="B33" s="54" t="s">
        <v>17</v>
      </c>
      <c r="C33" s="72" t="s">
        <v>64</v>
      </c>
      <c r="D33" s="81">
        <v>38.549999999999997</v>
      </c>
      <c r="E33" s="26"/>
    </row>
    <row r="34" spans="1:5" ht="15.75" x14ac:dyDescent="0.25">
      <c r="A34" s="32">
        <v>6</v>
      </c>
      <c r="B34" s="54" t="s">
        <v>18</v>
      </c>
      <c r="C34" s="72" t="s">
        <v>64</v>
      </c>
      <c r="D34" s="82" t="s">
        <v>64</v>
      </c>
      <c r="E34" s="27"/>
    </row>
    <row r="35" spans="1:5" ht="15.75" x14ac:dyDescent="0.25">
      <c r="A35" s="32">
        <v>7</v>
      </c>
      <c r="B35" s="54" t="s">
        <v>19</v>
      </c>
      <c r="C35" s="72" t="s">
        <v>64</v>
      </c>
      <c r="D35" s="81">
        <v>23.4</v>
      </c>
      <c r="E35" s="27"/>
    </row>
    <row r="36" spans="1:5" ht="15.75" x14ac:dyDescent="0.25">
      <c r="A36" s="32">
        <v>8</v>
      </c>
      <c r="B36" s="54" t="s">
        <v>20</v>
      </c>
      <c r="C36" s="72" t="s">
        <v>64</v>
      </c>
      <c r="D36" s="81">
        <v>4.55</v>
      </c>
      <c r="E36" s="27"/>
    </row>
    <row r="37" spans="1:5" ht="15.75" x14ac:dyDescent="0.25">
      <c r="A37" s="32">
        <v>9</v>
      </c>
      <c r="B37" s="54" t="s">
        <v>21</v>
      </c>
      <c r="C37" s="72" t="s">
        <v>64</v>
      </c>
      <c r="D37" s="81">
        <v>18</v>
      </c>
      <c r="E37" s="27"/>
    </row>
    <row r="38" spans="1:5" ht="16.5" thickBot="1" x14ac:dyDescent="0.3">
      <c r="A38" s="37">
        <v>10</v>
      </c>
      <c r="B38" s="55" t="s">
        <v>22</v>
      </c>
      <c r="C38" s="72" t="s">
        <v>64</v>
      </c>
      <c r="D38" s="83">
        <v>7.5</v>
      </c>
      <c r="E38" s="38"/>
    </row>
    <row r="39" spans="1:5" ht="9.75" customHeight="1" x14ac:dyDescent="0.25">
      <c r="A39" s="262" t="s">
        <v>77</v>
      </c>
      <c r="B39" s="263"/>
      <c r="C39" s="263"/>
      <c r="D39" s="263"/>
      <c r="E39" s="264"/>
    </row>
    <row r="40" spans="1:5" ht="12.75" customHeight="1" thickBot="1" x14ac:dyDescent="0.3">
      <c r="A40" s="265"/>
      <c r="B40" s="266"/>
      <c r="C40" s="266"/>
      <c r="D40" s="266"/>
      <c r="E40" s="267"/>
    </row>
    <row r="41" spans="1:5" ht="15.75" x14ac:dyDescent="0.25">
      <c r="A41" s="9" t="s">
        <v>1</v>
      </c>
      <c r="B41" s="268" t="s">
        <v>27</v>
      </c>
      <c r="C41" s="270" t="s">
        <v>3</v>
      </c>
      <c r="D41" s="270" t="s">
        <v>4</v>
      </c>
      <c r="E41" s="272" t="s">
        <v>28</v>
      </c>
    </row>
    <row r="42" spans="1:5" ht="16.5" thickBot="1" x14ac:dyDescent="0.3">
      <c r="A42" s="17" t="s">
        <v>2</v>
      </c>
      <c r="B42" s="269"/>
      <c r="C42" s="271"/>
      <c r="D42" s="271"/>
      <c r="E42" s="273"/>
    </row>
    <row r="43" spans="1:5" x14ac:dyDescent="0.25">
      <c r="A43" s="35">
        <v>1</v>
      </c>
      <c r="B43" s="53" t="s">
        <v>58</v>
      </c>
      <c r="C43" s="47" t="s">
        <v>57</v>
      </c>
      <c r="D43" s="49">
        <v>88.65</v>
      </c>
      <c r="E43" s="26"/>
    </row>
    <row r="44" spans="1:5" x14ac:dyDescent="0.25">
      <c r="A44" s="32">
        <v>2</v>
      </c>
      <c r="B44" s="54" t="s">
        <v>59</v>
      </c>
      <c r="C44" s="48">
        <v>191</v>
      </c>
      <c r="D44" s="48">
        <v>4430.3500000000004</v>
      </c>
      <c r="E44" s="27"/>
    </row>
    <row r="45" spans="1:5" x14ac:dyDescent="0.25">
      <c r="A45" s="32">
        <v>3</v>
      </c>
      <c r="B45" s="54" t="s">
        <v>60</v>
      </c>
      <c r="C45" s="48">
        <v>191</v>
      </c>
      <c r="D45" s="48">
        <f>SUM(D43:D44)</f>
        <v>4519</v>
      </c>
      <c r="E45" s="27"/>
    </row>
    <row r="46" spans="1:5" ht="19.5" thickBot="1" x14ac:dyDescent="0.45">
      <c r="A46" s="28" t="s">
        <v>78</v>
      </c>
      <c r="E46" s="24"/>
    </row>
    <row r="47" spans="1:5" ht="15.75" x14ac:dyDescent="0.25">
      <c r="A47" s="9" t="s">
        <v>1</v>
      </c>
      <c r="B47" s="254" t="s">
        <v>5</v>
      </c>
      <c r="C47" s="270" t="s">
        <v>3</v>
      </c>
      <c r="D47" s="256" t="s">
        <v>4</v>
      </c>
      <c r="E47" s="60" t="s">
        <v>61</v>
      </c>
    </row>
    <row r="48" spans="1:5" ht="15.75" x14ac:dyDescent="0.25">
      <c r="A48" s="1" t="s">
        <v>2</v>
      </c>
      <c r="B48" s="255"/>
      <c r="C48" s="274"/>
      <c r="D48" s="257"/>
      <c r="E48" s="61" t="s">
        <v>42</v>
      </c>
    </row>
    <row r="49" spans="1:5" x14ac:dyDescent="0.25">
      <c r="A49" s="29">
        <v>1</v>
      </c>
      <c r="B49" s="20" t="s">
        <v>43</v>
      </c>
      <c r="C49" s="50">
        <v>17.059999999999999</v>
      </c>
      <c r="D49" s="50">
        <v>411.48</v>
      </c>
      <c r="E49" s="51">
        <v>10.08</v>
      </c>
    </row>
    <row r="50" spans="1:5" ht="13.5" customHeight="1" x14ac:dyDescent="0.25">
      <c r="A50" s="248" t="s">
        <v>73</v>
      </c>
      <c r="B50" s="249"/>
      <c r="C50" s="249"/>
      <c r="D50" s="249"/>
      <c r="E50" s="250"/>
    </row>
    <row r="51" spans="1:5" ht="13.5" customHeight="1" thickBot="1" x14ac:dyDescent="0.3">
      <c r="A51" s="251"/>
      <c r="B51" s="252"/>
      <c r="C51" s="252"/>
      <c r="D51" s="252"/>
      <c r="E51" s="253"/>
    </row>
    <row r="52" spans="1:5" ht="15.75" x14ac:dyDescent="0.25">
      <c r="A52" s="2" t="s">
        <v>1</v>
      </c>
      <c r="B52" s="254" t="s">
        <v>5</v>
      </c>
      <c r="C52" s="18" t="s">
        <v>3</v>
      </c>
      <c r="D52" s="18" t="s">
        <v>4</v>
      </c>
      <c r="E52" s="256" t="s">
        <v>13</v>
      </c>
    </row>
    <row r="53" spans="1:5" ht="15.75" x14ac:dyDescent="0.25">
      <c r="A53" s="21" t="s">
        <v>2</v>
      </c>
      <c r="B53" s="255"/>
      <c r="C53" s="22" t="s">
        <v>46</v>
      </c>
      <c r="D53" s="22" t="s">
        <v>46</v>
      </c>
      <c r="E53" s="257"/>
    </row>
    <row r="54" spans="1:5" ht="15.75" x14ac:dyDescent="0.25">
      <c r="A54" s="32">
        <v>1</v>
      </c>
      <c r="B54" s="54" t="s">
        <v>74</v>
      </c>
      <c r="C54" s="76">
        <v>40395</v>
      </c>
      <c r="D54" s="76">
        <v>996487</v>
      </c>
      <c r="E54" s="27"/>
    </row>
    <row r="55" spans="1:5" ht="15.75" x14ac:dyDescent="0.25">
      <c r="A55" s="32">
        <v>2</v>
      </c>
      <c r="B55" s="54" t="s">
        <v>47</v>
      </c>
      <c r="C55" s="76">
        <v>234.86</v>
      </c>
      <c r="D55" s="76">
        <v>245.08</v>
      </c>
      <c r="E55" s="27"/>
    </row>
    <row r="56" spans="1:5" ht="20.25" thickBot="1" x14ac:dyDescent="0.45">
      <c r="A56" s="25" t="s">
        <v>48</v>
      </c>
      <c r="B56" s="36"/>
      <c r="E56" s="24"/>
    </row>
    <row r="57" spans="1:5" ht="15.75" x14ac:dyDescent="0.25">
      <c r="A57" s="2" t="s">
        <v>1</v>
      </c>
      <c r="B57" s="254" t="s">
        <v>5</v>
      </c>
      <c r="C57" s="270" t="s">
        <v>3</v>
      </c>
      <c r="D57" s="270" t="s">
        <v>4</v>
      </c>
      <c r="E57" s="256" t="s">
        <v>13</v>
      </c>
    </row>
    <row r="58" spans="1:5" ht="15.75" x14ac:dyDescent="0.25">
      <c r="A58" s="21" t="s">
        <v>2</v>
      </c>
      <c r="B58" s="255"/>
      <c r="C58" s="274"/>
      <c r="D58" s="274"/>
      <c r="E58" s="257"/>
    </row>
    <row r="59" spans="1:5" ht="15.75" x14ac:dyDescent="0.25">
      <c r="A59" s="32">
        <v>1</v>
      </c>
      <c r="B59" s="3" t="s">
        <v>49</v>
      </c>
      <c r="C59" s="76">
        <v>235</v>
      </c>
      <c r="D59" s="76">
        <v>5839</v>
      </c>
      <c r="E59" s="27"/>
    </row>
    <row r="60" spans="1:5" ht="15.75" x14ac:dyDescent="0.25">
      <c r="A60" s="32">
        <v>2</v>
      </c>
      <c r="B60" s="3" t="s">
        <v>52</v>
      </c>
      <c r="C60" s="76">
        <v>1.3660000000000001</v>
      </c>
      <c r="D60" s="76">
        <v>1.4359999999999999</v>
      </c>
      <c r="E60" s="27"/>
    </row>
    <row r="61" spans="1:5" ht="15.75" x14ac:dyDescent="0.25">
      <c r="A61" s="32">
        <v>3</v>
      </c>
      <c r="B61" s="3" t="s">
        <v>50</v>
      </c>
      <c r="C61" s="76">
        <v>221</v>
      </c>
      <c r="D61" s="76">
        <v>2340</v>
      </c>
      <c r="E61" s="27"/>
    </row>
    <row r="62" spans="1:5" ht="15.75" x14ac:dyDescent="0.25">
      <c r="A62" s="32">
        <v>4</v>
      </c>
      <c r="B62" s="3" t="s">
        <v>53</v>
      </c>
      <c r="C62" s="76">
        <v>1.2849999999999999</v>
      </c>
      <c r="D62" s="76">
        <v>0.57599999999999996</v>
      </c>
      <c r="E62" s="27"/>
    </row>
    <row r="63" spans="1:5" ht="15.75" x14ac:dyDescent="0.25">
      <c r="A63" s="32">
        <v>5</v>
      </c>
      <c r="B63" s="3" t="s">
        <v>51</v>
      </c>
      <c r="C63" s="76">
        <v>45.85</v>
      </c>
      <c r="D63" s="76">
        <v>1318.83</v>
      </c>
      <c r="E63" s="27"/>
    </row>
    <row r="64" spans="1:5" ht="15.75" x14ac:dyDescent="0.25">
      <c r="A64" s="32">
        <v>6</v>
      </c>
      <c r="B64" s="3" t="s">
        <v>54</v>
      </c>
      <c r="C64" s="76">
        <v>0.26700000000000002</v>
      </c>
      <c r="D64" s="76">
        <v>0.32400000000000001</v>
      </c>
      <c r="E64" s="27"/>
    </row>
    <row r="65" spans="1:5" ht="15.75" x14ac:dyDescent="0.25">
      <c r="A65" s="32">
        <v>7</v>
      </c>
      <c r="B65" s="3" t="s">
        <v>55</v>
      </c>
      <c r="C65" s="89">
        <v>48.74</v>
      </c>
      <c r="D65" s="76">
        <v>1143.107</v>
      </c>
      <c r="E65" s="27"/>
    </row>
    <row r="66" spans="1:5" ht="16.5" thickBot="1" x14ac:dyDescent="0.3">
      <c r="A66" s="37">
        <v>8</v>
      </c>
      <c r="B66" s="52" t="s">
        <v>56</v>
      </c>
      <c r="C66" s="77">
        <v>0.28299999999999997</v>
      </c>
      <c r="D66" s="77">
        <v>0.28100000000000003</v>
      </c>
      <c r="E66" s="38"/>
    </row>
  </sheetData>
  <mergeCells count="27">
    <mergeCell ref="B57:B58"/>
    <mergeCell ref="C57:C58"/>
    <mergeCell ref="D57:D58"/>
    <mergeCell ref="E57:E58"/>
    <mergeCell ref="B20:B21"/>
    <mergeCell ref="E20:E21"/>
    <mergeCell ref="B27:B28"/>
    <mergeCell ref="E27:E28"/>
    <mergeCell ref="B52:B53"/>
    <mergeCell ref="E52:E53"/>
    <mergeCell ref="A39:E40"/>
    <mergeCell ref="A25:E26"/>
    <mergeCell ref="A18:E19"/>
    <mergeCell ref="A50:E51"/>
    <mergeCell ref="A2:E2"/>
    <mergeCell ref="A3:E3"/>
    <mergeCell ref="B6:B7"/>
    <mergeCell ref="C6:C7"/>
    <mergeCell ref="D6:D7"/>
    <mergeCell ref="E6:E7"/>
    <mergeCell ref="B41:B42"/>
    <mergeCell ref="C41:C42"/>
    <mergeCell ref="D41:D42"/>
    <mergeCell ref="E41:E42"/>
    <mergeCell ref="B47:B48"/>
    <mergeCell ref="C47:C48"/>
    <mergeCell ref="D47:D48"/>
  </mergeCells>
  <pageMargins left="0.70866141732283472" right="0.15748031496062992" top="0.22" bottom="0.18" header="0.15748031496062992" footer="0.11811023622047245"/>
  <pageSetup scale="7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" workbookViewId="0">
      <selection activeCell="G33" sqref="G33"/>
    </sheetView>
  </sheetViews>
  <sheetFormatPr defaultRowHeight="15" x14ac:dyDescent="0.25"/>
  <cols>
    <col min="1" max="1" width="4" customWidth="1"/>
    <col min="2" max="2" width="32.140625" customWidth="1"/>
    <col min="3" max="3" width="13.7109375" customWidth="1"/>
    <col min="4" max="4" width="17.7109375" customWidth="1"/>
    <col min="5" max="5" width="43" customWidth="1"/>
  </cols>
  <sheetData>
    <row r="1" spans="1:5" ht="19.5" thickBot="1" x14ac:dyDescent="0.35">
      <c r="A1" s="101" t="s">
        <v>79</v>
      </c>
      <c r="B1" s="102"/>
      <c r="C1" s="102"/>
      <c r="D1" s="102"/>
      <c r="E1" s="103"/>
    </row>
    <row r="2" spans="1:5" ht="20.25" thickBot="1" x14ac:dyDescent="0.45">
      <c r="A2" s="302" t="s">
        <v>30</v>
      </c>
      <c r="B2" s="303"/>
      <c r="C2" s="303"/>
      <c r="D2" s="303"/>
      <c r="E2" s="304"/>
    </row>
    <row r="3" spans="1:5" ht="23.25" thickBot="1" x14ac:dyDescent="0.3">
      <c r="A3" s="320" t="s">
        <v>0</v>
      </c>
      <c r="B3" s="321"/>
      <c r="C3" s="321"/>
      <c r="D3" s="321"/>
      <c r="E3" s="322"/>
    </row>
    <row r="4" spans="1:5" ht="10.5" customHeight="1" x14ac:dyDescent="0.25">
      <c r="A4" s="293" t="s">
        <v>32</v>
      </c>
      <c r="B4" s="294"/>
      <c r="C4" s="294"/>
      <c r="D4" s="294"/>
      <c r="E4" s="295"/>
    </row>
    <row r="5" spans="1:5" ht="12.75" customHeight="1" thickBot="1" x14ac:dyDescent="0.3">
      <c r="A5" s="296"/>
      <c r="B5" s="297"/>
      <c r="C5" s="297"/>
      <c r="D5" s="297"/>
      <c r="E5" s="298"/>
    </row>
    <row r="6" spans="1:5" ht="15.75" x14ac:dyDescent="0.25">
      <c r="A6" s="2" t="s">
        <v>1</v>
      </c>
      <c r="B6" s="254" t="s">
        <v>5</v>
      </c>
      <c r="C6" s="270" t="s">
        <v>3</v>
      </c>
      <c r="D6" s="270" t="s">
        <v>4</v>
      </c>
      <c r="E6" s="256" t="s">
        <v>13</v>
      </c>
    </row>
    <row r="7" spans="1:5" ht="16.5" thickBot="1" x14ac:dyDescent="0.3">
      <c r="A7" s="15" t="s">
        <v>2</v>
      </c>
      <c r="B7" s="282"/>
      <c r="C7" s="271"/>
      <c r="D7" s="271"/>
      <c r="E7" s="283"/>
    </row>
    <row r="8" spans="1:5" ht="15.75" x14ac:dyDescent="0.25">
      <c r="A8" s="35">
        <v>1</v>
      </c>
      <c r="B8" s="16" t="s">
        <v>6</v>
      </c>
      <c r="C8" s="78">
        <v>102</v>
      </c>
      <c r="D8" s="78">
        <v>4168</v>
      </c>
      <c r="E8" s="26"/>
    </row>
    <row r="9" spans="1:5" ht="15.75" x14ac:dyDescent="0.25">
      <c r="A9" s="32">
        <v>2</v>
      </c>
      <c r="B9" s="3" t="s">
        <v>7</v>
      </c>
      <c r="C9" s="79" t="s">
        <v>68</v>
      </c>
      <c r="D9" s="79">
        <v>143.72399999999999</v>
      </c>
      <c r="E9" s="27"/>
    </row>
    <row r="10" spans="1:5" ht="15.75" x14ac:dyDescent="0.25">
      <c r="A10" s="32">
        <v>3</v>
      </c>
      <c r="B10" s="3" t="s">
        <v>8</v>
      </c>
      <c r="C10" s="79">
        <v>99.55</v>
      </c>
      <c r="D10" s="79">
        <v>4149.6099999999997</v>
      </c>
      <c r="E10" s="27"/>
    </row>
    <row r="11" spans="1:5" ht="15.75" x14ac:dyDescent="0.25">
      <c r="A11" s="32">
        <v>4</v>
      </c>
      <c r="B11" s="3" t="s">
        <v>9</v>
      </c>
      <c r="C11" s="79" t="s">
        <v>68</v>
      </c>
      <c r="D11" s="79">
        <v>143.09</v>
      </c>
      <c r="E11" s="27"/>
    </row>
    <row r="12" spans="1:5" ht="15.75" x14ac:dyDescent="0.25">
      <c r="A12" s="32">
        <v>5</v>
      </c>
      <c r="B12" s="3" t="s">
        <v>12</v>
      </c>
      <c r="C12" s="79" t="s">
        <v>90</v>
      </c>
      <c r="D12" s="79" t="s">
        <v>89</v>
      </c>
      <c r="E12" s="27"/>
    </row>
    <row r="13" spans="1:5" ht="15.75" x14ac:dyDescent="0.3">
      <c r="A13" s="58">
        <v>6</v>
      </c>
      <c r="B13" s="5" t="s">
        <v>45</v>
      </c>
      <c r="C13" s="39"/>
      <c r="D13" s="39">
        <v>464.5</v>
      </c>
      <c r="E13" s="27"/>
    </row>
    <row r="14" spans="1:5" ht="15.75" x14ac:dyDescent="0.3">
      <c r="A14" s="58">
        <v>7</v>
      </c>
      <c r="B14" s="5" t="s">
        <v>44</v>
      </c>
      <c r="C14" s="39"/>
      <c r="D14" s="39">
        <v>116.125</v>
      </c>
      <c r="E14" s="27"/>
    </row>
    <row r="15" spans="1:5" ht="15.75" x14ac:dyDescent="0.3">
      <c r="A15" s="58">
        <v>8</v>
      </c>
      <c r="B15" s="5" t="s">
        <v>10</v>
      </c>
      <c r="C15" s="39"/>
      <c r="D15" s="39">
        <v>464.5</v>
      </c>
      <c r="E15" s="27"/>
    </row>
    <row r="16" spans="1:5" ht="15.75" x14ac:dyDescent="0.3">
      <c r="A16" s="58">
        <v>9</v>
      </c>
      <c r="B16" s="5" t="s">
        <v>11</v>
      </c>
      <c r="C16" s="39"/>
      <c r="D16" s="39">
        <v>116.125</v>
      </c>
      <c r="E16" s="27"/>
    </row>
    <row r="17" spans="1:5" ht="15.75" x14ac:dyDescent="0.3">
      <c r="A17" s="58">
        <v>10</v>
      </c>
      <c r="B17" s="4" t="s">
        <v>12</v>
      </c>
      <c r="C17" s="39"/>
      <c r="D17" s="40" t="s">
        <v>57</v>
      </c>
      <c r="E17" s="27"/>
    </row>
    <row r="18" spans="1:5" x14ac:dyDescent="0.25">
      <c r="A18" s="248" t="s">
        <v>75</v>
      </c>
      <c r="B18" s="249"/>
      <c r="C18" s="249"/>
      <c r="D18" s="249"/>
      <c r="E18" s="250"/>
    </row>
    <row r="19" spans="1:5" ht="15.75" thickBot="1" x14ac:dyDescent="0.3">
      <c r="A19" s="251"/>
      <c r="B19" s="252"/>
      <c r="C19" s="252"/>
      <c r="D19" s="252"/>
      <c r="E19" s="253"/>
    </row>
    <row r="20" spans="1:5" ht="15.75" x14ac:dyDescent="0.25">
      <c r="A20" s="11" t="s">
        <v>1</v>
      </c>
      <c r="B20" s="275" t="s">
        <v>31</v>
      </c>
      <c r="C20" s="56" t="s">
        <v>34</v>
      </c>
      <c r="D20" s="41" t="s">
        <v>33</v>
      </c>
      <c r="E20" s="277" t="s">
        <v>13</v>
      </c>
    </row>
    <row r="21" spans="1:5" ht="16.5" thickBot="1" x14ac:dyDescent="0.3">
      <c r="A21" s="93" t="s">
        <v>2</v>
      </c>
      <c r="B21" s="276"/>
      <c r="C21" s="94" t="s">
        <v>35</v>
      </c>
      <c r="D21" s="95" t="s">
        <v>3</v>
      </c>
      <c r="E21" s="278"/>
    </row>
    <row r="22" spans="1:5" ht="15.75" x14ac:dyDescent="0.25">
      <c r="A22" s="96">
        <v>1</v>
      </c>
      <c r="B22" s="53" t="s">
        <v>80</v>
      </c>
      <c r="C22" s="91">
        <v>29</v>
      </c>
      <c r="D22" s="92">
        <v>48.5</v>
      </c>
      <c r="E22" s="26"/>
    </row>
    <row r="23" spans="1:5" x14ac:dyDescent="0.25">
      <c r="A23" s="32">
        <v>2</v>
      </c>
      <c r="B23" s="105" t="s">
        <v>81</v>
      </c>
      <c r="C23" s="104">
        <v>32</v>
      </c>
      <c r="D23" s="106">
        <v>53.5</v>
      </c>
      <c r="E23" s="27"/>
    </row>
    <row r="24" spans="1:5" ht="16.5" thickBot="1" x14ac:dyDescent="0.3">
      <c r="A24" s="98">
        <v>3</v>
      </c>
      <c r="B24" s="99" t="s">
        <v>29</v>
      </c>
      <c r="C24" s="80">
        <v>61</v>
      </c>
      <c r="D24" s="100">
        <v>102</v>
      </c>
      <c r="E24" s="38"/>
    </row>
    <row r="25" spans="1:5" x14ac:dyDescent="0.25">
      <c r="A25" s="279" t="s">
        <v>76</v>
      </c>
      <c r="B25" s="280"/>
      <c r="C25" s="280"/>
      <c r="D25" s="280"/>
      <c r="E25" s="281"/>
    </row>
    <row r="26" spans="1:5" ht="15.75" thickBot="1" x14ac:dyDescent="0.3">
      <c r="A26" s="251"/>
      <c r="B26" s="252"/>
      <c r="C26" s="252"/>
      <c r="D26" s="252"/>
      <c r="E26" s="253"/>
    </row>
    <row r="27" spans="1:5" ht="15.75" x14ac:dyDescent="0.25">
      <c r="A27" s="2" t="s">
        <v>1</v>
      </c>
      <c r="B27" s="254" t="s">
        <v>5</v>
      </c>
      <c r="C27" s="18" t="s">
        <v>3</v>
      </c>
      <c r="D27" s="18" t="s">
        <v>4</v>
      </c>
      <c r="E27" s="256" t="s">
        <v>13</v>
      </c>
    </row>
    <row r="28" spans="1:5" ht="16.5" thickBot="1" x14ac:dyDescent="0.3">
      <c r="A28" s="15" t="s">
        <v>2</v>
      </c>
      <c r="B28" s="282"/>
      <c r="C28" s="19" t="s">
        <v>40</v>
      </c>
      <c r="D28" s="19" t="s">
        <v>40</v>
      </c>
      <c r="E28" s="283"/>
    </row>
    <row r="29" spans="1:5" ht="16.5" x14ac:dyDescent="0.3">
      <c r="A29" s="44">
        <v>1</v>
      </c>
      <c r="B29" s="45" t="s">
        <v>14</v>
      </c>
      <c r="C29" s="66">
        <v>15.15</v>
      </c>
      <c r="D29" s="110">
        <v>576.45000000000005</v>
      </c>
      <c r="E29" s="109"/>
    </row>
    <row r="30" spans="1:5" ht="17.25" thickBot="1" x14ac:dyDescent="0.35">
      <c r="A30" s="37">
        <v>2</v>
      </c>
      <c r="B30" s="46" t="s">
        <v>62</v>
      </c>
      <c r="C30" s="68">
        <v>8.4499999999999993</v>
      </c>
      <c r="D30" s="111">
        <v>119.15</v>
      </c>
      <c r="E30" s="114"/>
    </row>
    <row r="31" spans="1:5" ht="16.5" x14ac:dyDescent="0.3">
      <c r="A31" s="35">
        <v>3</v>
      </c>
      <c r="B31" s="53" t="s">
        <v>15</v>
      </c>
      <c r="C31" s="70">
        <v>1.25</v>
      </c>
      <c r="D31" s="84">
        <v>18.350000000000001</v>
      </c>
      <c r="E31" s="107" t="s">
        <v>82</v>
      </c>
    </row>
    <row r="32" spans="1:5" ht="16.5" x14ac:dyDescent="0.3">
      <c r="A32" s="32">
        <v>4</v>
      </c>
      <c r="B32" s="54" t="s">
        <v>16</v>
      </c>
      <c r="C32" s="72" t="s">
        <v>64</v>
      </c>
      <c r="D32" s="85" t="s">
        <v>63</v>
      </c>
      <c r="E32" s="115" t="s">
        <v>83</v>
      </c>
    </row>
    <row r="33" spans="1:5" ht="17.25" thickBot="1" x14ac:dyDescent="0.35">
      <c r="A33" s="32">
        <v>5</v>
      </c>
      <c r="B33" s="54" t="s">
        <v>17</v>
      </c>
      <c r="C33" s="82"/>
      <c r="D33" s="112">
        <v>38.549999999999997</v>
      </c>
      <c r="E33" s="115" t="s">
        <v>86</v>
      </c>
    </row>
    <row r="34" spans="1:5" ht="16.5" x14ac:dyDescent="0.3">
      <c r="A34" s="32">
        <v>6</v>
      </c>
      <c r="B34" s="54" t="s">
        <v>18</v>
      </c>
      <c r="C34" s="72" t="s">
        <v>64</v>
      </c>
      <c r="D34" s="85" t="s">
        <v>64</v>
      </c>
      <c r="E34" s="107" t="s">
        <v>84</v>
      </c>
    </row>
    <row r="35" spans="1:5" ht="17.25" thickBot="1" x14ac:dyDescent="0.35">
      <c r="A35" s="32">
        <v>7</v>
      </c>
      <c r="B35" s="54" t="s">
        <v>19</v>
      </c>
      <c r="C35" s="72" t="s">
        <v>64</v>
      </c>
      <c r="D35" s="112">
        <v>23.4</v>
      </c>
      <c r="E35" s="108" t="s">
        <v>87</v>
      </c>
    </row>
    <row r="36" spans="1:5" ht="17.25" thickBot="1" x14ac:dyDescent="0.35">
      <c r="A36" s="32">
        <v>8</v>
      </c>
      <c r="B36" s="54" t="s">
        <v>20</v>
      </c>
      <c r="C36" s="72" t="s">
        <v>64</v>
      </c>
      <c r="D36" s="112">
        <v>4.55</v>
      </c>
      <c r="E36" s="115"/>
    </row>
    <row r="37" spans="1:5" ht="16.5" x14ac:dyDescent="0.3">
      <c r="A37" s="32">
        <v>9</v>
      </c>
      <c r="B37" s="54" t="s">
        <v>21</v>
      </c>
      <c r="C37" s="72" t="s">
        <v>64</v>
      </c>
      <c r="D37" s="112">
        <v>18</v>
      </c>
      <c r="E37" s="107" t="s">
        <v>85</v>
      </c>
    </row>
    <row r="38" spans="1:5" ht="17.25" thickBot="1" x14ac:dyDescent="0.35">
      <c r="A38" s="37">
        <v>10</v>
      </c>
      <c r="B38" s="55" t="s">
        <v>22</v>
      </c>
      <c r="C38" s="116">
        <v>7.2</v>
      </c>
      <c r="D38" s="113">
        <v>15.1</v>
      </c>
      <c r="E38" s="108" t="s">
        <v>88</v>
      </c>
    </row>
    <row r="39" spans="1:5" ht="12.75" customHeight="1" x14ac:dyDescent="0.25">
      <c r="A39" s="262" t="s">
        <v>77</v>
      </c>
      <c r="B39" s="263"/>
      <c r="C39" s="263"/>
      <c r="D39" s="263"/>
      <c r="E39" s="264"/>
    </row>
    <row r="40" spans="1:5" ht="11.25" customHeight="1" thickBot="1" x14ac:dyDescent="0.3">
      <c r="A40" s="265"/>
      <c r="B40" s="266"/>
      <c r="C40" s="266"/>
      <c r="D40" s="266"/>
      <c r="E40" s="267"/>
    </row>
    <row r="41" spans="1:5" ht="15.75" x14ac:dyDescent="0.25">
      <c r="A41" s="9" t="s">
        <v>1</v>
      </c>
      <c r="B41" s="268" t="s">
        <v>27</v>
      </c>
      <c r="C41" s="270" t="s">
        <v>3</v>
      </c>
      <c r="D41" s="270" t="s">
        <v>4</v>
      </c>
      <c r="E41" s="272" t="s">
        <v>28</v>
      </c>
    </row>
    <row r="42" spans="1:5" ht="16.5" thickBot="1" x14ac:dyDescent="0.3">
      <c r="A42" s="17" t="s">
        <v>2</v>
      </c>
      <c r="B42" s="269"/>
      <c r="C42" s="271"/>
      <c r="D42" s="271"/>
      <c r="E42" s="273"/>
    </row>
    <row r="43" spans="1:5" x14ac:dyDescent="0.25">
      <c r="A43" s="35">
        <v>1</v>
      </c>
      <c r="B43" s="53" t="s">
        <v>58</v>
      </c>
      <c r="C43" s="47" t="s">
        <v>57</v>
      </c>
      <c r="D43" s="49">
        <v>88.65</v>
      </c>
      <c r="E43" s="26"/>
    </row>
    <row r="44" spans="1:5" x14ac:dyDescent="0.25">
      <c r="A44" s="32">
        <v>2</v>
      </c>
      <c r="B44" s="54" t="s">
        <v>59</v>
      </c>
      <c r="C44" s="48">
        <v>113</v>
      </c>
      <c r="D44" s="48">
        <v>4543.3500000000004</v>
      </c>
      <c r="E44" s="27"/>
    </row>
    <row r="45" spans="1:5" x14ac:dyDescent="0.25">
      <c r="A45" s="32">
        <v>3</v>
      </c>
      <c r="B45" s="54" t="s">
        <v>60</v>
      </c>
      <c r="C45" s="48">
        <v>113</v>
      </c>
      <c r="D45" s="48">
        <f>SUM(D43:D44)</f>
        <v>4632</v>
      </c>
      <c r="E45" s="27"/>
    </row>
    <row r="46" spans="1:5" ht="19.5" thickBot="1" x14ac:dyDescent="0.45">
      <c r="A46" s="28" t="s">
        <v>78</v>
      </c>
      <c r="E46" s="24"/>
    </row>
    <row r="47" spans="1:5" ht="15.75" x14ac:dyDescent="0.25">
      <c r="A47" s="9" t="s">
        <v>1</v>
      </c>
      <c r="B47" s="254" t="s">
        <v>5</v>
      </c>
      <c r="C47" s="270" t="s">
        <v>3</v>
      </c>
      <c r="D47" s="256" t="s">
        <v>4</v>
      </c>
      <c r="E47" s="60" t="s">
        <v>61</v>
      </c>
    </row>
    <row r="48" spans="1:5" ht="15.75" x14ac:dyDescent="0.25">
      <c r="A48" s="1" t="s">
        <v>2</v>
      </c>
      <c r="B48" s="255"/>
      <c r="C48" s="274"/>
      <c r="D48" s="257"/>
      <c r="E48" s="61" t="s">
        <v>42</v>
      </c>
    </row>
    <row r="49" spans="1:5" x14ac:dyDescent="0.25">
      <c r="A49" s="29">
        <v>1</v>
      </c>
      <c r="B49" s="20" t="s">
        <v>43</v>
      </c>
      <c r="C49" s="50">
        <v>10.42</v>
      </c>
      <c r="D49" s="50">
        <v>422.3</v>
      </c>
      <c r="E49" s="51">
        <v>9.7799999999999994</v>
      </c>
    </row>
    <row r="50" spans="1:5" x14ac:dyDescent="0.25">
      <c r="A50" s="248" t="s">
        <v>73</v>
      </c>
      <c r="B50" s="249"/>
      <c r="C50" s="249"/>
      <c r="D50" s="249"/>
      <c r="E50" s="250"/>
    </row>
    <row r="51" spans="1:5" ht="15.75" thickBot="1" x14ac:dyDescent="0.3">
      <c r="A51" s="251"/>
      <c r="B51" s="252"/>
      <c r="C51" s="252"/>
      <c r="D51" s="252"/>
      <c r="E51" s="253"/>
    </row>
    <row r="52" spans="1:5" ht="15.75" x14ac:dyDescent="0.25">
      <c r="A52" s="2" t="s">
        <v>1</v>
      </c>
      <c r="B52" s="254" t="s">
        <v>5</v>
      </c>
      <c r="C52" s="18" t="s">
        <v>3</v>
      </c>
      <c r="D52" s="18" t="s">
        <v>4</v>
      </c>
      <c r="E52" s="256" t="s">
        <v>13</v>
      </c>
    </row>
    <row r="53" spans="1:5" ht="15.75" x14ac:dyDescent="0.25">
      <c r="A53" s="21" t="s">
        <v>2</v>
      </c>
      <c r="B53" s="255"/>
      <c r="C53" s="22" t="s">
        <v>46</v>
      </c>
      <c r="D53" s="22" t="s">
        <v>46</v>
      </c>
      <c r="E53" s="257"/>
    </row>
    <row r="54" spans="1:5" ht="15.75" x14ac:dyDescent="0.25">
      <c r="A54" s="32">
        <v>1</v>
      </c>
      <c r="B54" s="54" t="s">
        <v>91</v>
      </c>
      <c r="C54" s="76">
        <v>28671</v>
      </c>
      <c r="D54" s="76">
        <v>1025158</v>
      </c>
      <c r="E54" s="75" t="s">
        <v>92</v>
      </c>
    </row>
    <row r="55" spans="1:5" ht="15.75" x14ac:dyDescent="0.25">
      <c r="A55" s="32">
        <v>2</v>
      </c>
      <c r="B55" s="54" t="s">
        <v>47</v>
      </c>
      <c r="C55" s="76">
        <v>281.08999999999997</v>
      </c>
      <c r="D55" s="76">
        <v>245.96</v>
      </c>
      <c r="E55" s="27"/>
    </row>
    <row r="56" spans="1:5" ht="20.25" thickBot="1" x14ac:dyDescent="0.45">
      <c r="A56" s="25" t="s">
        <v>48</v>
      </c>
      <c r="B56" s="36"/>
      <c r="E56" s="24"/>
    </row>
    <row r="57" spans="1:5" ht="15.75" x14ac:dyDescent="0.25">
      <c r="A57" s="2" t="s">
        <v>1</v>
      </c>
      <c r="B57" s="254" t="s">
        <v>5</v>
      </c>
      <c r="C57" s="270" t="s">
        <v>3</v>
      </c>
      <c r="D57" s="270" t="s">
        <v>4</v>
      </c>
      <c r="E57" s="256" t="s">
        <v>13</v>
      </c>
    </row>
    <row r="58" spans="1:5" ht="15.75" x14ac:dyDescent="0.25">
      <c r="A58" s="21" t="s">
        <v>2</v>
      </c>
      <c r="B58" s="255"/>
      <c r="C58" s="274"/>
      <c r="D58" s="274"/>
      <c r="E58" s="257"/>
    </row>
    <row r="59" spans="1:5" ht="15.75" x14ac:dyDescent="0.25">
      <c r="A59" s="32">
        <v>1</v>
      </c>
      <c r="B59" s="3" t="s">
        <v>49</v>
      </c>
      <c r="C59" s="76">
        <v>159</v>
      </c>
      <c r="D59" s="76">
        <v>5998</v>
      </c>
      <c r="E59" s="27"/>
    </row>
    <row r="60" spans="1:5" ht="15.75" x14ac:dyDescent="0.25">
      <c r="A60" s="32">
        <v>2</v>
      </c>
      <c r="B60" s="3" t="s">
        <v>52</v>
      </c>
      <c r="C60" s="76">
        <v>1.5580000000000001</v>
      </c>
      <c r="D60" s="76">
        <v>1.4390000000000001</v>
      </c>
      <c r="E60" s="27"/>
    </row>
    <row r="61" spans="1:5" ht="15.75" x14ac:dyDescent="0.25">
      <c r="A61" s="32">
        <v>3</v>
      </c>
      <c r="B61" s="3" t="s">
        <v>50</v>
      </c>
      <c r="C61" s="76">
        <v>132</v>
      </c>
      <c r="D61" s="76">
        <v>2472</v>
      </c>
      <c r="E61" s="27"/>
    </row>
    <row r="62" spans="1:5" ht="15.75" x14ac:dyDescent="0.25">
      <c r="A62" s="32">
        <v>4</v>
      </c>
      <c r="B62" s="3" t="s">
        <v>53</v>
      </c>
      <c r="C62" s="76">
        <v>1.294</v>
      </c>
      <c r="D62" s="76">
        <v>0.59299999999999997</v>
      </c>
      <c r="E62" s="27"/>
    </row>
    <row r="63" spans="1:5" ht="15.75" x14ac:dyDescent="0.25">
      <c r="A63" s="32">
        <v>5</v>
      </c>
      <c r="B63" s="3" t="s">
        <v>51</v>
      </c>
      <c r="C63" s="76">
        <v>37.1</v>
      </c>
      <c r="D63" s="76">
        <v>1355.93</v>
      </c>
      <c r="E63" s="27"/>
    </row>
    <row r="64" spans="1:5" ht="15.75" x14ac:dyDescent="0.25">
      <c r="A64" s="32">
        <v>6</v>
      </c>
      <c r="B64" s="3" t="s">
        <v>54</v>
      </c>
      <c r="C64" s="76">
        <v>0.36299999999999999</v>
      </c>
      <c r="D64" s="76">
        <v>0.32500000000000001</v>
      </c>
      <c r="E64" s="27"/>
    </row>
    <row r="65" spans="1:5" ht="15.75" x14ac:dyDescent="0.25">
      <c r="A65" s="32">
        <v>7</v>
      </c>
      <c r="B65" s="3" t="s">
        <v>55</v>
      </c>
      <c r="C65" s="89">
        <v>43.249000000000002</v>
      </c>
      <c r="D65" s="76">
        <v>1186.356</v>
      </c>
      <c r="E65" s="27"/>
    </row>
    <row r="66" spans="1:5" ht="16.5" thickBot="1" x14ac:dyDescent="0.3">
      <c r="A66" s="37">
        <v>8</v>
      </c>
      <c r="B66" s="52" t="s">
        <v>56</v>
      </c>
      <c r="C66" s="77">
        <v>0.42399999999999999</v>
      </c>
      <c r="D66" s="77">
        <v>0.28399999999999997</v>
      </c>
      <c r="E66" s="38"/>
    </row>
  </sheetData>
  <mergeCells count="28">
    <mergeCell ref="A2:E2"/>
    <mergeCell ref="A3:E3"/>
    <mergeCell ref="B6:B7"/>
    <mergeCell ref="C6:C7"/>
    <mergeCell ref="D6:D7"/>
    <mergeCell ref="E6:E7"/>
    <mergeCell ref="A4:E5"/>
    <mergeCell ref="B47:B48"/>
    <mergeCell ref="C47:C48"/>
    <mergeCell ref="D47:D48"/>
    <mergeCell ref="A18:E19"/>
    <mergeCell ref="B20:B21"/>
    <mergeCell ref="E20:E21"/>
    <mergeCell ref="A25:E26"/>
    <mergeCell ref="B27:B28"/>
    <mergeCell ref="E27:E28"/>
    <mergeCell ref="A39:E40"/>
    <mergeCell ref="B41:B42"/>
    <mergeCell ref="C41:C42"/>
    <mergeCell ref="D41:D42"/>
    <mergeCell ref="E41:E42"/>
    <mergeCell ref="A50:E51"/>
    <mergeCell ref="B52:B53"/>
    <mergeCell ref="E52:E53"/>
    <mergeCell ref="B57:B58"/>
    <mergeCell ref="C57:C58"/>
    <mergeCell ref="D57:D58"/>
    <mergeCell ref="E57:E58"/>
  </mergeCells>
  <pageMargins left="0.70866141732283472" right="0.70866141732283472" top="0.18" bottom="0.09" header="0.12" footer="7.0000000000000007E-2"/>
  <pageSetup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workbookViewId="0">
      <selection sqref="A1:E66"/>
    </sheetView>
  </sheetViews>
  <sheetFormatPr defaultRowHeight="15" x14ac:dyDescent="0.25"/>
  <cols>
    <col min="2" max="2" width="32.140625" customWidth="1"/>
    <col min="3" max="3" width="14.5703125" customWidth="1"/>
    <col min="4" max="4" width="16.5703125" customWidth="1"/>
    <col min="5" max="5" width="47.5703125" customWidth="1"/>
  </cols>
  <sheetData>
    <row r="1" spans="1:5" ht="19.5" thickBot="1" x14ac:dyDescent="0.35">
      <c r="A1" s="101" t="s">
        <v>79</v>
      </c>
      <c r="B1" s="117">
        <v>46233</v>
      </c>
      <c r="C1" s="102"/>
      <c r="D1" s="102"/>
      <c r="E1" s="103"/>
    </row>
    <row r="2" spans="1:5" ht="18" customHeight="1" thickBot="1" x14ac:dyDescent="0.45">
      <c r="A2" s="302" t="s">
        <v>30</v>
      </c>
      <c r="B2" s="303"/>
      <c r="C2" s="303"/>
      <c r="D2" s="303"/>
      <c r="E2" s="304"/>
    </row>
    <row r="3" spans="1:5" ht="21" customHeight="1" thickBot="1" x14ac:dyDescent="0.3">
      <c r="A3" s="320" t="s">
        <v>0</v>
      </c>
      <c r="B3" s="321"/>
      <c r="C3" s="321"/>
      <c r="D3" s="321"/>
      <c r="E3" s="322"/>
    </row>
    <row r="4" spans="1:5" x14ac:dyDescent="0.25">
      <c r="A4" s="293" t="s">
        <v>32</v>
      </c>
      <c r="B4" s="294"/>
      <c r="C4" s="294"/>
      <c r="D4" s="294"/>
      <c r="E4" s="295"/>
    </row>
    <row r="5" spans="1:5" ht="15.75" thickBot="1" x14ac:dyDescent="0.3">
      <c r="A5" s="296"/>
      <c r="B5" s="297"/>
      <c r="C5" s="297"/>
      <c r="D5" s="297"/>
      <c r="E5" s="298"/>
    </row>
    <row r="6" spans="1:5" ht="15.75" x14ac:dyDescent="0.25">
      <c r="A6" s="2" t="s">
        <v>1</v>
      </c>
      <c r="B6" s="254" t="s">
        <v>5</v>
      </c>
      <c r="C6" s="270" t="s">
        <v>3</v>
      </c>
      <c r="D6" s="270" t="s">
        <v>4</v>
      </c>
      <c r="E6" s="256" t="s">
        <v>13</v>
      </c>
    </row>
    <row r="7" spans="1:5" ht="16.5" thickBot="1" x14ac:dyDescent="0.3">
      <c r="A7" s="15" t="s">
        <v>2</v>
      </c>
      <c r="B7" s="282"/>
      <c r="C7" s="271"/>
      <c r="D7" s="271"/>
      <c r="E7" s="283"/>
    </row>
    <row r="8" spans="1:5" ht="15.75" x14ac:dyDescent="0.25">
      <c r="A8" s="35">
        <v>1</v>
      </c>
      <c r="B8" s="16" t="s">
        <v>6</v>
      </c>
      <c r="C8" s="78">
        <v>143</v>
      </c>
      <c r="D8" s="78">
        <v>4311</v>
      </c>
      <c r="E8" s="26"/>
    </row>
    <row r="9" spans="1:5" ht="15.75" x14ac:dyDescent="0.25">
      <c r="A9" s="32">
        <v>2</v>
      </c>
      <c r="B9" s="3" t="s">
        <v>7</v>
      </c>
      <c r="C9" s="79" t="s">
        <v>68</v>
      </c>
      <c r="D9" s="79">
        <v>143.69999999999999</v>
      </c>
      <c r="E9" s="27"/>
    </row>
    <row r="10" spans="1:5" ht="15.75" x14ac:dyDescent="0.25">
      <c r="A10" s="32">
        <v>3</v>
      </c>
      <c r="B10" s="3" t="s">
        <v>8</v>
      </c>
      <c r="C10" s="79">
        <v>138.16</v>
      </c>
      <c r="D10" s="79">
        <v>4287.7700000000004</v>
      </c>
      <c r="E10" s="27"/>
    </row>
    <row r="11" spans="1:5" ht="15.75" x14ac:dyDescent="0.25">
      <c r="A11" s="32">
        <v>4</v>
      </c>
      <c r="B11" s="3" t="s">
        <v>9</v>
      </c>
      <c r="C11" s="79" t="s">
        <v>68</v>
      </c>
      <c r="D11" s="79">
        <v>142.92500000000001</v>
      </c>
      <c r="E11" s="27"/>
    </row>
    <row r="12" spans="1:5" ht="15.75" x14ac:dyDescent="0.25">
      <c r="A12" s="32">
        <v>5</v>
      </c>
      <c r="B12" s="3" t="s">
        <v>12</v>
      </c>
      <c r="C12" s="79" t="s">
        <v>102</v>
      </c>
      <c r="D12" s="79" t="s">
        <v>103</v>
      </c>
      <c r="E12" s="27"/>
    </row>
    <row r="13" spans="1:5" ht="15.75" x14ac:dyDescent="0.3">
      <c r="A13" s="58">
        <v>6</v>
      </c>
      <c r="B13" s="5" t="s">
        <v>45</v>
      </c>
      <c r="C13" s="39"/>
      <c r="D13" s="39">
        <v>464.5</v>
      </c>
      <c r="E13" s="27"/>
    </row>
    <row r="14" spans="1:5" ht="15.75" x14ac:dyDescent="0.3">
      <c r="A14" s="58">
        <v>7</v>
      </c>
      <c r="B14" s="5" t="s">
        <v>44</v>
      </c>
      <c r="C14" s="39"/>
      <c r="D14" s="39">
        <v>116.125</v>
      </c>
      <c r="E14" s="27"/>
    </row>
    <row r="15" spans="1:5" ht="15.75" x14ac:dyDescent="0.3">
      <c r="A15" s="58">
        <v>8</v>
      </c>
      <c r="B15" s="5" t="s">
        <v>10</v>
      </c>
      <c r="C15" s="39"/>
      <c r="D15" s="39">
        <v>464.5</v>
      </c>
      <c r="E15" s="27"/>
    </row>
    <row r="16" spans="1:5" ht="15.75" x14ac:dyDescent="0.3">
      <c r="A16" s="58">
        <v>9</v>
      </c>
      <c r="B16" s="5" t="s">
        <v>11</v>
      </c>
      <c r="C16" s="39"/>
      <c r="D16" s="39">
        <v>116.125</v>
      </c>
      <c r="E16" s="27"/>
    </row>
    <row r="17" spans="1:5" ht="15.75" x14ac:dyDescent="0.3">
      <c r="A17" s="58">
        <v>10</v>
      </c>
      <c r="B17" s="4" t="s">
        <v>12</v>
      </c>
      <c r="C17" s="39"/>
      <c r="D17" s="40" t="s">
        <v>57</v>
      </c>
      <c r="E17" s="27"/>
    </row>
    <row r="18" spans="1:5" x14ac:dyDescent="0.25">
      <c r="A18" s="248" t="s">
        <v>104</v>
      </c>
      <c r="B18" s="249"/>
      <c r="C18" s="249"/>
      <c r="D18" s="249"/>
      <c r="E18" s="250"/>
    </row>
    <row r="19" spans="1:5" ht="15.75" thickBot="1" x14ac:dyDescent="0.3">
      <c r="A19" s="251"/>
      <c r="B19" s="252"/>
      <c r="C19" s="252"/>
      <c r="D19" s="252"/>
      <c r="E19" s="253"/>
    </row>
    <row r="20" spans="1:5" ht="15.75" x14ac:dyDescent="0.25">
      <c r="A20" s="11" t="s">
        <v>1</v>
      </c>
      <c r="B20" s="275" t="s">
        <v>31</v>
      </c>
      <c r="C20" s="56" t="s">
        <v>34</v>
      </c>
      <c r="D20" s="41" t="s">
        <v>33</v>
      </c>
      <c r="E20" s="277" t="s">
        <v>13</v>
      </c>
    </row>
    <row r="21" spans="1:5" ht="16.5" thickBot="1" x14ac:dyDescent="0.3">
      <c r="A21" s="93" t="s">
        <v>2</v>
      </c>
      <c r="B21" s="276"/>
      <c r="C21" s="94" t="s">
        <v>35</v>
      </c>
      <c r="D21" s="95" t="s">
        <v>3</v>
      </c>
      <c r="E21" s="278"/>
    </row>
    <row r="22" spans="1:5" ht="15.75" x14ac:dyDescent="0.25">
      <c r="A22" s="96">
        <v>1</v>
      </c>
      <c r="B22" s="53" t="s">
        <v>80</v>
      </c>
      <c r="C22" s="119">
        <v>45</v>
      </c>
      <c r="D22" s="118">
        <v>76</v>
      </c>
      <c r="E22" s="26"/>
    </row>
    <row r="23" spans="1:5" x14ac:dyDescent="0.25">
      <c r="A23" s="32">
        <v>2</v>
      </c>
      <c r="B23" s="105" t="s">
        <v>81</v>
      </c>
      <c r="C23" s="104">
        <v>40</v>
      </c>
      <c r="D23" s="106">
        <v>67</v>
      </c>
      <c r="E23" s="27"/>
    </row>
    <row r="24" spans="1:5" ht="16.5" thickBot="1" x14ac:dyDescent="0.3">
      <c r="A24" s="98">
        <v>3</v>
      </c>
      <c r="B24" s="99" t="s">
        <v>29</v>
      </c>
      <c r="C24" s="80">
        <v>85</v>
      </c>
      <c r="D24" s="100">
        <v>143</v>
      </c>
      <c r="E24" s="38"/>
    </row>
    <row r="25" spans="1:5" x14ac:dyDescent="0.25">
      <c r="A25" s="279" t="s">
        <v>105</v>
      </c>
      <c r="B25" s="280"/>
      <c r="C25" s="280"/>
      <c r="D25" s="280"/>
      <c r="E25" s="281"/>
    </row>
    <row r="26" spans="1:5" ht="15.75" thickBot="1" x14ac:dyDescent="0.3">
      <c r="A26" s="251"/>
      <c r="B26" s="252"/>
      <c r="C26" s="252"/>
      <c r="D26" s="252"/>
      <c r="E26" s="253"/>
    </row>
    <row r="27" spans="1:5" ht="15.75" x14ac:dyDescent="0.25">
      <c r="A27" s="2" t="s">
        <v>1</v>
      </c>
      <c r="B27" s="254" t="s">
        <v>5</v>
      </c>
      <c r="C27" s="18" t="s">
        <v>3</v>
      </c>
      <c r="D27" s="18" t="s">
        <v>4</v>
      </c>
      <c r="E27" s="256" t="s">
        <v>13</v>
      </c>
    </row>
    <row r="28" spans="1:5" ht="16.5" thickBot="1" x14ac:dyDescent="0.3">
      <c r="A28" s="15" t="s">
        <v>2</v>
      </c>
      <c r="B28" s="282"/>
      <c r="C28" s="19" t="s">
        <v>40</v>
      </c>
      <c r="D28" s="19" t="s">
        <v>40</v>
      </c>
      <c r="E28" s="283"/>
    </row>
    <row r="29" spans="1:5" ht="16.5" x14ac:dyDescent="0.3">
      <c r="A29" s="44">
        <v>1</v>
      </c>
      <c r="B29" s="45" t="s">
        <v>14</v>
      </c>
      <c r="C29" s="66">
        <v>21.15</v>
      </c>
      <c r="D29" s="110">
        <v>598</v>
      </c>
      <c r="E29" s="109"/>
    </row>
    <row r="30" spans="1:5" ht="17.25" thickBot="1" x14ac:dyDescent="0.35">
      <c r="A30" s="37">
        <v>2</v>
      </c>
      <c r="B30" s="46" t="s">
        <v>99</v>
      </c>
      <c r="C30" s="68">
        <v>2.4500000000000002</v>
      </c>
      <c r="D30" s="111">
        <v>122</v>
      </c>
      <c r="E30" s="114"/>
    </row>
    <row r="31" spans="1:5" ht="16.5" x14ac:dyDescent="0.3">
      <c r="A31" s="35">
        <v>3</v>
      </c>
      <c r="B31" s="53" t="s">
        <v>15</v>
      </c>
      <c r="C31" s="70">
        <v>0.4</v>
      </c>
      <c r="D31" s="84">
        <v>19.149999999999999</v>
      </c>
      <c r="E31" s="107" t="s">
        <v>97</v>
      </c>
    </row>
    <row r="32" spans="1:5" ht="16.5" x14ac:dyDescent="0.3">
      <c r="A32" s="32">
        <v>4</v>
      </c>
      <c r="B32" s="54" t="s">
        <v>16</v>
      </c>
      <c r="C32" s="72" t="s">
        <v>64</v>
      </c>
      <c r="D32" s="85" t="s">
        <v>63</v>
      </c>
      <c r="E32" s="115"/>
    </row>
    <row r="33" spans="1:5" ht="17.25" thickBot="1" x14ac:dyDescent="0.35">
      <c r="A33" s="32">
        <v>5</v>
      </c>
      <c r="B33" s="54" t="s">
        <v>17</v>
      </c>
      <c r="C33" s="82"/>
      <c r="D33" s="112">
        <v>38.549999999999997</v>
      </c>
      <c r="E33" s="115" t="s">
        <v>93</v>
      </c>
    </row>
    <row r="34" spans="1:5" ht="16.5" x14ac:dyDescent="0.3">
      <c r="A34" s="32">
        <v>6</v>
      </c>
      <c r="B34" s="54" t="s">
        <v>18</v>
      </c>
      <c r="C34" s="72" t="s">
        <v>64</v>
      </c>
      <c r="D34" s="85" t="s">
        <v>64</v>
      </c>
      <c r="E34" s="107" t="s">
        <v>96</v>
      </c>
    </row>
    <row r="35" spans="1:5" ht="17.25" thickBot="1" x14ac:dyDescent="0.35">
      <c r="A35" s="32">
        <v>7</v>
      </c>
      <c r="B35" s="54" t="s">
        <v>19</v>
      </c>
      <c r="C35" s="72" t="s">
        <v>64</v>
      </c>
      <c r="D35" s="112">
        <v>23.4</v>
      </c>
      <c r="E35" s="108"/>
    </row>
    <row r="36" spans="1:5" ht="17.25" thickBot="1" x14ac:dyDescent="0.35">
      <c r="A36" s="32">
        <v>8</v>
      </c>
      <c r="B36" s="54" t="s">
        <v>20</v>
      </c>
      <c r="C36" s="72">
        <v>2.0499999999999998</v>
      </c>
      <c r="D36" s="112">
        <v>7</v>
      </c>
      <c r="E36" s="115" t="s">
        <v>94</v>
      </c>
    </row>
    <row r="37" spans="1:5" ht="16.5" x14ac:dyDescent="0.3">
      <c r="A37" s="32">
        <v>9</v>
      </c>
      <c r="B37" s="54" t="s">
        <v>21</v>
      </c>
      <c r="C37" s="72" t="s">
        <v>64</v>
      </c>
      <c r="D37" s="112">
        <v>18</v>
      </c>
      <c r="E37" s="107" t="s">
        <v>95</v>
      </c>
    </row>
    <row r="38" spans="1:5" ht="17.25" thickBot="1" x14ac:dyDescent="0.35">
      <c r="A38" s="37">
        <v>10</v>
      </c>
      <c r="B38" s="55" t="s">
        <v>22</v>
      </c>
      <c r="C38" s="116" t="s">
        <v>98</v>
      </c>
      <c r="D38" s="113">
        <v>15.1</v>
      </c>
      <c r="E38" s="108"/>
    </row>
    <row r="39" spans="1:5" x14ac:dyDescent="0.25">
      <c r="A39" s="262" t="s">
        <v>77</v>
      </c>
      <c r="B39" s="263"/>
      <c r="C39" s="263"/>
      <c r="D39" s="263"/>
      <c r="E39" s="264"/>
    </row>
    <row r="40" spans="1:5" ht="15.75" thickBot="1" x14ac:dyDescent="0.3">
      <c r="A40" s="265"/>
      <c r="B40" s="266"/>
      <c r="C40" s="266"/>
      <c r="D40" s="266"/>
      <c r="E40" s="267"/>
    </row>
    <row r="41" spans="1:5" ht="15.75" x14ac:dyDescent="0.25">
      <c r="A41" s="9" t="s">
        <v>1</v>
      </c>
      <c r="B41" s="268" t="s">
        <v>27</v>
      </c>
      <c r="C41" s="270" t="s">
        <v>3</v>
      </c>
      <c r="D41" s="270" t="s">
        <v>4</v>
      </c>
      <c r="E41" s="272" t="s">
        <v>28</v>
      </c>
    </row>
    <row r="42" spans="1:5" ht="16.5" thickBot="1" x14ac:dyDescent="0.3">
      <c r="A42" s="17" t="s">
        <v>2</v>
      </c>
      <c r="B42" s="269"/>
      <c r="C42" s="271"/>
      <c r="D42" s="271"/>
      <c r="E42" s="273"/>
    </row>
    <row r="43" spans="1:5" x14ac:dyDescent="0.25">
      <c r="A43" s="35">
        <v>1</v>
      </c>
      <c r="B43" s="53" t="s">
        <v>58</v>
      </c>
      <c r="C43" s="47" t="s">
        <v>57</v>
      </c>
      <c r="D43" s="49">
        <v>88.65</v>
      </c>
      <c r="E43" s="26"/>
    </row>
    <row r="44" spans="1:5" x14ac:dyDescent="0.25">
      <c r="A44" s="32">
        <v>2</v>
      </c>
      <c r="B44" s="54" t="s">
        <v>59</v>
      </c>
      <c r="C44" s="48">
        <v>159</v>
      </c>
      <c r="D44" s="48">
        <v>4702.3500000000004</v>
      </c>
      <c r="E44" s="27"/>
    </row>
    <row r="45" spans="1:5" x14ac:dyDescent="0.25">
      <c r="A45" s="32">
        <v>3</v>
      </c>
      <c r="B45" s="54" t="s">
        <v>60</v>
      </c>
      <c r="C45" s="48">
        <v>159</v>
      </c>
      <c r="D45" s="48">
        <v>4791</v>
      </c>
      <c r="E45" s="27"/>
    </row>
    <row r="46" spans="1:5" ht="19.5" thickBot="1" x14ac:dyDescent="0.45">
      <c r="A46" s="28" t="s">
        <v>78</v>
      </c>
      <c r="E46" s="24"/>
    </row>
    <row r="47" spans="1:5" ht="15.75" x14ac:dyDescent="0.25">
      <c r="A47" s="9" t="s">
        <v>1</v>
      </c>
      <c r="B47" s="254" t="s">
        <v>5</v>
      </c>
      <c r="C47" s="270" t="s">
        <v>3</v>
      </c>
      <c r="D47" s="256" t="s">
        <v>4</v>
      </c>
      <c r="E47" s="60" t="s">
        <v>61</v>
      </c>
    </row>
    <row r="48" spans="1:5" ht="15.75" x14ac:dyDescent="0.25">
      <c r="A48" s="1" t="s">
        <v>2</v>
      </c>
      <c r="B48" s="255"/>
      <c r="C48" s="274"/>
      <c r="D48" s="257"/>
      <c r="E48" s="61" t="s">
        <v>42</v>
      </c>
    </row>
    <row r="49" spans="1:5" x14ac:dyDescent="0.25">
      <c r="A49" s="29">
        <v>1</v>
      </c>
      <c r="B49" s="20" t="s">
        <v>43</v>
      </c>
      <c r="C49" s="50">
        <v>14.54</v>
      </c>
      <c r="D49" s="50">
        <v>437.24</v>
      </c>
      <c r="E49" s="51">
        <v>9.83</v>
      </c>
    </row>
    <row r="50" spans="1:5" x14ac:dyDescent="0.25">
      <c r="A50" s="248" t="s">
        <v>73</v>
      </c>
      <c r="B50" s="249"/>
      <c r="C50" s="249"/>
      <c r="D50" s="249"/>
      <c r="E50" s="250"/>
    </row>
    <row r="51" spans="1:5" ht="15.75" thickBot="1" x14ac:dyDescent="0.3">
      <c r="A51" s="251"/>
      <c r="B51" s="252"/>
      <c r="C51" s="252"/>
      <c r="D51" s="252"/>
      <c r="E51" s="253"/>
    </row>
    <row r="52" spans="1:5" ht="15.75" x14ac:dyDescent="0.25">
      <c r="A52" s="2" t="s">
        <v>1</v>
      </c>
      <c r="B52" s="254" t="s">
        <v>5</v>
      </c>
      <c r="C52" s="18" t="s">
        <v>3</v>
      </c>
      <c r="D52" s="18" t="s">
        <v>4</v>
      </c>
      <c r="E52" s="256" t="s">
        <v>13</v>
      </c>
    </row>
    <row r="53" spans="1:5" ht="15.75" x14ac:dyDescent="0.25">
      <c r="A53" s="21" t="s">
        <v>2</v>
      </c>
      <c r="B53" s="255"/>
      <c r="C53" s="22" t="s">
        <v>46</v>
      </c>
      <c r="D53" s="22" t="s">
        <v>46</v>
      </c>
      <c r="E53" s="257"/>
    </row>
    <row r="54" spans="1:5" ht="15.75" x14ac:dyDescent="0.25">
      <c r="A54" s="32">
        <v>1</v>
      </c>
      <c r="B54" s="54" t="s">
        <v>100</v>
      </c>
      <c r="C54" s="76">
        <v>34273</v>
      </c>
      <c r="D54" s="76">
        <v>1059431</v>
      </c>
      <c r="E54" s="75" t="s">
        <v>101</v>
      </c>
    </row>
    <row r="55" spans="1:5" ht="15.75" x14ac:dyDescent="0.25">
      <c r="A55" s="32">
        <v>2</v>
      </c>
      <c r="B55" s="54" t="s">
        <v>47</v>
      </c>
      <c r="C55" s="76">
        <v>239.67</v>
      </c>
      <c r="D55" s="76">
        <v>245.75</v>
      </c>
      <c r="E55" s="27"/>
    </row>
    <row r="56" spans="1:5" ht="20.25" thickBot="1" x14ac:dyDescent="0.45">
      <c r="A56" s="25" t="s">
        <v>48</v>
      </c>
      <c r="B56" s="36"/>
      <c r="E56" s="24"/>
    </row>
    <row r="57" spans="1:5" ht="15.75" x14ac:dyDescent="0.25">
      <c r="A57" s="2" t="s">
        <v>1</v>
      </c>
      <c r="B57" s="254" t="s">
        <v>5</v>
      </c>
      <c r="C57" s="270" t="s">
        <v>3</v>
      </c>
      <c r="D57" s="270" t="s">
        <v>4</v>
      </c>
      <c r="E57" s="256" t="s">
        <v>13</v>
      </c>
    </row>
    <row r="58" spans="1:5" ht="15.75" x14ac:dyDescent="0.25">
      <c r="A58" s="21" t="s">
        <v>2</v>
      </c>
      <c r="B58" s="255"/>
      <c r="C58" s="274"/>
      <c r="D58" s="274"/>
      <c r="E58" s="257"/>
    </row>
    <row r="59" spans="1:5" ht="15.75" x14ac:dyDescent="0.25">
      <c r="A59" s="32">
        <v>1</v>
      </c>
      <c r="B59" s="3" t="s">
        <v>49</v>
      </c>
      <c r="C59" s="76">
        <v>205</v>
      </c>
      <c r="D59" s="76">
        <v>6203</v>
      </c>
      <c r="E59" s="27"/>
    </row>
    <row r="60" spans="1:5" ht="15.75" x14ac:dyDescent="0.25">
      <c r="A60" s="32">
        <v>2</v>
      </c>
      <c r="B60" s="3" t="s">
        <v>52</v>
      </c>
      <c r="C60" s="76">
        <v>1.4330000000000001</v>
      </c>
      <c r="D60" s="76">
        <v>1.4379999999999999</v>
      </c>
      <c r="E60" s="27"/>
    </row>
    <row r="61" spans="1:5" ht="15.75" x14ac:dyDescent="0.25">
      <c r="A61" s="32">
        <v>3</v>
      </c>
      <c r="B61" s="3" t="s">
        <v>50</v>
      </c>
      <c r="C61" s="76">
        <v>117</v>
      </c>
      <c r="D61" s="76">
        <v>2589</v>
      </c>
      <c r="E61" s="27"/>
    </row>
    <row r="62" spans="1:5" ht="15.75" x14ac:dyDescent="0.25">
      <c r="A62" s="32">
        <v>4</v>
      </c>
      <c r="B62" s="3" t="s">
        <v>53</v>
      </c>
      <c r="C62" s="76">
        <v>0.81799999999999995</v>
      </c>
      <c r="D62" s="89">
        <v>0.6</v>
      </c>
      <c r="E62" s="27"/>
    </row>
    <row r="63" spans="1:5" ht="15.75" x14ac:dyDescent="0.25">
      <c r="A63" s="32">
        <v>5</v>
      </c>
      <c r="B63" s="3" t="s">
        <v>51</v>
      </c>
      <c r="C63" s="76">
        <v>46.7</v>
      </c>
      <c r="D63" s="76">
        <v>1402.63</v>
      </c>
      <c r="E63" s="27"/>
    </row>
    <row r="64" spans="1:5" ht="15.75" x14ac:dyDescent="0.25">
      <c r="A64" s="32">
        <v>6</v>
      </c>
      <c r="B64" s="3" t="s">
        <v>54</v>
      </c>
      <c r="C64" s="76">
        <v>0.32600000000000001</v>
      </c>
      <c r="D64" s="76">
        <v>0.32500000000000001</v>
      </c>
      <c r="E64" s="27"/>
    </row>
    <row r="65" spans="1:5" ht="15.75" x14ac:dyDescent="0.25">
      <c r="A65" s="32">
        <v>7</v>
      </c>
      <c r="B65" s="3" t="s">
        <v>55</v>
      </c>
      <c r="C65" s="89">
        <v>48.972999999999999</v>
      </c>
      <c r="D65" s="76">
        <v>1235.329</v>
      </c>
      <c r="E65" s="27"/>
    </row>
    <row r="66" spans="1:5" ht="16.5" thickBot="1" x14ac:dyDescent="0.3">
      <c r="A66" s="37">
        <v>8</v>
      </c>
      <c r="B66" s="52" t="s">
        <v>56</v>
      </c>
      <c r="C66" s="77">
        <v>0.34200000000000003</v>
      </c>
      <c r="D66" s="77">
        <v>0.28599999999999998</v>
      </c>
      <c r="E66" s="38"/>
    </row>
  </sheetData>
  <mergeCells count="28">
    <mergeCell ref="A2:E2"/>
    <mergeCell ref="A3:E3"/>
    <mergeCell ref="A4:E5"/>
    <mergeCell ref="B6:B7"/>
    <mergeCell ref="C6:C7"/>
    <mergeCell ref="D6:D7"/>
    <mergeCell ref="E6:E7"/>
    <mergeCell ref="B47:B48"/>
    <mergeCell ref="C47:C48"/>
    <mergeCell ref="D47:D48"/>
    <mergeCell ref="A18:E19"/>
    <mergeCell ref="B20:B21"/>
    <mergeCell ref="E20:E21"/>
    <mergeCell ref="A25:E26"/>
    <mergeCell ref="B27:B28"/>
    <mergeCell ref="E27:E28"/>
    <mergeCell ref="A39:E40"/>
    <mergeCell ref="B41:B42"/>
    <mergeCell ref="C41:C42"/>
    <mergeCell ref="D41:D42"/>
    <mergeCell ref="E41:E42"/>
    <mergeCell ref="A50:E51"/>
    <mergeCell ref="B52:B53"/>
    <mergeCell ref="E52:E53"/>
    <mergeCell ref="B57:B58"/>
    <mergeCell ref="C57:C58"/>
    <mergeCell ref="D57:D58"/>
    <mergeCell ref="E57:E58"/>
  </mergeCells>
  <pageMargins left="0.70866141732283472" right="0.23622047244094491" top="0.11811023622047245" bottom="0.11811023622047245" header="7.874015748031496E-2" footer="7.874015748031496E-2"/>
  <pageSetup scale="7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6"/>
  <sheetViews>
    <sheetView workbookViewId="0">
      <selection activeCell="G19" sqref="G19"/>
    </sheetView>
  </sheetViews>
  <sheetFormatPr defaultRowHeight="15" x14ac:dyDescent="0.25"/>
  <cols>
    <col min="2" max="2" width="33.7109375" customWidth="1"/>
    <col min="3" max="3" width="12.5703125" customWidth="1"/>
    <col min="4" max="4" width="16.42578125" customWidth="1"/>
    <col min="5" max="5" width="49.28515625" customWidth="1"/>
  </cols>
  <sheetData>
    <row r="1" spans="1:8" ht="19.5" thickBot="1" x14ac:dyDescent="0.35">
      <c r="A1" s="101" t="s">
        <v>119</v>
      </c>
      <c r="C1" s="102"/>
      <c r="D1" s="102"/>
      <c r="E1" s="103"/>
    </row>
    <row r="2" spans="1:8" ht="20.25" thickBot="1" x14ac:dyDescent="0.45">
      <c r="A2" s="302" t="s">
        <v>30</v>
      </c>
      <c r="B2" s="303"/>
      <c r="C2" s="303"/>
      <c r="D2" s="303"/>
      <c r="E2" s="304"/>
    </row>
    <row r="3" spans="1:8" ht="23.25" thickBot="1" x14ac:dyDescent="0.3">
      <c r="A3" s="320" t="s">
        <v>0</v>
      </c>
      <c r="B3" s="321"/>
      <c r="C3" s="321"/>
      <c r="D3" s="321"/>
      <c r="E3" s="322"/>
    </row>
    <row r="4" spans="1:8" x14ac:dyDescent="0.25">
      <c r="A4" s="293" t="s">
        <v>32</v>
      </c>
      <c r="B4" s="294"/>
      <c r="C4" s="294"/>
      <c r="D4" s="294"/>
      <c r="E4" s="295"/>
    </row>
    <row r="5" spans="1:8" ht="19.5" thickBot="1" x14ac:dyDescent="0.35">
      <c r="A5" s="296"/>
      <c r="B5" s="297"/>
      <c r="C5" s="297"/>
      <c r="D5" s="297"/>
      <c r="E5" s="298"/>
      <c r="H5" s="134"/>
    </row>
    <row r="6" spans="1:8" ht="15.75" x14ac:dyDescent="0.25">
      <c r="A6" s="2" t="s">
        <v>1</v>
      </c>
      <c r="B6" s="254" t="s">
        <v>5</v>
      </c>
      <c r="C6" s="270" t="s">
        <v>3</v>
      </c>
      <c r="D6" s="270" t="s">
        <v>4</v>
      </c>
      <c r="E6" s="256" t="s">
        <v>13</v>
      </c>
    </row>
    <row r="7" spans="1:8" ht="16.5" thickBot="1" x14ac:dyDescent="0.3">
      <c r="A7" s="15" t="s">
        <v>2</v>
      </c>
      <c r="B7" s="282"/>
      <c r="C7" s="271"/>
      <c r="D7" s="271"/>
      <c r="E7" s="283"/>
    </row>
    <row r="8" spans="1:8" ht="15.75" x14ac:dyDescent="0.25">
      <c r="A8" s="35">
        <v>1</v>
      </c>
      <c r="B8" s="16" t="s">
        <v>6</v>
      </c>
      <c r="C8" s="78">
        <v>141</v>
      </c>
      <c r="D8" s="78">
        <v>4452</v>
      </c>
      <c r="E8" s="26"/>
    </row>
    <row r="9" spans="1:8" ht="15.75" x14ac:dyDescent="0.25">
      <c r="A9" s="32">
        <v>2</v>
      </c>
      <c r="B9" s="3" t="s">
        <v>7</v>
      </c>
      <c r="C9" s="79" t="s">
        <v>68</v>
      </c>
      <c r="D9" s="79">
        <v>143.61199999999999</v>
      </c>
      <c r="E9" s="27"/>
    </row>
    <row r="10" spans="1:8" ht="15.75" x14ac:dyDescent="0.25">
      <c r="A10" s="32">
        <v>3</v>
      </c>
      <c r="B10" s="3" t="s">
        <v>8</v>
      </c>
      <c r="C10" s="79">
        <v>141.43</v>
      </c>
      <c r="D10" s="79">
        <v>4429.2</v>
      </c>
      <c r="E10" s="27"/>
    </row>
    <row r="11" spans="1:8" ht="15.75" x14ac:dyDescent="0.25">
      <c r="A11" s="32">
        <v>4</v>
      </c>
      <c r="B11" s="3" t="s">
        <v>9</v>
      </c>
      <c r="C11" s="79" t="s">
        <v>68</v>
      </c>
      <c r="D11" s="79">
        <v>142.87700000000001</v>
      </c>
      <c r="E11" s="27"/>
    </row>
    <row r="12" spans="1:8" ht="15.75" x14ac:dyDescent="0.25">
      <c r="A12" s="32">
        <v>5</v>
      </c>
      <c r="B12" s="3" t="s">
        <v>12</v>
      </c>
      <c r="C12" s="79" t="s">
        <v>111</v>
      </c>
      <c r="D12" s="79" t="s">
        <v>112</v>
      </c>
      <c r="E12" s="27"/>
    </row>
    <row r="13" spans="1:8" ht="15.75" x14ac:dyDescent="0.3">
      <c r="A13" s="58">
        <v>6</v>
      </c>
      <c r="B13" s="5" t="s">
        <v>45</v>
      </c>
      <c r="C13" s="39"/>
      <c r="D13" s="39">
        <v>464.5</v>
      </c>
      <c r="E13" s="27"/>
    </row>
    <row r="14" spans="1:8" ht="15.75" x14ac:dyDescent="0.3">
      <c r="A14" s="58">
        <v>7</v>
      </c>
      <c r="B14" s="5" t="s">
        <v>44</v>
      </c>
      <c r="C14" s="39"/>
      <c r="D14" s="39">
        <v>116.125</v>
      </c>
      <c r="E14" s="27"/>
    </row>
    <row r="15" spans="1:8" ht="15.75" x14ac:dyDescent="0.3">
      <c r="A15" s="58">
        <v>8</v>
      </c>
      <c r="B15" s="5" t="s">
        <v>10</v>
      </c>
      <c r="C15" s="39"/>
      <c r="D15" s="39">
        <v>464.5</v>
      </c>
      <c r="E15" s="27"/>
    </row>
    <row r="16" spans="1:8" ht="15.75" x14ac:dyDescent="0.3">
      <c r="A16" s="58">
        <v>9</v>
      </c>
      <c r="B16" s="5" t="s">
        <v>11</v>
      </c>
      <c r="C16" s="39"/>
      <c r="D16" s="39">
        <v>116.125</v>
      </c>
      <c r="E16" s="27"/>
    </row>
    <row r="17" spans="1:5" ht="15.75" x14ac:dyDescent="0.3">
      <c r="A17" s="58">
        <v>10</v>
      </c>
      <c r="B17" s="4" t="s">
        <v>12</v>
      </c>
      <c r="C17" s="39"/>
      <c r="D17" s="40" t="s">
        <v>57</v>
      </c>
      <c r="E17" s="27"/>
    </row>
    <row r="18" spans="1:5" x14ac:dyDescent="0.25">
      <c r="A18" s="248" t="s">
        <v>104</v>
      </c>
      <c r="B18" s="249"/>
      <c r="C18" s="249"/>
      <c r="D18" s="249"/>
      <c r="E18" s="250"/>
    </row>
    <row r="19" spans="1:5" ht="15.75" thickBot="1" x14ac:dyDescent="0.3">
      <c r="A19" s="251"/>
      <c r="B19" s="252"/>
      <c r="C19" s="252"/>
      <c r="D19" s="252"/>
      <c r="E19" s="253"/>
    </row>
    <row r="20" spans="1:5" ht="15.75" x14ac:dyDescent="0.25">
      <c r="A20" s="11" t="s">
        <v>1</v>
      </c>
      <c r="B20" s="275" t="s">
        <v>31</v>
      </c>
      <c r="C20" s="56" t="s">
        <v>34</v>
      </c>
      <c r="D20" s="41" t="s">
        <v>33</v>
      </c>
      <c r="E20" s="277" t="s">
        <v>13</v>
      </c>
    </row>
    <row r="21" spans="1:5" ht="16.5" thickBot="1" x14ac:dyDescent="0.3">
      <c r="A21" s="93" t="s">
        <v>2</v>
      </c>
      <c r="B21" s="276"/>
      <c r="C21" s="94" t="s">
        <v>35</v>
      </c>
      <c r="D21" s="95" t="s">
        <v>3</v>
      </c>
      <c r="E21" s="278"/>
    </row>
    <row r="22" spans="1:5" ht="15.75" x14ac:dyDescent="0.25">
      <c r="A22" s="96">
        <v>1</v>
      </c>
      <c r="B22" s="53" t="s">
        <v>80</v>
      </c>
      <c r="C22" s="119">
        <v>9</v>
      </c>
      <c r="D22" s="118">
        <v>15</v>
      </c>
      <c r="E22" s="26"/>
    </row>
    <row r="23" spans="1:5" x14ac:dyDescent="0.25">
      <c r="A23" s="32">
        <v>2</v>
      </c>
      <c r="B23" s="105" t="s">
        <v>81</v>
      </c>
      <c r="C23" s="104">
        <v>76</v>
      </c>
      <c r="D23" s="106">
        <v>126</v>
      </c>
      <c r="E23" s="27"/>
    </row>
    <row r="24" spans="1:5" ht="16.5" thickBot="1" x14ac:dyDescent="0.3">
      <c r="A24" s="98">
        <v>3</v>
      </c>
      <c r="B24" s="99" t="s">
        <v>29</v>
      </c>
      <c r="C24" s="80">
        <v>85</v>
      </c>
      <c r="D24" s="100">
        <v>141</v>
      </c>
      <c r="E24" s="38"/>
    </row>
    <row r="25" spans="1:5" x14ac:dyDescent="0.25">
      <c r="A25" s="279" t="s">
        <v>105</v>
      </c>
      <c r="B25" s="280"/>
      <c r="C25" s="280"/>
      <c r="D25" s="280"/>
      <c r="E25" s="281"/>
    </row>
    <row r="26" spans="1:5" ht="15.75" thickBot="1" x14ac:dyDescent="0.3">
      <c r="A26" s="251"/>
      <c r="B26" s="252"/>
      <c r="C26" s="252"/>
      <c r="D26" s="252"/>
      <c r="E26" s="253"/>
    </row>
    <row r="27" spans="1:5" ht="15.75" x14ac:dyDescent="0.25">
      <c r="A27" s="2" t="s">
        <v>1</v>
      </c>
      <c r="B27" s="254" t="s">
        <v>5</v>
      </c>
      <c r="C27" s="18" t="s">
        <v>3</v>
      </c>
      <c r="D27" s="18" t="s">
        <v>4</v>
      </c>
      <c r="E27" s="256" t="s">
        <v>13</v>
      </c>
    </row>
    <row r="28" spans="1:5" ht="16.5" thickBot="1" x14ac:dyDescent="0.3">
      <c r="A28" s="15" t="s">
        <v>2</v>
      </c>
      <c r="B28" s="282"/>
      <c r="C28" s="19" t="s">
        <v>40</v>
      </c>
      <c r="D28" s="19" t="s">
        <v>40</v>
      </c>
      <c r="E28" s="283"/>
    </row>
    <row r="29" spans="1:5" ht="16.5" customHeight="1" x14ac:dyDescent="0.4">
      <c r="A29" s="128">
        <v>1</v>
      </c>
      <c r="B29" s="45" t="s">
        <v>14</v>
      </c>
      <c r="C29" s="130">
        <v>21.45</v>
      </c>
      <c r="D29" s="131">
        <v>619.45000000000005</v>
      </c>
      <c r="E29" s="109"/>
    </row>
    <row r="30" spans="1:5" ht="16.5" customHeight="1" thickBot="1" x14ac:dyDescent="0.45">
      <c r="A30" s="129">
        <v>2</v>
      </c>
      <c r="B30" s="46" t="s">
        <v>99</v>
      </c>
      <c r="C30" s="132">
        <v>2.15</v>
      </c>
      <c r="D30" s="133">
        <v>124.15</v>
      </c>
      <c r="E30" s="114"/>
    </row>
    <row r="31" spans="1:5" ht="16.5" x14ac:dyDescent="0.3">
      <c r="A31" s="35">
        <v>3</v>
      </c>
      <c r="B31" s="53" t="s">
        <v>15</v>
      </c>
      <c r="C31" s="120">
        <v>0.45</v>
      </c>
      <c r="D31" s="121">
        <v>20</v>
      </c>
      <c r="E31" s="107" t="s">
        <v>106</v>
      </c>
    </row>
    <row r="32" spans="1:5" ht="17.25" thickBot="1" x14ac:dyDescent="0.35">
      <c r="A32" s="32">
        <v>4</v>
      </c>
      <c r="B32" s="54" t="s">
        <v>16</v>
      </c>
      <c r="C32" s="122" t="s">
        <v>64</v>
      </c>
      <c r="D32" s="123" t="s">
        <v>63</v>
      </c>
      <c r="E32" s="108" t="s">
        <v>110</v>
      </c>
    </row>
    <row r="33" spans="1:5" ht="16.5" x14ac:dyDescent="0.3">
      <c r="A33" s="32">
        <v>5</v>
      </c>
      <c r="B33" s="54" t="s">
        <v>17</v>
      </c>
      <c r="C33" s="124">
        <v>1.3</v>
      </c>
      <c r="D33" s="125">
        <v>40.25</v>
      </c>
      <c r="E33" s="115"/>
    </row>
    <row r="34" spans="1:5" ht="17.25" thickBot="1" x14ac:dyDescent="0.35">
      <c r="A34" s="32">
        <v>6</v>
      </c>
      <c r="B34" s="54" t="s">
        <v>18</v>
      </c>
      <c r="C34" s="122" t="s">
        <v>64</v>
      </c>
      <c r="D34" s="123" t="s">
        <v>64</v>
      </c>
      <c r="E34" s="115"/>
    </row>
    <row r="35" spans="1:5" ht="16.5" x14ac:dyDescent="0.3">
      <c r="A35" s="32">
        <v>7</v>
      </c>
      <c r="B35" s="54" t="s">
        <v>19</v>
      </c>
      <c r="C35" s="122" t="s">
        <v>64</v>
      </c>
      <c r="D35" s="125">
        <v>23.4</v>
      </c>
      <c r="E35" s="107" t="s">
        <v>107</v>
      </c>
    </row>
    <row r="36" spans="1:5" ht="17.25" thickBot="1" x14ac:dyDescent="0.35">
      <c r="A36" s="32">
        <v>8</v>
      </c>
      <c r="B36" s="54" t="s">
        <v>20</v>
      </c>
      <c r="C36" s="122" t="s">
        <v>98</v>
      </c>
      <c r="D36" s="125">
        <v>7</v>
      </c>
      <c r="E36" s="108" t="s">
        <v>109</v>
      </c>
    </row>
    <row r="37" spans="1:5" ht="17.25" thickBot="1" x14ac:dyDescent="0.35">
      <c r="A37" s="32">
        <v>9</v>
      </c>
      <c r="B37" s="54" t="s">
        <v>21</v>
      </c>
      <c r="C37" s="122" t="s">
        <v>64</v>
      </c>
      <c r="D37" s="125">
        <v>18</v>
      </c>
      <c r="E37" s="115"/>
    </row>
    <row r="38" spans="1:5" ht="17.25" thickBot="1" x14ac:dyDescent="0.35">
      <c r="A38" s="37">
        <v>10</v>
      </c>
      <c r="B38" s="55" t="s">
        <v>22</v>
      </c>
      <c r="C38" s="126" t="s">
        <v>98</v>
      </c>
      <c r="D38" s="111">
        <v>15.1</v>
      </c>
      <c r="E38" s="127" t="s">
        <v>108</v>
      </c>
    </row>
    <row r="39" spans="1:5" x14ac:dyDescent="0.25">
      <c r="A39" s="262" t="s">
        <v>77</v>
      </c>
      <c r="B39" s="263"/>
      <c r="C39" s="263"/>
      <c r="D39" s="263"/>
      <c r="E39" s="264"/>
    </row>
    <row r="40" spans="1:5" ht="15.75" thickBot="1" x14ac:dyDescent="0.3">
      <c r="A40" s="265"/>
      <c r="B40" s="266"/>
      <c r="C40" s="266"/>
      <c r="D40" s="266"/>
      <c r="E40" s="267"/>
    </row>
    <row r="41" spans="1:5" ht="15.75" x14ac:dyDescent="0.25">
      <c r="A41" s="9" t="s">
        <v>1</v>
      </c>
      <c r="B41" s="268" t="s">
        <v>27</v>
      </c>
      <c r="C41" s="270" t="s">
        <v>3</v>
      </c>
      <c r="D41" s="270" t="s">
        <v>4</v>
      </c>
      <c r="E41" s="272" t="s">
        <v>28</v>
      </c>
    </row>
    <row r="42" spans="1:5" ht="16.5" thickBot="1" x14ac:dyDescent="0.3">
      <c r="A42" s="17" t="s">
        <v>2</v>
      </c>
      <c r="B42" s="269"/>
      <c r="C42" s="271"/>
      <c r="D42" s="271"/>
      <c r="E42" s="273"/>
    </row>
    <row r="43" spans="1:5" x14ac:dyDescent="0.25">
      <c r="A43" s="35">
        <v>1</v>
      </c>
      <c r="B43" s="53" t="s">
        <v>58</v>
      </c>
      <c r="C43" s="47" t="s">
        <v>57</v>
      </c>
      <c r="D43" s="49">
        <v>88.65</v>
      </c>
      <c r="E43" s="26"/>
    </row>
    <row r="44" spans="1:5" x14ac:dyDescent="0.25">
      <c r="A44" s="32">
        <v>2</v>
      </c>
      <c r="B44" s="54" t="s">
        <v>59</v>
      </c>
      <c r="C44" s="48">
        <v>157</v>
      </c>
      <c r="D44" s="48">
        <v>4859.3500000000004</v>
      </c>
      <c r="E44" s="27"/>
    </row>
    <row r="45" spans="1:5" x14ac:dyDescent="0.25">
      <c r="A45" s="32">
        <v>3</v>
      </c>
      <c r="B45" s="54" t="s">
        <v>60</v>
      </c>
      <c r="C45" s="48">
        <v>157</v>
      </c>
      <c r="D45" s="48">
        <v>4948</v>
      </c>
      <c r="E45" s="27"/>
    </row>
    <row r="46" spans="1:5" ht="19.5" thickBot="1" x14ac:dyDescent="0.45">
      <c r="A46" s="28" t="s">
        <v>78</v>
      </c>
      <c r="E46" s="24"/>
    </row>
    <row r="47" spans="1:5" ht="15.75" x14ac:dyDescent="0.25">
      <c r="A47" s="9" t="s">
        <v>1</v>
      </c>
      <c r="B47" s="254" t="s">
        <v>5</v>
      </c>
      <c r="C47" s="270" t="s">
        <v>3</v>
      </c>
      <c r="D47" s="256" t="s">
        <v>4</v>
      </c>
      <c r="E47" s="60" t="s">
        <v>61</v>
      </c>
    </row>
    <row r="48" spans="1:5" ht="15.75" x14ac:dyDescent="0.25">
      <c r="A48" s="1" t="s">
        <v>2</v>
      </c>
      <c r="B48" s="255"/>
      <c r="C48" s="274"/>
      <c r="D48" s="257"/>
      <c r="E48" s="61" t="s">
        <v>42</v>
      </c>
    </row>
    <row r="49" spans="1:5" x14ac:dyDescent="0.25">
      <c r="A49" s="29">
        <v>1</v>
      </c>
      <c r="B49" s="20" t="s">
        <v>43</v>
      </c>
      <c r="C49" s="50">
        <v>14.42</v>
      </c>
      <c r="D49" s="50">
        <v>452.06</v>
      </c>
      <c r="E49" s="51">
        <v>9.77</v>
      </c>
    </row>
    <row r="50" spans="1:5" x14ac:dyDescent="0.25">
      <c r="A50" s="248" t="s">
        <v>73</v>
      </c>
      <c r="B50" s="249"/>
      <c r="C50" s="249"/>
      <c r="D50" s="249"/>
      <c r="E50" s="250"/>
    </row>
    <row r="51" spans="1:5" ht="15.75" thickBot="1" x14ac:dyDescent="0.3">
      <c r="A51" s="251"/>
      <c r="B51" s="252"/>
      <c r="C51" s="252"/>
      <c r="D51" s="252"/>
      <c r="E51" s="253"/>
    </row>
    <row r="52" spans="1:5" ht="15.75" x14ac:dyDescent="0.25">
      <c r="A52" s="2" t="s">
        <v>1</v>
      </c>
      <c r="B52" s="254" t="s">
        <v>5</v>
      </c>
      <c r="C52" s="18" t="s">
        <v>3</v>
      </c>
      <c r="D52" s="18" t="s">
        <v>4</v>
      </c>
      <c r="E52" s="256" t="s">
        <v>13</v>
      </c>
    </row>
    <row r="53" spans="1:5" ht="15.75" x14ac:dyDescent="0.25">
      <c r="A53" s="21" t="s">
        <v>2</v>
      </c>
      <c r="B53" s="255"/>
      <c r="C53" s="22" t="s">
        <v>46</v>
      </c>
      <c r="D53" s="22" t="s">
        <v>46</v>
      </c>
      <c r="E53" s="257"/>
    </row>
    <row r="54" spans="1:5" ht="15.75" x14ac:dyDescent="0.25">
      <c r="A54" s="32">
        <v>1</v>
      </c>
      <c r="B54" s="54" t="s">
        <v>113</v>
      </c>
      <c r="C54" s="76">
        <v>36506</v>
      </c>
      <c r="D54" s="76">
        <v>1095937</v>
      </c>
      <c r="E54" s="75" t="s">
        <v>114</v>
      </c>
    </row>
    <row r="55" spans="1:5" ht="15.75" x14ac:dyDescent="0.25">
      <c r="A55" s="32">
        <v>2</v>
      </c>
      <c r="B55" s="54" t="s">
        <v>47</v>
      </c>
      <c r="C55" s="76">
        <v>258.89999999999998</v>
      </c>
      <c r="D55" s="76">
        <v>246.16</v>
      </c>
      <c r="E55" s="27"/>
    </row>
    <row r="56" spans="1:5" ht="20.25" thickBot="1" x14ac:dyDescent="0.45">
      <c r="A56" s="25" t="s">
        <v>48</v>
      </c>
      <c r="B56" s="36"/>
      <c r="E56" s="24"/>
    </row>
    <row r="57" spans="1:5" ht="15.75" x14ac:dyDescent="0.25">
      <c r="A57" s="2" t="s">
        <v>1</v>
      </c>
      <c r="B57" s="254" t="s">
        <v>5</v>
      </c>
      <c r="C57" s="270" t="s">
        <v>3</v>
      </c>
      <c r="D57" s="270" t="s">
        <v>4</v>
      </c>
      <c r="E57" s="256" t="s">
        <v>13</v>
      </c>
    </row>
    <row r="58" spans="1:5" ht="15.75" x14ac:dyDescent="0.25">
      <c r="A58" s="21" t="s">
        <v>2</v>
      </c>
      <c r="B58" s="255"/>
      <c r="C58" s="274"/>
      <c r="D58" s="274"/>
      <c r="E58" s="257"/>
    </row>
    <row r="59" spans="1:5" ht="15.75" x14ac:dyDescent="0.25">
      <c r="A59" s="32">
        <v>1</v>
      </c>
      <c r="B59" s="3" t="s">
        <v>49</v>
      </c>
      <c r="C59" s="76">
        <v>202</v>
      </c>
      <c r="D59" s="76">
        <v>6405</v>
      </c>
      <c r="E59" s="27"/>
    </row>
    <row r="60" spans="1:5" ht="15.75" x14ac:dyDescent="0.25">
      <c r="A60" s="32">
        <v>2</v>
      </c>
      <c r="B60" s="3" t="s">
        <v>52</v>
      </c>
      <c r="C60" s="76">
        <v>1.4319999999999999</v>
      </c>
      <c r="D60" s="76">
        <v>1.4379999999999999</v>
      </c>
      <c r="E60" s="27"/>
    </row>
    <row r="61" spans="1:5" ht="15.75" x14ac:dyDescent="0.25">
      <c r="A61" s="32">
        <v>3</v>
      </c>
      <c r="B61" s="3" t="s">
        <v>50</v>
      </c>
      <c r="C61" s="76">
        <v>69</v>
      </c>
      <c r="D61" s="76">
        <v>2658</v>
      </c>
      <c r="E61" s="27"/>
    </row>
    <row r="62" spans="1:5" ht="15.75" x14ac:dyDescent="0.25">
      <c r="A62" s="32">
        <v>4</v>
      </c>
      <c r="B62" s="3" t="s">
        <v>53</v>
      </c>
      <c r="C62" s="76">
        <v>0.48899999999999999</v>
      </c>
      <c r="D62" s="89">
        <v>0.59699999999999998</v>
      </c>
      <c r="E62" s="27"/>
    </row>
    <row r="63" spans="1:5" ht="15.75" x14ac:dyDescent="0.25">
      <c r="A63" s="32">
        <v>5</v>
      </c>
      <c r="B63" s="3" t="s">
        <v>51</v>
      </c>
      <c r="C63" s="76">
        <v>45.5</v>
      </c>
      <c r="D63" s="76">
        <v>1448.13</v>
      </c>
      <c r="E63" s="27"/>
    </row>
    <row r="64" spans="1:5" ht="15.75" x14ac:dyDescent="0.25">
      <c r="A64" s="32">
        <v>6</v>
      </c>
      <c r="B64" s="3" t="s">
        <v>54</v>
      </c>
      <c r="C64" s="76">
        <v>0.32200000000000001</v>
      </c>
      <c r="D64" s="76">
        <v>0.32500000000000001</v>
      </c>
      <c r="E64" s="27"/>
    </row>
    <row r="65" spans="1:5" ht="15.75" x14ac:dyDescent="0.25">
      <c r="A65" s="32">
        <v>7</v>
      </c>
      <c r="B65" s="3" t="s">
        <v>55</v>
      </c>
      <c r="C65" s="89">
        <v>45.042999999999999</v>
      </c>
      <c r="D65" s="76">
        <v>1280.3720000000001</v>
      </c>
      <c r="E65" s="27"/>
    </row>
    <row r="66" spans="1:5" ht="16.5" thickBot="1" x14ac:dyDescent="0.3">
      <c r="A66" s="37">
        <v>8</v>
      </c>
      <c r="B66" s="52" t="s">
        <v>56</v>
      </c>
      <c r="C66" s="77">
        <v>0.31900000000000001</v>
      </c>
      <c r="D66" s="77">
        <v>0.28699999999999998</v>
      </c>
      <c r="E66" s="38"/>
    </row>
  </sheetData>
  <mergeCells count="28">
    <mergeCell ref="A2:E2"/>
    <mergeCell ref="A3:E3"/>
    <mergeCell ref="A4:E5"/>
    <mergeCell ref="B6:B7"/>
    <mergeCell ref="C6:C7"/>
    <mergeCell ref="D6:D7"/>
    <mergeCell ref="E6:E7"/>
    <mergeCell ref="B47:B48"/>
    <mergeCell ref="C47:C48"/>
    <mergeCell ref="D47:D48"/>
    <mergeCell ref="A18:E19"/>
    <mergeCell ref="B20:B21"/>
    <mergeCell ref="E20:E21"/>
    <mergeCell ref="A25:E26"/>
    <mergeCell ref="B27:B28"/>
    <mergeCell ref="E27:E28"/>
    <mergeCell ref="A39:E40"/>
    <mergeCell ref="B41:B42"/>
    <mergeCell ref="C41:C42"/>
    <mergeCell ref="D41:D42"/>
    <mergeCell ref="E41:E42"/>
    <mergeCell ref="A50:E51"/>
    <mergeCell ref="B52:B53"/>
    <mergeCell ref="E52:E53"/>
    <mergeCell ref="B57:B58"/>
    <mergeCell ref="C57:C58"/>
    <mergeCell ref="D57:D58"/>
    <mergeCell ref="E57:E58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topLeftCell="A44" workbookViewId="0">
      <selection activeCell="C65" sqref="C65"/>
    </sheetView>
  </sheetViews>
  <sheetFormatPr defaultRowHeight="15" x14ac:dyDescent="0.25"/>
  <cols>
    <col min="2" max="2" width="34.42578125" customWidth="1"/>
    <col min="3" max="3" width="12.42578125" customWidth="1"/>
    <col min="4" max="4" width="16.85546875" customWidth="1"/>
    <col min="5" max="5" width="51.140625" customWidth="1"/>
  </cols>
  <sheetData>
    <row r="1" spans="1:5" ht="23.25" thickBot="1" x14ac:dyDescent="0.5">
      <c r="A1" s="284" t="s">
        <v>120</v>
      </c>
      <c r="B1" s="285"/>
      <c r="C1" s="285"/>
      <c r="D1" s="285"/>
      <c r="E1" s="286"/>
    </row>
    <row r="2" spans="1:5" ht="23.25" thickBot="1" x14ac:dyDescent="0.5">
      <c r="A2" s="287" t="s">
        <v>30</v>
      </c>
      <c r="B2" s="288"/>
      <c r="C2" s="288"/>
      <c r="D2" s="288"/>
      <c r="E2" s="289"/>
    </row>
    <row r="3" spans="1:5" ht="25.5" thickBot="1" x14ac:dyDescent="0.3">
      <c r="A3" s="290" t="s">
        <v>0</v>
      </c>
      <c r="B3" s="291"/>
      <c r="C3" s="291"/>
      <c r="D3" s="291"/>
      <c r="E3" s="292"/>
    </row>
    <row r="4" spans="1:5" x14ac:dyDescent="0.25">
      <c r="A4" s="293" t="s">
        <v>32</v>
      </c>
      <c r="B4" s="294"/>
      <c r="C4" s="294"/>
      <c r="D4" s="294"/>
      <c r="E4" s="295"/>
    </row>
    <row r="5" spans="1:5" ht="15.75" thickBot="1" x14ac:dyDescent="0.3">
      <c r="A5" s="296"/>
      <c r="B5" s="297"/>
      <c r="C5" s="297"/>
      <c r="D5" s="297"/>
      <c r="E5" s="298"/>
    </row>
    <row r="6" spans="1:5" ht="15.75" x14ac:dyDescent="0.25">
      <c r="A6" s="2" t="s">
        <v>1</v>
      </c>
      <c r="B6" s="254" t="s">
        <v>5</v>
      </c>
      <c r="C6" s="270" t="s">
        <v>3</v>
      </c>
      <c r="D6" s="270" t="s">
        <v>4</v>
      </c>
      <c r="E6" s="256" t="s">
        <v>13</v>
      </c>
    </row>
    <row r="7" spans="1:5" ht="16.5" thickBot="1" x14ac:dyDescent="0.3">
      <c r="A7" s="15" t="s">
        <v>2</v>
      </c>
      <c r="B7" s="282"/>
      <c r="C7" s="271"/>
      <c r="D7" s="271"/>
      <c r="E7" s="283"/>
    </row>
    <row r="8" spans="1:5" ht="15.75" x14ac:dyDescent="0.25">
      <c r="A8" s="35">
        <v>1</v>
      </c>
      <c r="B8" s="16" t="s">
        <v>6</v>
      </c>
      <c r="C8" s="78">
        <v>159</v>
      </c>
      <c r="D8" s="78">
        <v>159</v>
      </c>
      <c r="E8" s="26"/>
    </row>
    <row r="9" spans="1:5" ht="15.75" x14ac:dyDescent="0.25">
      <c r="A9" s="32">
        <v>2</v>
      </c>
      <c r="B9" s="3" t="s">
        <v>7</v>
      </c>
      <c r="C9" s="79" t="s">
        <v>68</v>
      </c>
      <c r="D9" s="79">
        <v>159</v>
      </c>
      <c r="E9" s="27"/>
    </row>
    <row r="10" spans="1:5" ht="15.75" x14ac:dyDescent="0.25">
      <c r="A10" s="32">
        <v>3</v>
      </c>
      <c r="B10" s="3" t="s">
        <v>8</v>
      </c>
      <c r="C10" s="79">
        <v>152.72999999999999</v>
      </c>
      <c r="D10" s="79">
        <v>152.72999999999999</v>
      </c>
      <c r="E10" s="27"/>
    </row>
    <row r="11" spans="1:5" ht="15.75" x14ac:dyDescent="0.25">
      <c r="A11" s="32">
        <v>4</v>
      </c>
      <c r="B11" s="3" t="s">
        <v>9</v>
      </c>
      <c r="C11" s="79" t="s">
        <v>68</v>
      </c>
      <c r="D11" s="79">
        <v>152.72999999999999</v>
      </c>
      <c r="E11" s="27"/>
    </row>
    <row r="12" spans="1:5" ht="15.75" x14ac:dyDescent="0.25">
      <c r="A12" s="32">
        <v>5</v>
      </c>
      <c r="B12" s="3" t="s">
        <v>12</v>
      </c>
      <c r="C12" s="79" t="s">
        <v>124</v>
      </c>
      <c r="D12" s="79" t="s">
        <v>124</v>
      </c>
      <c r="E12" s="27"/>
    </row>
    <row r="13" spans="1:5" ht="15.75" x14ac:dyDescent="0.3">
      <c r="A13" s="58">
        <v>6</v>
      </c>
      <c r="B13" s="5" t="s">
        <v>45</v>
      </c>
      <c r="C13" s="39" t="s">
        <v>116</v>
      </c>
      <c r="D13" s="39" t="s">
        <v>116</v>
      </c>
      <c r="E13" s="27"/>
    </row>
    <row r="14" spans="1:5" ht="15.75" x14ac:dyDescent="0.3">
      <c r="A14" s="58">
        <v>7</v>
      </c>
      <c r="B14" s="5" t="s">
        <v>44</v>
      </c>
      <c r="C14" s="39" t="s">
        <v>116</v>
      </c>
      <c r="D14" s="39" t="s">
        <v>116</v>
      </c>
      <c r="E14" s="27"/>
    </row>
    <row r="15" spans="1:5" ht="15.75" x14ac:dyDescent="0.3">
      <c r="A15" s="58">
        <v>8</v>
      </c>
      <c r="B15" s="5" t="s">
        <v>10</v>
      </c>
      <c r="C15" s="39" t="s">
        <v>116</v>
      </c>
      <c r="D15" s="39" t="s">
        <v>117</v>
      </c>
      <c r="E15" s="27"/>
    </row>
    <row r="16" spans="1:5" ht="15.75" x14ac:dyDescent="0.3">
      <c r="A16" s="58">
        <v>9</v>
      </c>
      <c r="B16" s="5" t="s">
        <v>11</v>
      </c>
      <c r="C16" s="39" t="s">
        <v>116</v>
      </c>
      <c r="D16" s="39" t="s">
        <v>117</v>
      </c>
      <c r="E16" s="27"/>
    </row>
    <row r="17" spans="1:5" ht="15.75" x14ac:dyDescent="0.3">
      <c r="A17" s="58">
        <v>10</v>
      </c>
      <c r="B17" s="4" t="s">
        <v>12</v>
      </c>
      <c r="C17" s="39" t="s">
        <v>118</v>
      </c>
      <c r="D17" s="40" t="s">
        <v>118</v>
      </c>
      <c r="E17" s="27"/>
    </row>
    <row r="18" spans="1:5" x14ac:dyDescent="0.25">
      <c r="A18" s="248" t="s">
        <v>104</v>
      </c>
      <c r="B18" s="249"/>
      <c r="C18" s="249"/>
      <c r="D18" s="249"/>
      <c r="E18" s="250"/>
    </row>
    <row r="19" spans="1:5" ht="15.75" thickBot="1" x14ac:dyDescent="0.3">
      <c r="A19" s="251"/>
      <c r="B19" s="252"/>
      <c r="C19" s="252"/>
      <c r="D19" s="252"/>
      <c r="E19" s="253"/>
    </row>
    <row r="20" spans="1:5" ht="15.75" x14ac:dyDescent="0.25">
      <c r="A20" s="11" t="s">
        <v>1</v>
      </c>
      <c r="B20" s="275" t="s">
        <v>31</v>
      </c>
      <c r="C20" s="56" t="s">
        <v>34</v>
      </c>
      <c r="D20" s="41" t="s">
        <v>33</v>
      </c>
      <c r="E20" s="277" t="s">
        <v>13</v>
      </c>
    </row>
    <row r="21" spans="1:5" ht="16.5" thickBot="1" x14ac:dyDescent="0.3">
      <c r="A21" s="93" t="s">
        <v>2</v>
      </c>
      <c r="B21" s="276"/>
      <c r="C21" s="94" t="s">
        <v>35</v>
      </c>
      <c r="D21" s="95" t="s">
        <v>3</v>
      </c>
      <c r="E21" s="278"/>
    </row>
    <row r="22" spans="1:5" ht="15.75" x14ac:dyDescent="0.25">
      <c r="A22" s="96">
        <v>1</v>
      </c>
      <c r="B22" s="53" t="s">
        <v>80</v>
      </c>
      <c r="C22" s="119">
        <v>60</v>
      </c>
      <c r="D22" s="118">
        <v>104</v>
      </c>
      <c r="E22" s="26"/>
    </row>
    <row r="23" spans="1:5" ht="15.75" x14ac:dyDescent="0.25">
      <c r="A23" s="32">
        <v>2</v>
      </c>
      <c r="B23" s="105" t="s">
        <v>81</v>
      </c>
      <c r="C23" s="137">
        <v>32</v>
      </c>
      <c r="D23" s="138">
        <v>55</v>
      </c>
      <c r="E23" s="27"/>
    </row>
    <row r="24" spans="1:5" ht="16.5" thickBot="1" x14ac:dyDescent="0.3">
      <c r="A24" s="98">
        <v>3</v>
      </c>
      <c r="B24" s="99" t="s">
        <v>29</v>
      </c>
      <c r="C24" s="80">
        <v>92</v>
      </c>
      <c r="D24" s="100">
        <v>159</v>
      </c>
      <c r="E24" s="38"/>
    </row>
    <row r="25" spans="1:5" x14ac:dyDescent="0.25">
      <c r="A25" s="279" t="s">
        <v>105</v>
      </c>
      <c r="B25" s="280"/>
      <c r="C25" s="280"/>
      <c r="D25" s="280"/>
      <c r="E25" s="281"/>
    </row>
    <row r="26" spans="1:5" ht="15.75" thickBot="1" x14ac:dyDescent="0.3">
      <c r="A26" s="251"/>
      <c r="B26" s="252"/>
      <c r="C26" s="252"/>
      <c r="D26" s="252"/>
      <c r="E26" s="253"/>
    </row>
    <row r="27" spans="1:5" ht="15.75" x14ac:dyDescent="0.25">
      <c r="A27" s="2" t="s">
        <v>1</v>
      </c>
      <c r="B27" s="254" t="s">
        <v>5</v>
      </c>
      <c r="C27" s="18" t="s">
        <v>3</v>
      </c>
      <c r="D27" s="18" t="s">
        <v>4</v>
      </c>
      <c r="E27" s="256" t="s">
        <v>13</v>
      </c>
    </row>
    <row r="28" spans="1:5" ht="16.5" thickBot="1" x14ac:dyDescent="0.3">
      <c r="A28" s="15" t="s">
        <v>2</v>
      </c>
      <c r="B28" s="282"/>
      <c r="C28" s="19" t="s">
        <v>40</v>
      </c>
      <c r="D28" s="19" t="s">
        <v>40</v>
      </c>
      <c r="E28" s="283"/>
    </row>
    <row r="29" spans="1:5" ht="19.5" x14ac:dyDescent="0.4">
      <c r="A29" s="128">
        <v>1</v>
      </c>
      <c r="B29" s="135" t="s">
        <v>14</v>
      </c>
      <c r="C29" s="130">
        <v>22.3</v>
      </c>
      <c r="D29" s="131">
        <v>22.3</v>
      </c>
      <c r="E29" s="109"/>
    </row>
    <row r="30" spans="1:5" ht="20.25" thickBot="1" x14ac:dyDescent="0.45">
      <c r="A30" s="129">
        <v>2</v>
      </c>
      <c r="B30" s="136" t="s">
        <v>99</v>
      </c>
      <c r="C30" s="132">
        <v>1.3</v>
      </c>
      <c r="D30" s="133">
        <v>1.3</v>
      </c>
      <c r="E30" s="114"/>
    </row>
    <row r="31" spans="1:5" ht="16.5" x14ac:dyDescent="0.3">
      <c r="A31" s="35">
        <v>3</v>
      </c>
      <c r="B31" s="53" t="s">
        <v>15</v>
      </c>
      <c r="C31" s="120">
        <v>0.5</v>
      </c>
      <c r="D31" s="121">
        <v>0.5</v>
      </c>
      <c r="E31" s="141" t="s">
        <v>121</v>
      </c>
    </row>
    <row r="32" spans="1:5" ht="17.25" thickBot="1" x14ac:dyDescent="0.35">
      <c r="A32" s="32">
        <v>4</v>
      </c>
      <c r="B32" s="54" t="s">
        <v>16</v>
      </c>
      <c r="C32" s="122" t="s">
        <v>64</v>
      </c>
      <c r="D32" s="123" t="s">
        <v>63</v>
      </c>
      <c r="E32" s="142" t="s">
        <v>122</v>
      </c>
    </row>
    <row r="33" spans="1:5" ht="17.25" thickBot="1" x14ac:dyDescent="0.35">
      <c r="A33" s="32">
        <v>5</v>
      </c>
      <c r="B33" s="54" t="s">
        <v>17</v>
      </c>
      <c r="C33" s="124" t="s">
        <v>116</v>
      </c>
      <c r="D33" s="123" t="s">
        <v>115</v>
      </c>
      <c r="E33" s="143"/>
    </row>
    <row r="34" spans="1:5" ht="17.25" thickBot="1" x14ac:dyDescent="0.35">
      <c r="A34" s="32">
        <v>6</v>
      </c>
      <c r="B34" s="54" t="s">
        <v>18</v>
      </c>
      <c r="C34" s="122" t="s">
        <v>64</v>
      </c>
      <c r="D34" s="123" t="s">
        <v>64</v>
      </c>
      <c r="E34" s="127" t="s">
        <v>123</v>
      </c>
    </row>
    <row r="35" spans="1:5" ht="16.5" x14ac:dyDescent="0.3">
      <c r="A35" s="32">
        <v>7</v>
      </c>
      <c r="B35" s="54" t="s">
        <v>19</v>
      </c>
      <c r="C35" s="122" t="s">
        <v>64</v>
      </c>
      <c r="D35" s="123" t="s">
        <v>115</v>
      </c>
      <c r="E35" s="144"/>
    </row>
    <row r="36" spans="1:5" ht="16.5" x14ac:dyDescent="0.3">
      <c r="A36" s="32">
        <v>8</v>
      </c>
      <c r="B36" s="54" t="s">
        <v>20</v>
      </c>
      <c r="C36" s="124">
        <v>0.4</v>
      </c>
      <c r="D36" s="123">
        <v>0.4</v>
      </c>
      <c r="E36" s="140"/>
    </row>
    <row r="37" spans="1:5" ht="16.5" x14ac:dyDescent="0.3">
      <c r="A37" s="32">
        <v>9</v>
      </c>
      <c r="B37" s="54" t="s">
        <v>21</v>
      </c>
      <c r="C37" s="122" t="s">
        <v>64</v>
      </c>
      <c r="D37" s="123" t="s">
        <v>116</v>
      </c>
      <c r="E37" s="140"/>
    </row>
    <row r="38" spans="1:5" ht="17.25" thickBot="1" x14ac:dyDescent="0.35">
      <c r="A38" s="37">
        <v>10</v>
      </c>
      <c r="B38" s="55" t="s">
        <v>22</v>
      </c>
      <c r="C38" s="126" t="s">
        <v>98</v>
      </c>
      <c r="D38" s="139" t="s">
        <v>115</v>
      </c>
      <c r="E38" s="140"/>
    </row>
    <row r="39" spans="1:5" x14ac:dyDescent="0.25">
      <c r="A39" s="262" t="s">
        <v>77</v>
      </c>
      <c r="B39" s="263"/>
      <c r="C39" s="263"/>
      <c r="D39" s="263"/>
      <c r="E39" s="264"/>
    </row>
    <row r="40" spans="1:5" ht="15.75" thickBot="1" x14ac:dyDescent="0.3">
      <c r="A40" s="265"/>
      <c r="B40" s="266"/>
      <c r="C40" s="266"/>
      <c r="D40" s="266"/>
      <c r="E40" s="267"/>
    </row>
    <row r="41" spans="1:5" ht="15.75" x14ac:dyDescent="0.25">
      <c r="A41" s="9" t="s">
        <v>1</v>
      </c>
      <c r="B41" s="268" t="s">
        <v>27</v>
      </c>
      <c r="C41" s="270" t="s">
        <v>3</v>
      </c>
      <c r="D41" s="270" t="s">
        <v>4</v>
      </c>
      <c r="E41" s="272" t="s">
        <v>28</v>
      </c>
    </row>
    <row r="42" spans="1:5" ht="16.5" thickBot="1" x14ac:dyDescent="0.3">
      <c r="A42" s="17" t="s">
        <v>2</v>
      </c>
      <c r="B42" s="269"/>
      <c r="C42" s="271"/>
      <c r="D42" s="271"/>
      <c r="E42" s="273"/>
    </row>
    <row r="43" spans="1:5" x14ac:dyDescent="0.25">
      <c r="A43" s="35">
        <v>1</v>
      </c>
      <c r="B43" s="53" t="s">
        <v>58</v>
      </c>
      <c r="C43" s="47" t="s">
        <v>57</v>
      </c>
      <c r="D43" s="49" t="s">
        <v>57</v>
      </c>
      <c r="E43" s="26"/>
    </row>
    <row r="44" spans="1:5" x14ac:dyDescent="0.25">
      <c r="A44" s="32">
        <v>2</v>
      </c>
      <c r="B44" s="54" t="s">
        <v>59</v>
      </c>
      <c r="C44" s="48">
        <v>177</v>
      </c>
      <c r="D44" s="48">
        <v>177</v>
      </c>
      <c r="E44" s="27"/>
    </row>
    <row r="45" spans="1:5" x14ac:dyDescent="0.25">
      <c r="A45" s="32">
        <v>3</v>
      </c>
      <c r="B45" s="54" t="s">
        <v>60</v>
      </c>
      <c r="C45" s="48">
        <v>177</v>
      </c>
      <c r="D45" s="48">
        <v>177</v>
      </c>
      <c r="E45" s="27"/>
    </row>
    <row r="46" spans="1:5" ht="19.5" thickBot="1" x14ac:dyDescent="0.45">
      <c r="A46" s="28" t="s">
        <v>78</v>
      </c>
      <c r="E46" s="24"/>
    </row>
    <row r="47" spans="1:5" ht="15.75" x14ac:dyDescent="0.25">
      <c r="A47" s="9" t="s">
        <v>1</v>
      </c>
      <c r="B47" s="254" t="s">
        <v>5</v>
      </c>
      <c r="C47" s="270" t="s">
        <v>3</v>
      </c>
      <c r="D47" s="256" t="s">
        <v>4</v>
      </c>
      <c r="E47" s="60" t="s">
        <v>61</v>
      </c>
    </row>
    <row r="48" spans="1:5" ht="15.75" x14ac:dyDescent="0.25">
      <c r="A48" s="1" t="s">
        <v>2</v>
      </c>
      <c r="B48" s="255"/>
      <c r="C48" s="274"/>
      <c r="D48" s="257"/>
      <c r="E48" s="61" t="s">
        <v>42</v>
      </c>
    </row>
    <row r="49" spans="1:5" x14ac:dyDescent="0.25">
      <c r="A49" s="29">
        <v>1</v>
      </c>
      <c r="B49" s="20" t="s">
        <v>43</v>
      </c>
      <c r="C49" s="50">
        <v>15.12</v>
      </c>
      <c r="D49" s="50">
        <v>15.12</v>
      </c>
      <c r="E49" s="51">
        <v>10.51</v>
      </c>
    </row>
    <row r="50" spans="1:5" x14ac:dyDescent="0.25">
      <c r="A50" s="248" t="s">
        <v>73</v>
      </c>
      <c r="B50" s="249"/>
      <c r="C50" s="249"/>
      <c r="D50" s="249"/>
      <c r="E50" s="250"/>
    </row>
    <row r="51" spans="1:5" ht="15.75" thickBot="1" x14ac:dyDescent="0.3">
      <c r="A51" s="251"/>
      <c r="B51" s="252"/>
      <c r="C51" s="252"/>
      <c r="D51" s="252"/>
      <c r="E51" s="253"/>
    </row>
    <row r="52" spans="1:5" ht="15.75" x14ac:dyDescent="0.25">
      <c r="A52" s="2" t="s">
        <v>1</v>
      </c>
      <c r="B52" s="254" t="s">
        <v>5</v>
      </c>
      <c r="C52" s="18" t="s">
        <v>3</v>
      </c>
      <c r="D52" s="18" t="s">
        <v>4</v>
      </c>
      <c r="E52" s="256" t="s">
        <v>13</v>
      </c>
    </row>
    <row r="53" spans="1:5" ht="15.75" x14ac:dyDescent="0.25">
      <c r="A53" s="21" t="s">
        <v>2</v>
      </c>
      <c r="B53" s="255"/>
      <c r="C53" s="22" t="s">
        <v>46</v>
      </c>
      <c r="D53" s="22" t="s">
        <v>46</v>
      </c>
      <c r="E53" s="257"/>
    </row>
    <row r="54" spans="1:5" ht="15.75" x14ac:dyDescent="0.25">
      <c r="A54" s="32">
        <v>1</v>
      </c>
      <c r="B54" s="54" t="s">
        <v>125</v>
      </c>
      <c r="C54" s="76">
        <v>37396</v>
      </c>
      <c r="D54" s="76">
        <v>37396</v>
      </c>
      <c r="E54" s="75" t="s">
        <v>114</v>
      </c>
    </row>
    <row r="55" spans="1:5" ht="15.75" x14ac:dyDescent="0.25">
      <c r="A55" s="32">
        <v>2</v>
      </c>
      <c r="B55" s="54" t="s">
        <v>47</v>
      </c>
      <c r="C55" s="76">
        <v>235.19</v>
      </c>
      <c r="D55" s="76">
        <v>235.19</v>
      </c>
      <c r="E55" s="27"/>
    </row>
    <row r="56" spans="1:5" ht="20.25" thickBot="1" x14ac:dyDescent="0.45">
      <c r="A56" s="25" t="s">
        <v>48</v>
      </c>
      <c r="B56" s="36"/>
      <c r="E56" s="24"/>
    </row>
    <row r="57" spans="1:5" ht="15.75" x14ac:dyDescent="0.25">
      <c r="A57" s="2" t="s">
        <v>1</v>
      </c>
      <c r="B57" s="254" t="s">
        <v>5</v>
      </c>
      <c r="C57" s="270" t="s">
        <v>3</v>
      </c>
      <c r="D57" s="270" t="s">
        <v>4</v>
      </c>
      <c r="E57" s="256" t="s">
        <v>13</v>
      </c>
    </row>
    <row r="58" spans="1:5" ht="15.75" x14ac:dyDescent="0.25">
      <c r="A58" s="21" t="s">
        <v>2</v>
      </c>
      <c r="B58" s="255"/>
      <c r="C58" s="274"/>
      <c r="D58" s="274"/>
      <c r="E58" s="257"/>
    </row>
    <row r="59" spans="1:5" ht="15.75" x14ac:dyDescent="0.25">
      <c r="A59" s="32">
        <v>1</v>
      </c>
      <c r="B59" s="3" t="s">
        <v>49</v>
      </c>
      <c r="C59" s="76">
        <v>221</v>
      </c>
      <c r="D59" s="76">
        <v>221</v>
      </c>
      <c r="E59" s="27"/>
    </row>
    <row r="60" spans="1:5" ht="15.75" x14ac:dyDescent="0.25">
      <c r="A60" s="32">
        <v>2</v>
      </c>
      <c r="B60" s="3" t="s">
        <v>52</v>
      </c>
      <c r="C60" s="76">
        <v>1.389</v>
      </c>
      <c r="D60" s="76">
        <v>1.389</v>
      </c>
      <c r="E60" s="27"/>
    </row>
    <row r="61" spans="1:5" ht="15.75" x14ac:dyDescent="0.25">
      <c r="A61" s="32">
        <v>3</v>
      </c>
      <c r="B61" s="3" t="s">
        <v>50</v>
      </c>
      <c r="C61" s="76">
        <v>63</v>
      </c>
      <c r="D61" s="76">
        <v>63</v>
      </c>
      <c r="E61" s="27"/>
    </row>
    <row r="62" spans="1:5" ht="15.75" x14ac:dyDescent="0.25">
      <c r="A62" s="32">
        <v>4</v>
      </c>
      <c r="B62" s="3" t="s">
        <v>53</v>
      </c>
      <c r="C62" s="76">
        <v>0.39600000000000002</v>
      </c>
      <c r="D62" s="89">
        <v>0.39600000000000002</v>
      </c>
      <c r="E62" s="27"/>
    </row>
    <row r="63" spans="1:5" ht="15.75" x14ac:dyDescent="0.25">
      <c r="A63" s="32">
        <v>5</v>
      </c>
      <c r="B63" s="3" t="s">
        <v>51</v>
      </c>
      <c r="C63" s="76">
        <v>36.1</v>
      </c>
      <c r="D63" s="76">
        <v>36.1</v>
      </c>
      <c r="E63" s="27"/>
    </row>
    <row r="64" spans="1:5" ht="15.75" x14ac:dyDescent="0.25">
      <c r="A64" s="32">
        <v>6</v>
      </c>
      <c r="B64" s="3" t="s">
        <v>54</v>
      </c>
      <c r="C64" s="76">
        <v>0.22700000000000001</v>
      </c>
      <c r="D64" s="76">
        <v>0.22700000000000001</v>
      </c>
      <c r="E64" s="27"/>
    </row>
    <row r="65" spans="1:5" ht="15.75" x14ac:dyDescent="0.25">
      <c r="A65" s="32">
        <v>7</v>
      </c>
      <c r="B65" s="3" t="s">
        <v>55</v>
      </c>
      <c r="C65" s="89">
        <v>45.841000000000001</v>
      </c>
      <c r="D65" s="76">
        <v>45.841000000000001</v>
      </c>
      <c r="E65" s="27"/>
    </row>
    <row r="66" spans="1:5" ht="16.5" thickBot="1" x14ac:dyDescent="0.3">
      <c r="A66" s="37">
        <v>8</v>
      </c>
      <c r="B66" s="52" t="s">
        <v>56</v>
      </c>
      <c r="C66" s="77">
        <v>0.28799999999999998</v>
      </c>
      <c r="D66" s="77">
        <v>0.28799999999999998</v>
      </c>
      <c r="E66" s="38"/>
    </row>
  </sheetData>
  <mergeCells count="29">
    <mergeCell ref="A1:E1"/>
    <mergeCell ref="A50:E51"/>
    <mergeCell ref="B52:B53"/>
    <mergeCell ref="E52:E53"/>
    <mergeCell ref="B57:B58"/>
    <mergeCell ref="C57:C58"/>
    <mergeCell ref="D57:D58"/>
    <mergeCell ref="E57:E58"/>
    <mergeCell ref="A39:E40"/>
    <mergeCell ref="B41:B42"/>
    <mergeCell ref="C41:C42"/>
    <mergeCell ref="D41:D42"/>
    <mergeCell ref="E41:E42"/>
    <mergeCell ref="B47:B48"/>
    <mergeCell ref="C47:C48"/>
    <mergeCell ref="D47:D48"/>
    <mergeCell ref="A18:E19"/>
    <mergeCell ref="B20:B21"/>
    <mergeCell ref="E20:E21"/>
    <mergeCell ref="A25:E26"/>
    <mergeCell ref="B27:B28"/>
    <mergeCell ref="E27:E28"/>
    <mergeCell ref="A2:E2"/>
    <mergeCell ref="A3:E3"/>
    <mergeCell ref="A4:E5"/>
    <mergeCell ref="B6:B7"/>
    <mergeCell ref="C6:C7"/>
    <mergeCell ref="D6:D7"/>
    <mergeCell ref="E6:E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6"/>
  <sheetViews>
    <sheetView topLeftCell="A43" workbookViewId="0">
      <selection activeCell="C65" sqref="C65"/>
    </sheetView>
  </sheetViews>
  <sheetFormatPr defaultRowHeight="15" x14ac:dyDescent="0.25"/>
  <cols>
    <col min="1" max="1" width="7.7109375" customWidth="1"/>
    <col min="2" max="2" width="36.7109375" customWidth="1"/>
    <col min="3" max="3" width="10.7109375" customWidth="1"/>
    <col min="4" max="4" width="16.5703125" customWidth="1"/>
    <col min="5" max="5" width="53" customWidth="1"/>
  </cols>
  <sheetData>
    <row r="1" spans="1:5" ht="21.75" customHeight="1" thickBot="1" x14ac:dyDescent="0.5">
      <c r="A1" s="284" t="s">
        <v>126</v>
      </c>
      <c r="B1" s="285"/>
      <c r="C1" s="285"/>
      <c r="D1" s="285"/>
      <c r="E1" s="286"/>
    </row>
    <row r="2" spans="1:5" ht="21" customHeight="1" thickBot="1" x14ac:dyDescent="0.5">
      <c r="A2" s="287" t="s">
        <v>30</v>
      </c>
      <c r="B2" s="288"/>
      <c r="C2" s="288"/>
      <c r="D2" s="288"/>
      <c r="E2" s="289"/>
    </row>
    <row r="3" spans="1:5" ht="21.75" customHeight="1" thickBot="1" x14ac:dyDescent="0.3">
      <c r="A3" s="290" t="s">
        <v>0</v>
      </c>
      <c r="B3" s="291"/>
      <c r="C3" s="291"/>
      <c r="D3" s="291"/>
      <c r="E3" s="292"/>
    </row>
    <row r="4" spans="1:5" x14ac:dyDescent="0.25">
      <c r="A4" s="293" t="s">
        <v>32</v>
      </c>
      <c r="B4" s="294"/>
      <c r="C4" s="294"/>
      <c r="D4" s="294"/>
      <c r="E4" s="295"/>
    </row>
    <row r="5" spans="1:5" ht="15.75" thickBot="1" x14ac:dyDescent="0.3">
      <c r="A5" s="296"/>
      <c r="B5" s="297"/>
      <c r="C5" s="297"/>
      <c r="D5" s="297"/>
      <c r="E5" s="298"/>
    </row>
    <row r="6" spans="1:5" ht="15.75" x14ac:dyDescent="0.25">
      <c r="A6" s="2" t="s">
        <v>1</v>
      </c>
      <c r="B6" s="254" t="s">
        <v>5</v>
      </c>
      <c r="C6" s="270" t="s">
        <v>3</v>
      </c>
      <c r="D6" s="270" t="s">
        <v>4</v>
      </c>
      <c r="E6" s="256" t="s">
        <v>13</v>
      </c>
    </row>
    <row r="7" spans="1:5" ht="16.5" thickBot="1" x14ac:dyDescent="0.3">
      <c r="A7" s="15" t="s">
        <v>2</v>
      </c>
      <c r="B7" s="282"/>
      <c r="C7" s="271"/>
      <c r="D7" s="271"/>
      <c r="E7" s="283"/>
    </row>
    <row r="8" spans="1:5" ht="15.75" x14ac:dyDescent="0.25">
      <c r="A8" s="35">
        <v>1</v>
      </c>
      <c r="B8" s="16" t="s">
        <v>6</v>
      </c>
      <c r="C8" s="78">
        <v>149</v>
      </c>
      <c r="D8" s="78">
        <v>308</v>
      </c>
      <c r="E8" s="26"/>
    </row>
    <row r="9" spans="1:5" ht="15.75" x14ac:dyDescent="0.25">
      <c r="A9" s="32">
        <v>2</v>
      </c>
      <c r="B9" s="3" t="s">
        <v>7</v>
      </c>
      <c r="C9" s="79" t="s">
        <v>68</v>
      </c>
      <c r="D9" s="79">
        <v>154</v>
      </c>
      <c r="E9" s="27"/>
    </row>
    <row r="10" spans="1:5" ht="15.75" x14ac:dyDescent="0.25">
      <c r="A10" s="32">
        <v>3</v>
      </c>
      <c r="B10" s="3" t="s">
        <v>8</v>
      </c>
      <c r="C10" s="79">
        <v>159.36000000000001</v>
      </c>
      <c r="D10" s="79">
        <v>312.08999999999997</v>
      </c>
      <c r="E10" s="27"/>
    </row>
    <row r="11" spans="1:5" ht="15.75" x14ac:dyDescent="0.25">
      <c r="A11" s="32">
        <v>4</v>
      </c>
      <c r="B11" s="3" t="s">
        <v>9</v>
      </c>
      <c r="C11" s="79" t="s">
        <v>68</v>
      </c>
      <c r="D11" s="79">
        <v>156.04499999999999</v>
      </c>
      <c r="E11" s="27"/>
    </row>
    <row r="12" spans="1:5" ht="15.75" x14ac:dyDescent="0.25">
      <c r="A12" s="32">
        <v>5</v>
      </c>
      <c r="B12" s="3" t="s">
        <v>12</v>
      </c>
      <c r="C12" s="79" t="s">
        <v>133</v>
      </c>
      <c r="D12" s="79" t="s">
        <v>134</v>
      </c>
      <c r="E12" s="27"/>
    </row>
    <row r="13" spans="1:5" ht="15.75" x14ac:dyDescent="0.3">
      <c r="A13" s="58">
        <v>6</v>
      </c>
      <c r="B13" s="5" t="s">
        <v>45</v>
      </c>
      <c r="C13" s="39" t="s">
        <v>116</v>
      </c>
      <c r="D13" s="39" t="s">
        <v>116</v>
      </c>
      <c r="E13" s="27"/>
    </row>
    <row r="14" spans="1:5" ht="15.75" x14ac:dyDescent="0.3">
      <c r="A14" s="58">
        <v>7</v>
      </c>
      <c r="B14" s="5" t="s">
        <v>44</v>
      </c>
      <c r="C14" s="39" t="s">
        <v>116</v>
      </c>
      <c r="D14" s="39" t="s">
        <v>116</v>
      </c>
      <c r="E14" s="27"/>
    </row>
    <row r="15" spans="1:5" ht="15.75" x14ac:dyDescent="0.3">
      <c r="A15" s="58">
        <v>8</v>
      </c>
      <c r="B15" s="5" t="s">
        <v>10</v>
      </c>
      <c r="C15" s="39" t="s">
        <v>116</v>
      </c>
      <c r="D15" s="39" t="s">
        <v>117</v>
      </c>
      <c r="E15" s="27"/>
    </row>
    <row r="16" spans="1:5" ht="15.75" x14ac:dyDescent="0.3">
      <c r="A16" s="58">
        <v>9</v>
      </c>
      <c r="B16" s="5" t="s">
        <v>11</v>
      </c>
      <c r="C16" s="39" t="s">
        <v>116</v>
      </c>
      <c r="D16" s="39" t="s">
        <v>117</v>
      </c>
      <c r="E16" s="27"/>
    </row>
    <row r="17" spans="1:5" ht="15.75" x14ac:dyDescent="0.3">
      <c r="A17" s="58">
        <v>10</v>
      </c>
      <c r="B17" s="4" t="s">
        <v>12</v>
      </c>
      <c r="C17" s="39" t="s">
        <v>118</v>
      </c>
      <c r="D17" s="40" t="s">
        <v>118</v>
      </c>
      <c r="E17" s="27"/>
    </row>
    <row r="18" spans="1:5" ht="12.75" customHeight="1" x14ac:dyDescent="0.25">
      <c r="A18" s="248" t="s">
        <v>104</v>
      </c>
      <c r="B18" s="249"/>
      <c r="C18" s="249"/>
      <c r="D18" s="249"/>
      <c r="E18" s="250"/>
    </row>
    <row r="19" spans="1:5" ht="11.25" customHeight="1" thickBot="1" x14ac:dyDescent="0.3">
      <c r="A19" s="251"/>
      <c r="B19" s="252"/>
      <c r="C19" s="252"/>
      <c r="D19" s="252"/>
      <c r="E19" s="253"/>
    </row>
    <row r="20" spans="1:5" ht="15.75" x14ac:dyDescent="0.25">
      <c r="A20" s="11" t="s">
        <v>1</v>
      </c>
      <c r="B20" s="275" t="s">
        <v>31</v>
      </c>
      <c r="C20" s="56" t="s">
        <v>34</v>
      </c>
      <c r="D20" s="41" t="s">
        <v>33</v>
      </c>
      <c r="E20" s="277" t="s">
        <v>13</v>
      </c>
    </row>
    <row r="21" spans="1:5" ht="16.5" thickBot="1" x14ac:dyDescent="0.3">
      <c r="A21" s="93" t="s">
        <v>2</v>
      </c>
      <c r="B21" s="276"/>
      <c r="C21" s="94" t="s">
        <v>35</v>
      </c>
      <c r="D21" s="95" t="s">
        <v>3</v>
      </c>
      <c r="E21" s="278"/>
    </row>
    <row r="22" spans="1:5" ht="15.75" x14ac:dyDescent="0.25">
      <c r="A22" s="96">
        <v>1</v>
      </c>
      <c r="B22" s="53" t="s">
        <v>80</v>
      </c>
      <c r="C22" s="119">
        <v>70</v>
      </c>
      <c r="D22" s="118">
        <v>118.5</v>
      </c>
      <c r="E22" s="26"/>
    </row>
    <row r="23" spans="1:5" ht="15.75" x14ac:dyDescent="0.25">
      <c r="A23" s="32">
        <v>2</v>
      </c>
      <c r="B23" s="105" t="s">
        <v>127</v>
      </c>
      <c r="C23" s="137">
        <v>18</v>
      </c>
      <c r="D23" s="138">
        <v>30.5</v>
      </c>
      <c r="E23" s="27"/>
    </row>
    <row r="24" spans="1:5" ht="16.5" thickBot="1" x14ac:dyDescent="0.3">
      <c r="A24" s="98">
        <v>3</v>
      </c>
      <c r="B24" s="99" t="s">
        <v>29</v>
      </c>
      <c r="C24" s="80">
        <v>88</v>
      </c>
      <c r="D24" s="100">
        <v>149</v>
      </c>
      <c r="E24" s="38"/>
    </row>
    <row r="25" spans="1:5" ht="12.75" customHeight="1" x14ac:dyDescent="0.25">
      <c r="A25" s="279" t="s">
        <v>105</v>
      </c>
      <c r="B25" s="280"/>
      <c r="C25" s="280"/>
      <c r="D25" s="280"/>
      <c r="E25" s="281"/>
    </row>
    <row r="26" spans="1:5" ht="13.5" customHeight="1" thickBot="1" x14ac:dyDescent="0.3">
      <c r="A26" s="251"/>
      <c r="B26" s="252"/>
      <c r="C26" s="252"/>
      <c r="D26" s="252"/>
      <c r="E26" s="253"/>
    </row>
    <row r="27" spans="1:5" ht="15.75" x14ac:dyDescent="0.25">
      <c r="A27" s="2" t="s">
        <v>1</v>
      </c>
      <c r="B27" s="254" t="s">
        <v>5</v>
      </c>
      <c r="C27" s="18" t="s">
        <v>3</v>
      </c>
      <c r="D27" s="18" t="s">
        <v>4</v>
      </c>
      <c r="E27" s="256" t="s">
        <v>13</v>
      </c>
    </row>
    <row r="28" spans="1:5" ht="16.5" thickBot="1" x14ac:dyDescent="0.3">
      <c r="A28" s="15" t="s">
        <v>2</v>
      </c>
      <c r="B28" s="282"/>
      <c r="C28" s="19" t="s">
        <v>40</v>
      </c>
      <c r="D28" s="19" t="s">
        <v>40</v>
      </c>
      <c r="E28" s="323"/>
    </row>
    <row r="29" spans="1:5" ht="19.5" x14ac:dyDescent="0.4">
      <c r="A29" s="128">
        <v>1</v>
      </c>
      <c r="B29" s="135" t="s">
        <v>14</v>
      </c>
      <c r="C29" s="130">
        <v>19.5</v>
      </c>
      <c r="D29" s="146">
        <v>42.2</v>
      </c>
      <c r="E29" s="27"/>
    </row>
    <row r="30" spans="1:5" ht="20.25" thickBot="1" x14ac:dyDescent="0.45">
      <c r="A30" s="129">
        <v>2</v>
      </c>
      <c r="B30" s="136" t="s">
        <v>99</v>
      </c>
      <c r="C30" s="132">
        <v>4.0999999999999996</v>
      </c>
      <c r="D30" s="145">
        <v>5.4</v>
      </c>
      <c r="E30" s="31"/>
    </row>
    <row r="31" spans="1:5" ht="16.5" x14ac:dyDescent="0.3">
      <c r="A31" s="35">
        <v>3</v>
      </c>
      <c r="B31" s="53" t="s">
        <v>15</v>
      </c>
      <c r="C31" s="120">
        <v>2</v>
      </c>
      <c r="D31" s="121">
        <v>2.5</v>
      </c>
      <c r="E31" s="141" t="s">
        <v>128</v>
      </c>
    </row>
    <row r="32" spans="1:5" ht="17.25" thickBot="1" x14ac:dyDescent="0.35">
      <c r="A32" s="32">
        <v>4</v>
      </c>
      <c r="B32" s="54" t="s">
        <v>16</v>
      </c>
      <c r="C32" s="122" t="s">
        <v>64</v>
      </c>
      <c r="D32" s="123" t="s">
        <v>63</v>
      </c>
      <c r="E32" s="142" t="s">
        <v>129</v>
      </c>
    </row>
    <row r="33" spans="1:5" ht="17.25" thickBot="1" x14ac:dyDescent="0.35">
      <c r="A33" s="32">
        <v>5</v>
      </c>
      <c r="B33" s="54" t="s">
        <v>17</v>
      </c>
      <c r="C33" s="124">
        <v>1.4</v>
      </c>
      <c r="D33" s="123">
        <v>1.4</v>
      </c>
      <c r="E33" s="147"/>
    </row>
    <row r="34" spans="1:5" ht="17.25" thickBot="1" x14ac:dyDescent="0.35">
      <c r="A34" s="32">
        <v>6</v>
      </c>
      <c r="B34" s="54" t="s">
        <v>18</v>
      </c>
      <c r="C34" s="122" t="s">
        <v>64</v>
      </c>
      <c r="D34" s="123" t="s">
        <v>64</v>
      </c>
      <c r="E34" s="127" t="s">
        <v>130</v>
      </c>
    </row>
    <row r="35" spans="1:5" ht="16.5" x14ac:dyDescent="0.3">
      <c r="A35" s="32">
        <v>7</v>
      </c>
      <c r="B35" s="54" t="s">
        <v>19</v>
      </c>
      <c r="C35" s="122" t="s">
        <v>64</v>
      </c>
      <c r="D35" s="123" t="s">
        <v>115</v>
      </c>
      <c r="E35" s="148"/>
    </row>
    <row r="36" spans="1:5" ht="17.25" thickBot="1" x14ac:dyDescent="0.35">
      <c r="A36" s="32">
        <v>8</v>
      </c>
      <c r="B36" s="54" t="s">
        <v>20</v>
      </c>
      <c r="C36" s="124">
        <v>0.3</v>
      </c>
      <c r="D36" s="123">
        <v>1.1000000000000001</v>
      </c>
      <c r="E36" s="149"/>
    </row>
    <row r="37" spans="1:5" ht="16.5" x14ac:dyDescent="0.3">
      <c r="A37" s="32">
        <v>9</v>
      </c>
      <c r="B37" s="54" t="s">
        <v>21</v>
      </c>
      <c r="C37" s="122" t="s">
        <v>64</v>
      </c>
      <c r="D37" s="123" t="s">
        <v>116</v>
      </c>
      <c r="E37" s="141" t="s">
        <v>131</v>
      </c>
    </row>
    <row r="38" spans="1:5" ht="17.25" thickBot="1" x14ac:dyDescent="0.35">
      <c r="A38" s="37">
        <v>10</v>
      </c>
      <c r="B38" s="55" t="s">
        <v>22</v>
      </c>
      <c r="C38" s="126" t="s">
        <v>98</v>
      </c>
      <c r="D38" s="139" t="s">
        <v>115</v>
      </c>
      <c r="E38" s="142" t="s">
        <v>132</v>
      </c>
    </row>
    <row r="39" spans="1:5" x14ac:dyDescent="0.25">
      <c r="A39" s="262" t="s">
        <v>77</v>
      </c>
      <c r="B39" s="263"/>
      <c r="C39" s="263"/>
      <c r="D39" s="263"/>
      <c r="E39" s="264"/>
    </row>
    <row r="40" spans="1:5" ht="15.75" thickBot="1" x14ac:dyDescent="0.3">
      <c r="A40" s="265"/>
      <c r="B40" s="266"/>
      <c r="C40" s="266"/>
      <c r="D40" s="266"/>
      <c r="E40" s="267"/>
    </row>
    <row r="41" spans="1:5" ht="15.75" x14ac:dyDescent="0.25">
      <c r="A41" s="9" t="s">
        <v>1</v>
      </c>
      <c r="B41" s="268" t="s">
        <v>27</v>
      </c>
      <c r="C41" s="270" t="s">
        <v>3</v>
      </c>
      <c r="D41" s="270" t="s">
        <v>4</v>
      </c>
      <c r="E41" s="272" t="s">
        <v>28</v>
      </c>
    </row>
    <row r="42" spans="1:5" ht="16.5" thickBot="1" x14ac:dyDescent="0.3">
      <c r="A42" s="17" t="s">
        <v>2</v>
      </c>
      <c r="B42" s="269"/>
      <c r="C42" s="271"/>
      <c r="D42" s="271"/>
      <c r="E42" s="273"/>
    </row>
    <row r="43" spans="1:5" x14ac:dyDescent="0.25">
      <c r="A43" s="35">
        <v>1</v>
      </c>
      <c r="B43" s="53" t="s">
        <v>58</v>
      </c>
      <c r="C43" s="47" t="s">
        <v>57</v>
      </c>
      <c r="D43" s="49" t="s">
        <v>57</v>
      </c>
      <c r="E43" s="26"/>
    </row>
    <row r="44" spans="1:5" x14ac:dyDescent="0.25">
      <c r="A44" s="32">
        <v>2</v>
      </c>
      <c r="B44" s="54" t="s">
        <v>59</v>
      </c>
      <c r="C44" s="48">
        <v>165</v>
      </c>
      <c r="D44" s="48">
        <v>342</v>
      </c>
      <c r="E44" s="27"/>
    </row>
    <row r="45" spans="1:5" x14ac:dyDescent="0.25">
      <c r="A45" s="32">
        <v>3</v>
      </c>
      <c r="B45" s="54" t="s">
        <v>60</v>
      </c>
      <c r="C45" s="48">
        <v>165</v>
      </c>
      <c r="D45" s="48">
        <v>342</v>
      </c>
      <c r="E45" s="27"/>
    </row>
    <row r="46" spans="1:5" ht="19.5" thickBot="1" x14ac:dyDescent="0.45">
      <c r="A46" s="28" t="s">
        <v>78</v>
      </c>
      <c r="E46" s="24"/>
    </row>
    <row r="47" spans="1:5" ht="15.75" x14ac:dyDescent="0.25">
      <c r="A47" s="9" t="s">
        <v>1</v>
      </c>
      <c r="B47" s="254" t="s">
        <v>5</v>
      </c>
      <c r="C47" s="270" t="s">
        <v>3</v>
      </c>
      <c r="D47" s="256" t="s">
        <v>4</v>
      </c>
      <c r="E47" s="60" t="s">
        <v>61</v>
      </c>
    </row>
    <row r="48" spans="1:5" ht="15.75" x14ac:dyDescent="0.25">
      <c r="A48" s="1" t="s">
        <v>2</v>
      </c>
      <c r="B48" s="255"/>
      <c r="C48" s="274"/>
      <c r="D48" s="257"/>
      <c r="E48" s="61" t="s">
        <v>42</v>
      </c>
    </row>
    <row r="49" spans="1:9" x14ac:dyDescent="0.25">
      <c r="A49" s="29">
        <v>1</v>
      </c>
      <c r="B49" s="20" t="s">
        <v>43</v>
      </c>
      <c r="C49" s="50">
        <v>14.54</v>
      </c>
      <c r="D49" s="50">
        <v>30.06</v>
      </c>
      <c r="E49" s="51">
        <v>10.24</v>
      </c>
    </row>
    <row r="50" spans="1:9" ht="12" customHeight="1" x14ac:dyDescent="0.25">
      <c r="A50" s="248" t="s">
        <v>73</v>
      </c>
      <c r="B50" s="249"/>
      <c r="C50" s="249"/>
      <c r="D50" s="249"/>
      <c r="E50" s="250"/>
    </row>
    <row r="51" spans="1:9" ht="12" customHeight="1" thickBot="1" x14ac:dyDescent="0.3">
      <c r="A51" s="251"/>
      <c r="B51" s="252"/>
      <c r="C51" s="252"/>
      <c r="D51" s="252"/>
      <c r="E51" s="253"/>
    </row>
    <row r="52" spans="1:9" ht="15.75" x14ac:dyDescent="0.25">
      <c r="A52" s="2" t="s">
        <v>1</v>
      </c>
      <c r="B52" s="254" t="s">
        <v>5</v>
      </c>
      <c r="C52" s="18" t="s">
        <v>3</v>
      </c>
      <c r="D52" s="18" t="s">
        <v>4</v>
      </c>
      <c r="E52" s="256" t="s">
        <v>13</v>
      </c>
    </row>
    <row r="53" spans="1:9" ht="15.75" x14ac:dyDescent="0.25">
      <c r="A53" s="21" t="s">
        <v>2</v>
      </c>
      <c r="B53" s="255"/>
      <c r="C53" s="22" t="s">
        <v>46</v>
      </c>
      <c r="D53" s="22" t="s">
        <v>46</v>
      </c>
      <c r="E53" s="257"/>
    </row>
    <row r="54" spans="1:9" ht="15.75" x14ac:dyDescent="0.25">
      <c r="A54" s="32">
        <v>1</v>
      </c>
      <c r="B54" s="54" t="s">
        <v>135</v>
      </c>
      <c r="C54" s="76">
        <v>32106</v>
      </c>
      <c r="D54" s="76">
        <v>69502</v>
      </c>
      <c r="E54" s="75" t="s">
        <v>136</v>
      </c>
      <c r="G54" s="76">
        <v>37396</v>
      </c>
      <c r="H54" s="76">
        <v>37396</v>
      </c>
    </row>
    <row r="55" spans="1:9" ht="15.75" x14ac:dyDescent="0.25">
      <c r="A55" s="32">
        <v>2</v>
      </c>
      <c r="B55" s="54" t="s">
        <v>47</v>
      </c>
      <c r="C55" s="76">
        <v>215.47</v>
      </c>
      <c r="D55" s="76">
        <v>225.65</v>
      </c>
      <c r="E55" s="27"/>
      <c r="G55" s="76">
        <v>235.19</v>
      </c>
      <c r="H55" s="76">
        <v>235.19</v>
      </c>
    </row>
    <row r="56" spans="1:9" ht="20.25" thickBot="1" x14ac:dyDescent="0.45">
      <c r="A56" s="25" t="s">
        <v>48</v>
      </c>
      <c r="B56" s="36"/>
      <c r="E56" s="24"/>
      <c r="G56" s="50"/>
    </row>
    <row r="57" spans="1:9" ht="15.75" x14ac:dyDescent="0.25">
      <c r="A57" s="2" t="s">
        <v>1</v>
      </c>
      <c r="B57" s="254" t="s">
        <v>5</v>
      </c>
      <c r="C57" s="270" t="s">
        <v>3</v>
      </c>
      <c r="D57" s="270" t="s">
        <v>4</v>
      </c>
      <c r="E57" s="256" t="s">
        <v>13</v>
      </c>
      <c r="G57" s="50"/>
    </row>
    <row r="58" spans="1:9" ht="15.75" x14ac:dyDescent="0.25">
      <c r="A58" s="21" t="s">
        <v>2</v>
      </c>
      <c r="B58" s="255"/>
      <c r="C58" s="274"/>
      <c r="D58" s="274"/>
      <c r="E58" s="257"/>
      <c r="G58" s="181"/>
      <c r="I58" s="89"/>
    </row>
    <row r="59" spans="1:9" ht="15.75" x14ac:dyDescent="0.25">
      <c r="A59" s="32">
        <v>1</v>
      </c>
      <c r="B59" s="3" t="s">
        <v>49</v>
      </c>
      <c r="C59" s="76">
        <v>211</v>
      </c>
      <c r="D59" s="76">
        <v>432</v>
      </c>
      <c r="E59" s="27"/>
    </row>
    <row r="60" spans="1:9" ht="15.75" x14ac:dyDescent="0.25">
      <c r="A60" s="32">
        <v>2</v>
      </c>
      <c r="B60" s="3" t="s">
        <v>52</v>
      </c>
      <c r="C60" s="76">
        <v>1.4159999999999999</v>
      </c>
      <c r="D60" s="76">
        <v>1.4019999999999999</v>
      </c>
      <c r="E60" s="27"/>
      <c r="G60" s="76">
        <v>37396</v>
      </c>
    </row>
    <row r="61" spans="1:9" ht="15.75" x14ac:dyDescent="0.25">
      <c r="A61" s="32">
        <v>3</v>
      </c>
      <c r="B61" s="3" t="s">
        <v>50</v>
      </c>
      <c r="C61" s="76">
        <v>189</v>
      </c>
      <c r="D61" s="76">
        <v>252</v>
      </c>
      <c r="E61" s="27"/>
      <c r="G61" s="76">
        <v>32106</v>
      </c>
    </row>
    <row r="62" spans="1:9" ht="15.75" x14ac:dyDescent="0.25">
      <c r="A62" s="32">
        <v>4</v>
      </c>
      <c r="B62" s="3" t="s">
        <v>53</v>
      </c>
      <c r="C62" s="76">
        <v>1.268</v>
      </c>
      <c r="D62" s="89">
        <v>0.81799999999999995</v>
      </c>
      <c r="E62" s="27"/>
      <c r="G62">
        <f>SUM(G60:G61)</f>
        <v>69502</v>
      </c>
    </row>
    <row r="63" spans="1:9" ht="15.75" x14ac:dyDescent="0.25">
      <c r="A63" s="32">
        <v>5</v>
      </c>
      <c r="B63" s="3" t="s">
        <v>51</v>
      </c>
      <c r="C63" s="76">
        <v>32.700000000000003</v>
      </c>
      <c r="D63" s="76">
        <v>68.8</v>
      </c>
      <c r="E63" s="27"/>
    </row>
    <row r="64" spans="1:9" ht="15.75" x14ac:dyDescent="0.25">
      <c r="A64" s="32">
        <v>6</v>
      </c>
      <c r="B64" s="3" t="s">
        <v>54</v>
      </c>
      <c r="C64" s="76">
        <v>0.219</v>
      </c>
      <c r="D64" s="76">
        <v>0.223</v>
      </c>
      <c r="E64" s="27"/>
    </row>
    <row r="65" spans="1:5" ht="15.75" x14ac:dyDescent="0.25">
      <c r="A65" s="32">
        <v>7</v>
      </c>
      <c r="B65" s="3" t="s">
        <v>55</v>
      </c>
      <c r="C65" s="89">
        <v>45.49</v>
      </c>
      <c r="D65" s="76">
        <v>91.331000000000003</v>
      </c>
      <c r="E65" s="27"/>
    </row>
    <row r="66" spans="1:5" ht="16.5" thickBot="1" x14ac:dyDescent="0.3">
      <c r="A66" s="37">
        <v>8</v>
      </c>
      <c r="B66" s="52" t="s">
        <v>56</v>
      </c>
      <c r="C66" s="77">
        <v>0.30499999999999999</v>
      </c>
      <c r="D66" s="77">
        <v>0.29599999999999999</v>
      </c>
      <c r="E66" s="38"/>
    </row>
  </sheetData>
  <mergeCells count="29">
    <mergeCell ref="A50:E51"/>
    <mergeCell ref="B52:B53"/>
    <mergeCell ref="E52:E53"/>
    <mergeCell ref="B57:B58"/>
    <mergeCell ref="C57:C58"/>
    <mergeCell ref="D57:D58"/>
    <mergeCell ref="E57:E58"/>
    <mergeCell ref="B47:B48"/>
    <mergeCell ref="C47:C48"/>
    <mergeCell ref="D47:D48"/>
    <mergeCell ref="A18:E19"/>
    <mergeCell ref="B20:B21"/>
    <mergeCell ref="E20:E21"/>
    <mergeCell ref="A25:E26"/>
    <mergeCell ref="B27:B28"/>
    <mergeCell ref="E27:E28"/>
    <mergeCell ref="A39:E40"/>
    <mergeCell ref="B41:B42"/>
    <mergeCell ref="C41:C42"/>
    <mergeCell ref="D41:D42"/>
    <mergeCell ref="E41:E42"/>
    <mergeCell ref="A1:E1"/>
    <mergeCell ref="A2:E2"/>
    <mergeCell ref="A3:E3"/>
    <mergeCell ref="A4:E5"/>
    <mergeCell ref="B6:B7"/>
    <mergeCell ref="C6:C7"/>
    <mergeCell ref="D6:D7"/>
    <mergeCell ref="E6:E7"/>
  </mergeCells>
  <pageMargins left="0.70866141732283472" right="0.15748031496062992" top="0.12" bottom="0.11" header="0.08" footer="0.08"/>
  <pageSetup scale="7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7"/>
  <sheetViews>
    <sheetView topLeftCell="A45" workbookViewId="0">
      <selection activeCell="D68" sqref="D68"/>
    </sheetView>
  </sheetViews>
  <sheetFormatPr defaultRowHeight="15" x14ac:dyDescent="0.25"/>
  <cols>
    <col min="1" max="1" width="5.85546875" customWidth="1"/>
    <col min="2" max="2" width="32.7109375" customWidth="1"/>
    <col min="3" max="3" width="14.85546875" customWidth="1"/>
    <col min="4" max="4" width="16.5703125" customWidth="1"/>
    <col min="5" max="5" width="58.5703125" customWidth="1"/>
  </cols>
  <sheetData>
    <row r="1" spans="1:5" ht="23.25" thickBot="1" x14ac:dyDescent="0.5">
      <c r="A1" s="284" t="s">
        <v>137</v>
      </c>
      <c r="B1" s="285"/>
      <c r="C1" s="285"/>
      <c r="D1" s="285"/>
      <c r="E1" s="286"/>
    </row>
    <row r="2" spans="1:5" ht="23.25" thickBot="1" x14ac:dyDescent="0.5">
      <c r="A2" s="287" t="s">
        <v>30</v>
      </c>
      <c r="B2" s="288"/>
      <c r="C2" s="288"/>
      <c r="D2" s="288"/>
      <c r="E2" s="289"/>
    </row>
    <row r="3" spans="1:5" ht="25.5" thickBot="1" x14ac:dyDescent="0.3">
      <c r="A3" s="290" t="s">
        <v>0</v>
      </c>
      <c r="B3" s="291"/>
      <c r="C3" s="291"/>
      <c r="D3" s="291"/>
      <c r="E3" s="292"/>
    </row>
    <row r="4" spans="1:5" x14ac:dyDescent="0.25">
      <c r="A4" s="293" t="s">
        <v>32</v>
      </c>
      <c r="B4" s="294"/>
      <c r="C4" s="294"/>
      <c r="D4" s="294"/>
      <c r="E4" s="295"/>
    </row>
    <row r="5" spans="1:5" ht="15.75" thickBot="1" x14ac:dyDescent="0.3">
      <c r="A5" s="296"/>
      <c r="B5" s="297"/>
      <c r="C5" s="297"/>
      <c r="D5" s="297"/>
      <c r="E5" s="298"/>
    </row>
    <row r="6" spans="1:5" ht="15.75" x14ac:dyDescent="0.25">
      <c r="A6" s="2" t="s">
        <v>1</v>
      </c>
      <c r="B6" s="254" t="s">
        <v>5</v>
      </c>
      <c r="C6" s="270" t="s">
        <v>3</v>
      </c>
      <c r="D6" s="270" t="s">
        <v>4</v>
      </c>
      <c r="E6" s="256" t="s">
        <v>13</v>
      </c>
    </row>
    <row r="7" spans="1:5" ht="16.5" thickBot="1" x14ac:dyDescent="0.3">
      <c r="A7" s="15" t="s">
        <v>2</v>
      </c>
      <c r="B7" s="282"/>
      <c r="C7" s="271"/>
      <c r="D7" s="271"/>
      <c r="E7" s="283"/>
    </row>
    <row r="8" spans="1:5" ht="15.75" x14ac:dyDescent="0.25">
      <c r="A8" s="35">
        <v>1</v>
      </c>
      <c r="B8" s="16" t="s">
        <v>6</v>
      </c>
      <c r="C8" s="78">
        <v>130</v>
      </c>
      <c r="D8" s="78">
        <v>438</v>
      </c>
      <c r="E8" s="26"/>
    </row>
    <row r="9" spans="1:5" ht="15.75" x14ac:dyDescent="0.25">
      <c r="A9" s="32">
        <v>2</v>
      </c>
      <c r="B9" s="3" t="s">
        <v>7</v>
      </c>
      <c r="C9" s="79" t="s">
        <v>68</v>
      </c>
      <c r="D9" s="79">
        <v>146</v>
      </c>
      <c r="E9" s="27"/>
    </row>
    <row r="10" spans="1:5" ht="15.75" x14ac:dyDescent="0.25">
      <c r="A10" s="32">
        <v>3</v>
      </c>
      <c r="B10" s="3" t="s">
        <v>8</v>
      </c>
      <c r="C10" s="79">
        <v>124.15</v>
      </c>
      <c r="D10" s="79">
        <v>436.24</v>
      </c>
      <c r="E10" s="27"/>
    </row>
    <row r="11" spans="1:5" ht="15.75" x14ac:dyDescent="0.25">
      <c r="A11" s="32">
        <v>4</v>
      </c>
      <c r="B11" s="3" t="s">
        <v>9</v>
      </c>
      <c r="C11" s="79" t="s">
        <v>68</v>
      </c>
      <c r="D11" s="79">
        <v>145.41300000000001</v>
      </c>
      <c r="E11" s="27"/>
    </row>
    <row r="12" spans="1:5" ht="15.75" x14ac:dyDescent="0.25">
      <c r="A12" s="32">
        <v>5</v>
      </c>
      <c r="B12" s="3" t="s">
        <v>12</v>
      </c>
      <c r="C12" s="79" t="s">
        <v>141</v>
      </c>
      <c r="D12" s="79" t="s">
        <v>142</v>
      </c>
      <c r="E12" s="27"/>
    </row>
    <row r="13" spans="1:5" ht="15.75" x14ac:dyDescent="0.3">
      <c r="A13" s="58">
        <v>6</v>
      </c>
      <c r="B13" s="5" t="s">
        <v>45</v>
      </c>
      <c r="C13" s="39" t="s">
        <v>116</v>
      </c>
      <c r="D13" s="39" t="s">
        <v>116</v>
      </c>
      <c r="E13" s="27"/>
    </row>
    <row r="14" spans="1:5" ht="15.75" x14ac:dyDescent="0.3">
      <c r="A14" s="58">
        <v>7</v>
      </c>
      <c r="B14" s="5" t="s">
        <v>44</v>
      </c>
      <c r="C14" s="39" t="s">
        <v>116</v>
      </c>
      <c r="D14" s="39" t="s">
        <v>116</v>
      </c>
      <c r="E14" s="27"/>
    </row>
    <row r="15" spans="1:5" ht="15.75" x14ac:dyDescent="0.3">
      <c r="A15" s="58">
        <v>8</v>
      </c>
      <c r="B15" s="5" t="s">
        <v>10</v>
      </c>
      <c r="C15" s="39" t="s">
        <v>116</v>
      </c>
      <c r="D15" s="39" t="s">
        <v>117</v>
      </c>
      <c r="E15" s="27"/>
    </row>
    <row r="16" spans="1:5" ht="15.75" x14ac:dyDescent="0.3">
      <c r="A16" s="58">
        <v>9</v>
      </c>
      <c r="B16" s="5" t="s">
        <v>11</v>
      </c>
      <c r="C16" s="39" t="s">
        <v>116</v>
      </c>
      <c r="D16" s="39" t="s">
        <v>117</v>
      </c>
      <c r="E16" s="27"/>
    </row>
    <row r="17" spans="1:5" ht="15.75" x14ac:dyDescent="0.3">
      <c r="A17" s="58">
        <v>10</v>
      </c>
      <c r="B17" s="4" t="s">
        <v>12</v>
      </c>
      <c r="C17" s="39" t="s">
        <v>118</v>
      </c>
      <c r="D17" s="40" t="s">
        <v>118</v>
      </c>
      <c r="E17" s="27"/>
    </row>
    <row r="18" spans="1:5" x14ac:dyDescent="0.25">
      <c r="A18" s="248" t="s">
        <v>104</v>
      </c>
      <c r="B18" s="249"/>
      <c r="C18" s="249"/>
      <c r="D18" s="249"/>
      <c r="E18" s="250"/>
    </row>
    <row r="19" spans="1:5" ht="15.75" thickBot="1" x14ac:dyDescent="0.3">
      <c r="A19" s="251"/>
      <c r="B19" s="252"/>
      <c r="C19" s="252"/>
      <c r="D19" s="252"/>
      <c r="E19" s="253"/>
    </row>
    <row r="20" spans="1:5" ht="15.75" x14ac:dyDescent="0.25">
      <c r="A20" s="11" t="s">
        <v>1</v>
      </c>
      <c r="B20" s="275" t="s">
        <v>31</v>
      </c>
      <c r="C20" s="56" t="s">
        <v>34</v>
      </c>
      <c r="D20" s="41" t="s">
        <v>33</v>
      </c>
      <c r="E20" s="277" t="s">
        <v>13</v>
      </c>
    </row>
    <row r="21" spans="1:5" ht="16.5" thickBot="1" x14ac:dyDescent="0.3">
      <c r="A21" s="93" t="s">
        <v>2</v>
      </c>
      <c r="B21" s="276"/>
      <c r="C21" s="94" t="s">
        <v>35</v>
      </c>
      <c r="D21" s="95" t="s">
        <v>3</v>
      </c>
      <c r="E21" s="278"/>
    </row>
    <row r="22" spans="1:5" ht="14.25" customHeight="1" x14ac:dyDescent="0.25">
      <c r="A22" s="96">
        <v>1</v>
      </c>
      <c r="B22" s="53" t="s">
        <v>80</v>
      </c>
      <c r="C22" s="119">
        <v>18</v>
      </c>
      <c r="D22" s="118">
        <v>31</v>
      </c>
      <c r="E22" s="26"/>
    </row>
    <row r="23" spans="1:5" ht="13.5" customHeight="1" x14ac:dyDescent="0.25">
      <c r="A23" s="32">
        <v>2</v>
      </c>
      <c r="B23" s="105" t="s">
        <v>144</v>
      </c>
      <c r="C23" s="137">
        <v>9</v>
      </c>
      <c r="D23" s="138">
        <v>15</v>
      </c>
      <c r="E23" s="27"/>
    </row>
    <row r="24" spans="1:5" ht="13.5" customHeight="1" x14ac:dyDescent="0.25">
      <c r="A24" s="29">
        <v>3</v>
      </c>
      <c r="B24" s="54" t="s">
        <v>143</v>
      </c>
      <c r="C24" s="137">
        <v>49</v>
      </c>
      <c r="D24" s="138">
        <v>84</v>
      </c>
      <c r="E24" s="27"/>
    </row>
    <row r="25" spans="1:5" ht="14.25" customHeight="1" thickBot="1" x14ac:dyDescent="0.3">
      <c r="A25" s="37">
        <v>4</v>
      </c>
      <c r="B25" s="99" t="s">
        <v>29</v>
      </c>
      <c r="C25" s="80">
        <f>SUM(C22:C24)</f>
        <v>76</v>
      </c>
      <c r="D25" s="100">
        <f>SUM(D22:D24)</f>
        <v>130</v>
      </c>
      <c r="E25" s="38"/>
    </row>
    <row r="26" spans="1:5" x14ac:dyDescent="0.25">
      <c r="A26" s="279" t="s">
        <v>105</v>
      </c>
      <c r="B26" s="280"/>
      <c r="C26" s="280"/>
      <c r="D26" s="280"/>
      <c r="E26" s="281"/>
    </row>
    <row r="27" spans="1:5" ht="15.75" thickBot="1" x14ac:dyDescent="0.3">
      <c r="A27" s="251"/>
      <c r="B27" s="252"/>
      <c r="C27" s="252"/>
      <c r="D27" s="252"/>
      <c r="E27" s="253"/>
    </row>
    <row r="28" spans="1:5" ht="15.75" x14ac:dyDescent="0.25">
      <c r="A28" s="2" t="s">
        <v>1</v>
      </c>
      <c r="B28" s="254" t="s">
        <v>5</v>
      </c>
      <c r="C28" s="18" t="s">
        <v>3</v>
      </c>
      <c r="D28" s="18" t="s">
        <v>4</v>
      </c>
      <c r="E28" s="256" t="s">
        <v>13</v>
      </c>
    </row>
    <row r="29" spans="1:5" ht="16.5" thickBot="1" x14ac:dyDescent="0.3">
      <c r="A29" s="15" t="s">
        <v>2</v>
      </c>
      <c r="B29" s="282"/>
      <c r="C29" s="19" t="s">
        <v>40</v>
      </c>
      <c r="D29" s="19" t="s">
        <v>40</v>
      </c>
      <c r="E29" s="323"/>
    </row>
    <row r="30" spans="1:5" ht="19.5" x14ac:dyDescent="0.4">
      <c r="A30" s="128">
        <v>1</v>
      </c>
      <c r="B30" s="135" t="s">
        <v>14</v>
      </c>
      <c r="C30" s="130">
        <v>19.25</v>
      </c>
      <c r="D30" s="146">
        <v>61.45</v>
      </c>
      <c r="E30" s="27"/>
    </row>
    <row r="31" spans="1:5" ht="20.25" thickBot="1" x14ac:dyDescent="0.45">
      <c r="A31" s="129">
        <v>2</v>
      </c>
      <c r="B31" s="136" t="s">
        <v>99</v>
      </c>
      <c r="C31" s="132">
        <v>4.3499999999999996</v>
      </c>
      <c r="D31" s="145">
        <v>10.15</v>
      </c>
      <c r="E31" s="31"/>
    </row>
    <row r="32" spans="1:5" ht="16.5" x14ac:dyDescent="0.3">
      <c r="A32" s="35">
        <v>3</v>
      </c>
      <c r="B32" s="53" t="s">
        <v>15</v>
      </c>
      <c r="C32" s="120">
        <v>0.25</v>
      </c>
      <c r="D32" s="121">
        <v>3.15</v>
      </c>
      <c r="E32" s="141" t="s">
        <v>138</v>
      </c>
    </row>
    <row r="33" spans="1:5" ht="17.25" thickBot="1" x14ac:dyDescent="0.35">
      <c r="A33" s="32">
        <v>4</v>
      </c>
      <c r="B33" s="54" t="s">
        <v>16</v>
      </c>
      <c r="C33" s="122" t="s">
        <v>64</v>
      </c>
      <c r="D33" s="123" t="s">
        <v>63</v>
      </c>
      <c r="E33" s="142" t="s">
        <v>139</v>
      </c>
    </row>
    <row r="34" spans="1:5" ht="17.25" thickBot="1" x14ac:dyDescent="0.35">
      <c r="A34" s="32">
        <v>5</v>
      </c>
      <c r="B34" s="54" t="s">
        <v>17</v>
      </c>
      <c r="C34" s="124">
        <v>4.0999999999999996</v>
      </c>
      <c r="D34" s="123">
        <v>5.5</v>
      </c>
      <c r="E34" s="147"/>
    </row>
    <row r="35" spans="1:5" ht="17.25" thickBot="1" x14ac:dyDescent="0.35">
      <c r="A35" s="32">
        <v>6</v>
      </c>
      <c r="B35" s="54" t="s">
        <v>18</v>
      </c>
      <c r="C35" s="122" t="s">
        <v>64</v>
      </c>
      <c r="D35" s="123" t="s">
        <v>64</v>
      </c>
      <c r="E35" s="127" t="s">
        <v>140</v>
      </c>
    </row>
    <row r="36" spans="1:5" ht="16.5" x14ac:dyDescent="0.3">
      <c r="A36" s="32">
        <v>7</v>
      </c>
      <c r="B36" s="54" t="s">
        <v>19</v>
      </c>
      <c r="C36" s="122" t="s">
        <v>64</v>
      </c>
      <c r="D36" s="123" t="s">
        <v>115</v>
      </c>
      <c r="E36" s="148"/>
    </row>
    <row r="37" spans="1:5" ht="16.5" x14ac:dyDescent="0.3">
      <c r="A37" s="32">
        <v>8</v>
      </c>
      <c r="B37" s="54" t="s">
        <v>20</v>
      </c>
      <c r="C37" s="124" t="s">
        <v>98</v>
      </c>
      <c r="D37" s="123">
        <v>1.1000000000000001</v>
      </c>
      <c r="E37" s="149"/>
    </row>
    <row r="38" spans="1:5" ht="16.5" x14ac:dyDescent="0.3">
      <c r="A38" s="32">
        <v>9</v>
      </c>
      <c r="B38" s="54" t="s">
        <v>21</v>
      </c>
      <c r="C38" s="122" t="s">
        <v>64</v>
      </c>
      <c r="D38" s="123" t="s">
        <v>116</v>
      </c>
      <c r="E38" s="151"/>
    </row>
    <row r="39" spans="1:5" ht="17.25" thickBot="1" x14ac:dyDescent="0.35">
      <c r="A39" s="37">
        <v>10</v>
      </c>
      <c r="B39" s="55" t="s">
        <v>22</v>
      </c>
      <c r="C39" s="126" t="s">
        <v>98</v>
      </c>
      <c r="D39" s="139" t="s">
        <v>115</v>
      </c>
      <c r="E39" s="150"/>
    </row>
    <row r="40" spans="1:5" x14ac:dyDescent="0.25">
      <c r="A40" s="262" t="s">
        <v>77</v>
      </c>
      <c r="B40" s="263"/>
      <c r="C40" s="263"/>
      <c r="D40" s="263"/>
      <c r="E40" s="264"/>
    </row>
    <row r="41" spans="1:5" ht="15.75" thickBot="1" x14ac:dyDescent="0.3">
      <c r="A41" s="265"/>
      <c r="B41" s="266"/>
      <c r="C41" s="266"/>
      <c r="D41" s="266"/>
      <c r="E41" s="267"/>
    </row>
    <row r="42" spans="1:5" ht="15.75" x14ac:dyDescent="0.25">
      <c r="A42" s="9" t="s">
        <v>1</v>
      </c>
      <c r="B42" s="268" t="s">
        <v>27</v>
      </c>
      <c r="C42" s="270" t="s">
        <v>3</v>
      </c>
      <c r="D42" s="270" t="s">
        <v>4</v>
      </c>
      <c r="E42" s="272" t="s">
        <v>28</v>
      </c>
    </row>
    <row r="43" spans="1:5" ht="16.5" thickBot="1" x14ac:dyDescent="0.3">
      <c r="A43" s="17" t="s">
        <v>2</v>
      </c>
      <c r="B43" s="269"/>
      <c r="C43" s="271"/>
      <c r="D43" s="271"/>
      <c r="E43" s="273"/>
    </row>
    <row r="44" spans="1:5" x14ac:dyDescent="0.25">
      <c r="A44" s="35">
        <v>1</v>
      </c>
      <c r="B44" s="53" t="s">
        <v>58</v>
      </c>
      <c r="C44" s="47" t="s">
        <v>57</v>
      </c>
      <c r="D44" s="49" t="s">
        <v>57</v>
      </c>
      <c r="E44" s="26"/>
    </row>
    <row r="45" spans="1:5" x14ac:dyDescent="0.25">
      <c r="A45" s="32">
        <v>2</v>
      </c>
      <c r="B45" s="54" t="s">
        <v>59</v>
      </c>
      <c r="C45" s="48">
        <v>144</v>
      </c>
      <c r="D45" s="48">
        <v>486</v>
      </c>
      <c r="E45" s="27"/>
    </row>
    <row r="46" spans="1:5" x14ac:dyDescent="0.25">
      <c r="A46" s="32">
        <v>3</v>
      </c>
      <c r="B46" s="54" t="s">
        <v>60</v>
      </c>
      <c r="C46" s="48">
        <v>144</v>
      </c>
      <c r="D46" s="48">
        <v>486</v>
      </c>
      <c r="E46" s="27"/>
    </row>
    <row r="47" spans="1:5" ht="19.5" thickBot="1" x14ac:dyDescent="0.45">
      <c r="A47" s="28" t="s">
        <v>78</v>
      </c>
      <c r="E47" s="24"/>
    </row>
    <row r="48" spans="1:5" ht="15.75" x14ac:dyDescent="0.25">
      <c r="A48" s="9" t="s">
        <v>1</v>
      </c>
      <c r="B48" s="254" t="s">
        <v>5</v>
      </c>
      <c r="C48" s="270" t="s">
        <v>3</v>
      </c>
      <c r="D48" s="256" t="s">
        <v>4</v>
      </c>
      <c r="E48" s="60" t="s">
        <v>61</v>
      </c>
    </row>
    <row r="49" spans="1:5" ht="15.75" x14ac:dyDescent="0.25">
      <c r="A49" s="1" t="s">
        <v>2</v>
      </c>
      <c r="B49" s="255"/>
      <c r="C49" s="274"/>
      <c r="D49" s="257"/>
      <c r="E49" s="61" t="s">
        <v>42</v>
      </c>
    </row>
    <row r="50" spans="1:5" x14ac:dyDescent="0.25">
      <c r="A50" s="29">
        <v>1</v>
      </c>
      <c r="B50" s="20" t="s">
        <v>43</v>
      </c>
      <c r="C50" s="50">
        <v>12.36</v>
      </c>
      <c r="D50" s="50">
        <v>42.42</v>
      </c>
      <c r="E50" s="51">
        <v>10.51</v>
      </c>
    </row>
    <row r="51" spans="1:5" x14ac:dyDescent="0.25">
      <c r="A51" s="248" t="s">
        <v>73</v>
      </c>
      <c r="B51" s="249"/>
      <c r="C51" s="249"/>
      <c r="D51" s="249"/>
      <c r="E51" s="250"/>
    </row>
    <row r="52" spans="1:5" ht="15.75" thickBot="1" x14ac:dyDescent="0.3">
      <c r="A52" s="251"/>
      <c r="B52" s="252"/>
      <c r="C52" s="252"/>
      <c r="D52" s="252"/>
      <c r="E52" s="253"/>
    </row>
    <row r="53" spans="1:5" ht="15.75" x14ac:dyDescent="0.25">
      <c r="A53" s="2" t="s">
        <v>1</v>
      </c>
      <c r="B53" s="254" t="s">
        <v>5</v>
      </c>
      <c r="C53" s="18" t="s">
        <v>3</v>
      </c>
      <c r="D53" s="18" t="s">
        <v>4</v>
      </c>
      <c r="E53" s="256" t="s">
        <v>13</v>
      </c>
    </row>
    <row r="54" spans="1:5" ht="15.75" x14ac:dyDescent="0.25">
      <c r="A54" s="21" t="s">
        <v>2</v>
      </c>
      <c r="B54" s="255"/>
      <c r="C54" s="22" t="s">
        <v>46</v>
      </c>
      <c r="D54" s="22" t="s">
        <v>46</v>
      </c>
      <c r="E54" s="257"/>
    </row>
    <row r="55" spans="1:5" ht="15.75" x14ac:dyDescent="0.25">
      <c r="A55" s="32">
        <v>1</v>
      </c>
      <c r="B55" s="54" t="s">
        <v>145</v>
      </c>
      <c r="C55" s="76">
        <v>35851</v>
      </c>
      <c r="D55" s="76">
        <v>105353</v>
      </c>
      <c r="E55" s="75" t="s">
        <v>146</v>
      </c>
    </row>
    <row r="56" spans="1:5" ht="15.75" x14ac:dyDescent="0.25">
      <c r="A56" s="32">
        <v>2</v>
      </c>
      <c r="B56" s="54" t="s">
        <v>47</v>
      </c>
      <c r="C56" s="76">
        <v>275.77</v>
      </c>
      <c r="D56" s="76">
        <v>240.53</v>
      </c>
      <c r="E56" s="27"/>
    </row>
    <row r="57" spans="1:5" ht="20.25" thickBot="1" x14ac:dyDescent="0.45">
      <c r="A57" s="25" t="s">
        <v>48</v>
      </c>
      <c r="B57" s="36"/>
      <c r="E57" s="24"/>
    </row>
    <row r="58" spans="1:5" ht="15.75" x14ac:dyDescent="0.25">
      <c r="A58" s="2" t="s">
        <v>1</v>
      </c>
      <c r="B58" s="254" t="s">
        <v>5</v>
      </c>
      <c r="C58" s="270" t="s">
        <v>3</v>
      </c>
      <c r="D58" s="270" t="s">
        <v>4</v>
      </c>
      <c r="E58" s="256" t="s">
        <v>13</v>
      </c>
    </row>
    <row r="59" spans="1:5" ht="15.75" x14ac:dyDescent="0.25">
      <c r="A59" s="21" t="s">
        <v>2</v>
      </c>
      <c r="B59" s="255"/>
      <c r="C59" s="274"/>
      <c r="D59" s="274"/>
      <c r="E59" s="257"/>
    </row>
    <row r="60" spans="1:5" ht="15.75" x14ac:dyDescent="0.25">
      <c r="A60" s="32">
        <v>1</v>
      </c>
      <c r="B60" s="3" t="s">
        <v>49</v>
      </c>
      <c r="C60" s="76">
        <v>192</v>
      </c>
      <c r="D60" s="76">
        <v>624</v>
      </c>
      <c r="E60" s="27"/>
    </row>
    <row r="61" spans="1:5" ht="15.75" x14ac:dyDescent="0.25">
      <c r="A61" s="32">
        <v>2</v>
      </c>
      <c r="B61" s="3" t="s">
        <v>52</v>
      </c>
      <c r="C61" s="76">
        <v>1.476</v>
      </c>
      <c r="D61" s="76">
        <v>1.4239999999999999</v>
      </c>
      <c r="E61" s="27"/>
    </row>
    <row r="62" spans="1:5" ht="15.75" x14ac:dyDescent="0.25">
      <c r="A62" s="32">
        <v>3</v>
      </c>
      <c r="B62" s="3" t="s">
        <v>50</v>
      </c>
      <c r="C62" s="76">
        <v>38</v>
      </c>
      <c r="D62" s="76">
        <v>290</v>
      </c>
      <c r="E62" s="27"/>
    </row>
    <row r="63" spans="1:5" ht="15.75" x14ac:dyDescent="0.25">
      <c r="A63" s="32">
        <v>4</v>
      </c>
      <c r="B63" s="3" t="s">
        <v>53</v>
      </c>
      <c r="C63" s="76">
        <v>0.29199999999999998</v>
      </c>
      <c r="D63" s="89">
        <v>0.66200000000000003</v>
      </c>
      <c r="E63" s="27"/>
    </row>
    <row r="64" spans="1:5" ht="15.75" x14ac:dyDescent="0.25">
      <c r="A64" s="32">
        <v>5</v>
      </c>
      <c r="B64" s="3" t="s">
        <v>51</v>
      </c>
      <c r="C64" s="76">
        <v>47.5</v>
      </c>
      <c r="D64" s="76">
        <v>116.3</v>
      </c>
      <c r="E64" s="27"/>
    </row>
    <row r="65" spans="1:5" ht="15.75" x14ac:dyDescent="0.25">
      <c r="A65" s="32">
        <v>6</v>
      </c>
      <c r="B65" s="3" t="s">
        <v>54</v>
      </c>
      <c r="C65" s="76">
        <v>0.36499999999999999</v>
      </c>
      <c r="D65" s="76">
        <v>0.26500000000000001</v>
      </c>
      <c r="E65" s="27"/>
    </row>
    <row r="66" spans="1:5" ht="15.75" x14ac:dyDescent="0.25">
      <c r="A66" s="32">
        <v>7</v>
      </c>
      <c r="B66" s="3" t="s">
        <v>55</v>
      </c>
      <c r="C66" s="89">
        <v>40.82</v>
      </c>
      <c r="D66" s="76">
        <v>132.15100000000001</v>
      </c>
      <c r="E66" s="27"/>
    </row>
    <row r="67" spans="1:5" ht="16.5" thickBot="1" x14ac:dyDescent="0.3">
      <c r="A67" s="37">
        <v>8</v>
      </c>
      <c r="B67" s="52" t="s">
        <v>56</v>
      </c>
      <c r="C67" s="77">
        <v>0.314</v>
      </c>
      <c r="D67" s="77">
        <v>0.30099999999999999</v>
      </c>
      <c r="E67" s="38"/>
    </row>
  </sheetData>
  <mergeCells count="29">
    <mergeCell ref="A51:E52"/>
    <mergeCell ref="B53:B54"/>
    <mergeCell ref="E53:E54"/>
    <mergeCell ref="B58:B59"/>
    <mergeCell ref="C58:C59"/>
    <mergeCell ref="D58:D59"/>
    <mergeCell ref="E58:E59"/>
    <mergeCell ref="B48:B49"/>
    <mergeCell ref="C48:C49"/>
    <mergeCell ref="D48:D49"/>
    <mergeCell ref="A18:E19"/>
    <mergeCell ref="B20:B21"/>
    <mergeCell ref="E20:E21"/>
    <mergeCell ref="A26:E27"/>
    <mergeCell ref="B28:B29"/>
    <mergeCell ref="E28:E29"/>
    <mergeCell ref="A40:E41"/>
    <mergeCell ref="B42:B43"/>
    <mergeCell ref="C42:C43"/>
    <mergeCell ref="D42:D43"/>
    <mergeCell ref="E42:E43"/>
    <mergeCell ref="A1:E1"/>
    <mergeCell ref="A2:E2"/>
    <mergeCell ref="A3:E3"/>
    <mergeCell ref="A4:E5"/>
    <mergeCell ref="B6:B7"/>
    <mergeCell ref="C6:C7"/>
    <mergeCell ref="D6:D7"/>
    <mergeCell ref="E6:E7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7"/>
  <sheetViews>
    <sheetView topLeftCell="A43" workbookViewId="0">
      <selection activeCell="C66" sqref="C66"/>
    </sheetView>
  </sheetViews>
  <sheetFormatPr defaultRowHeight="15" x14ac:dyDescent="0.25"/>
  <cols>
    <col min="1" max="1" width="5.28515625" customWidth="1"/>
    <col min="2" max="2" width="31.140625" customWidth="1"/>
    <col min="3" max="3" width="10.28515625" customWidth="1"/>
    <col min="4" max="4" width="16.5703125" customWidth="1"/>
    <col min="5" max="5" width="59.85546875" customWidth="1"/>
  </cols>
  <sheetData>
    <row r="1" spans="1:5" ht="23.25" thickBot="1" x14ac:dyDescent="0.5">
      <c r="A1" s="284" t="s">
        <v>147</v>
      </c>
      <c r="B1" s="285"/>
      <c r="C1" s="285"/>
      <c r="D1" s="285"/>
      <c r="E1" s="286"/>
    </row>
    <row r="2" spans="1:5" ht="23.25" thickBot="1" x14ac:dyDescent="0.5">
      <c r="A2" s="287" t="s">
        <v>30</v>
      </c>
      <c r="B2" s="288"/>
      <c r="C2" s="288"/>
      <c r="D2" s="288"/>
      <c r="E2" s="289"/>
    </row>
    <row r="3" spans="1:5" ht="25.5" thickBot="1" x14ac:dyDescent="0.3">
      <c r="A3" s="290" t="s">
        <v>0</v>
      </c>
      <c r="B3" s="291"/>
      <c r="C3" s="291"/>
      <c r="D3" s="291"/>
      <c r="E3" s="292"/>
    </row>
    <row r="4" spans="1:5" x14ac:dyDescent="0.25">
      <c r="A4" s="293" t="s">
        <v>32</v>
      </c>
      <c r="B4" s="294"/>
      <c r="C4" s="294"/>
      <c r="D4" s="294"/>
      <c r="E4" s="295"/>
    </row>
    <row r="5" spans="1:5" ht="15.75" thickBot="1" x14ac:dyDescent="0.3">
      <c r="A5" s="296"/>
      <c r="B5" s="297"/>
      <c r="C5" s="297"/>
      <c r="D5" s="297"/>
      <c r="E5" s="298"/>
    </row>
    <row r="6" spans="1:5" ht="15.75" x14ac:dyDescent="0.25">
      <c r="A6" s="2" t="s">
        <v>1</v>
      </c>
      <c r="B6" s="254" t="s">
        <v>5</v>
      </c>
      <c r="C6" s="270" t="s">
        <v>3</v>
      </c>
      <c r="D6" s="270" t="s">
        <v>4</v>
      </c>
      <c r="E6" s="256" t="s">
        <v>13</v>
      </c>
    </row>
    <row r="7" spans="1:5" ht="16.5" thickBot="1" x14ac:dyDescent="0.3">
      <c r="A7" s="15" t="s">
        <v>2</v>
      </c>
      <c r="B7" s="282"/>
      <c r="C7" s="271"/>
      <c r="D7" s="271"/>
      <c r="E7" s="283"/>
    </row>
    <row r="8" spans="1:5" ht="15.75" x14ac:dyDescent="0.25">
      <c r="A8" s="35">
        <v>1</v>
      </c>
      <c r="B8" s="16" t="s">
        <v>6</v>
      </c>
      <c r="C8" s="78">
        <v>143</v>
      </c>
      <c r="D8" s="78">
        <v>581</v>
      </c>
      <c r="E8" s="26"/>
    </row>
    <row r="9" spans="1:5" ht="15.75" x14ac:dyDescent="0.25">
      <c r="A9" s="32">
        <v>2</v>
      </c>
      <c r="B9" s="3" t="s">
        <v>7</v>
      </c>
      <c r="C9" s="79" t="s">
        <v>68</v>
      </c>
      <c r="D9" s="79">
        <v>145.25</v>
      </c>
      <c r="E9" s="27"/>
    </row>
    <row r="10" spans="1:5" ht="15.75" x14ac:dyDescent="0.25">
      <c r="A10" s="32">
        <v>3</v>
      </c>
      <c r="B10" s="3" t="s">
        <v>8</v>
      </c>
      <c r="C10" s="79">
        <v>141.38999999999999</v>
      </c>
      <c r="D10" s="79">
        <v>577.63</v>
      </c>
      <c r="E10" s="27"/>
    </row>
    <row r="11" spans="1:5" ht="15.75" x14ac:dyDescent="0.25">
      <c r="A11" s="32">
        <v>4</v>
      </c>
      <c r="B11" s="3" t="s">
        <v>9</v>
      </c>
      <c r="C11" s="79"/>
      <c r="D11" s="79">
        <v>144.40799999999999</v>
      </c>
      <c r="E11" s="27"/>
    </row>
    <row r="12" spans="1:5" ht="15.75" x14ac:dyDescent="0.25">
      <c r="A12" s="32">
        <v>5</v>
      </c>
      <c r="B12" s="3" t="s">
        <v>12</v>
      </c>
      <c r="C12" s="79" t="s">
        <v>149</v>
      </c>
      <c r="D12" s="79" t="s">
        <v>150</v>
      </c>
      <c r="E12" s="27"/>
    </row>
    <row r="13" spans="1:5" ht="15.75" x14ac:dyDescent="0.3">
      <c r="A13" s="58">
        <v>6</v>
      </c>
      <c r="B13" s="5" t="s">
        <v>45</v>
      </c>
      <c r="C13" s="39" t="s">
        <v>116</v>
      </c>
      <c r="D13" s="39" t="s">
        <v>116</v>
      </c>
      <c r="E13" s="27"/>
    </row>
    <row r="14" spans="1:5" ht="15.75" x14ac:dyDescent="0.3">
      <c r="A14" s="58">
        <v>7</v>
      </c>
      <c r="B14" s="5" t="s">
        <v>44</v>
      </c>
      <c r="C14" s="39" t="s">
        <v>116</v>
      </c>
      <c r="D14" s="39" t="s">
        <v>116</v>
      </c>
      <c r="E14" s="27"/>
    </row>
    <row r="15" spans="1:5" ht="15.75" x14ac:dyDescent="0.3">
      <c r="A15" s="58">
        <v>8</v>
      </c>
      <c r="B15" s="5" t="s">
        <v>10</v>
      </c>
      <c r="C15" s="39" t="s">
        <v>116</v>
      </c>
      <c r="D15" s="39" t="s">
        <v>117</v>
      </c>
      <c r="E15" s="27"/>
    </row>
    <row r="16" spans="1:5" ht="15.75" x14ac:dyDescent="0.3">
      <c r="A16" s="58">
        <v>9</v>
      </c>
      <c r="B16" s="5" t="s">
        <v>11</v>
      </c>
      <c r="C16" s="39" t="s">
        <v>116</v>
      </c>
      <c r="D16" s="39" t="s">
        <v>117</v>
      </c>
      <c r="E16" s="27"/>
    </row>
    <row r="17" spans="1:5" ht="15.75" x14ac:dyDescent="0.3">
      <c r="A17" s="58">
        <v>10</v>
      </c>
      <c r="B17" s="4" t="s">
        <v>12</v>
      </c>
      <c r="C17" s="39" t="s">
        <v>118</v>
      </c>
      <c r="D17" s="40" t="s">
        <v>118</v>
      </c>
      <c r="E17" s="27"/>
    </row>
    <row r="18" spans="1:5" x14ac:dyDescent="0.25">
      <c r="A18" s="248" t="s">
        <v>104</v>
      </c>
      <c r="B18" s="249"/>
      <c r="C18" s="249"/>
      <c r="D18" s="249"/>
      <c r="E18" s="250"/>
    </row>
    <row r="19" spans="1:5" ht="15.75" thickBot="1" x14ac:dyDescent="0.3">
      <c r="A19" s="251"/>
      <c r="B19" s="252"/>
      <c r="C19" s="252"/>
      <c r="D19" s="252"/>
      <c r="E19" s="253"/>
    </row>
    <row r="20" spans="1:5" ht="15.75" x14ac:dyDescent="0.25">
      <c r="A20" s="11" t="s">
        <v>1</v>
      </c>
      <c r="B20" s="275" t="s">
        <v>31</v>
      </c>
      <c r="C20" s="56" t="s">
        <v>34</v>
      </c>
      <c r="D20" s="41" t="s">
        <v>33</v>
      </c>
      <c r="E20" s="277" t="s">
        <v>13</v>
      </c>
    </row>
    <row r="21" spans="1:5" ht="16.5" thickBot="1" x14ac:dyDescent="0.3">
      <c r="A21" s="93" t="s">
        <v>2</v>
      </c>
      <c r="B21" s="276"/>
      <c r="C21" s="94" t="s">
        <v>35</v>
      </c>
      <c r="D21" s="95" t="s">
        <v>3</v>
      </c>
      <c r="E21" s="278"/>
    </row>
    <row r="22" spans="1:5" ht="15.75" x14ac:dyDescent="0.25">
      <c r="A22" s="96">
        <v>1</v>
      </c>
      <c r="B22" s="53" t="s">
        <v>143</v>
      </c>
      <c r="C22" s="119">
        <v>85</v>
      </c>
      <c r="D22" s="118">
        <v>143</v>
      </c>
      <c r="E22" s="26"/>
    </row>
    <row r="23" spans="1:5" ht="15.75" x14ac:dyDescent="0.25">
      <c r="A23" s="32"/>
      <c r="B23" s="105"/>
      <c r="C23" s="137"/>
      <c r="D23" s="138"/>
      <c r="E23" s="27"/>
    </row>
    <row r="24" spans="1:5" ht="15.75" x14ac:dyDescent="0.25">
      <c r="A24" s="29"/>
      <c r="B24" s="54"/>
      <c r="C24" s="137"/>
      <c r="D24" s="138"/>
      <c r="E24" s="27"/>
    </row>
    <row r="25" spans="1:5" ht="16.5" thickBot="1" x14ac:dyDescent="0.3">
      <c r="A25" s="37">
        <v>2</v>
      </c>
      <c r="B25" s="99" t="s">
        <v>29</v>
      </c>
      <c r="C25" s="80">
        <f>SUM(C22:C24)</f>
        <v>85</v>
      </c>
      <c r="D25" s="100">
        <f>SUM(D22:D24)</f>
        <v>143</v>
      </c>
      <c r="E25" s="38"/>
    </row>
    <row r="26" spans="1:5" x14ac:dyDescent="0.25">
      <c r="A26" s="279" t="s">
        <v>105</v>
      </c>
      <c r="B26" s="280"/>
      <c r="C26" s="280"/>
      <c r="D26" s="280"/>
      <c r="E26" s="281"/>
    </row>
    <row r="27" spans="1:5" ht="15.75" thickBot="1" x14ac:dyDescent="0.3">
      <c r="A27" s="251"/>
      <c r="B27" s="252"/>
      <c r="C27" s="252"/>
      <c r="D27" s="252"/>
      <c r="E27" s="253"/>
    </row>
    <row r="28" spans="1:5" ht="15.75" x14ac:dyDescent="0.25">
      <c r="A28" s="2" t="s">
        <v>1</v>
      </c>
      <c r="B28" s="254" t="s">
        <v>5</v>
      </c>
      <c r="C28" s="18" t="s">
        <v>3</v>
      </c>
      <c r="D28" s="18" t="s">
        <v>4</v>
      </c>
      <c r="E28" s="256" t="s">
        <v>13</v>
      </c>
    </row>
    <row r="29" spans="1:5" ht="16.5" thickBot="1" x14ac:dyDescent="0.3">
      <c r="A29" s="15" t="s">
        <v>2</v>
      </c>
      <c r="B29" s="282"/>
      <c r="C29" s="19" t="s">
        <v>40</v>
      </c>
      <c r="D29" s="19" t="s">
        <v>40</v>
      </c>
      <c r="E29" s="323"/>
    </row>
    <row r="30" spans="1:5" ht="19.5" x14ac:dyDescent="0.4">
      <c r="A30" s="128">
        <v>1</v>
      </c>
      <c r="B30" s="135" t="s">
        <v>14</v>
      </c>
      <c r="C30" s="130">
        <v>22.15</v>
      </c>
      <c r="D30" s="146">
        <v>84</v>
      </c>
      <c r="E30" s="27"/>
    </row>
    <row r="31" spans="1:5" ht="20.25" thickBot="1" x14ac:dyDescent="0.45">
      <c r="A31" s="129">
        <v>2</v>
      </c>
      <c r="B31" s="136" t="s">
        <v>99</v>
      </c>
      <c r="C31" s="132">
        <v>1.45</v>
      </c>
      <c r="D31" s="145">
        <v>12</v>
      </c>
      <c r="E31" s="31"/>
    </row>
    <row r="32" spans="1:5" ht="16.5" x14ac:dyDescent="0.3">
      <c r="A32" s="35">
        <v>3</v>
      </c>
      <c r="B32" s="53" t="s">
        <v>15</v>
      </c>
      <c r="C32" s="120">
        <v>1.1499999999999999</v>
      </c>
      <c r="D32" s="121">
        <v>4.3</v>
      </c>
      <c r="E32" s="141" t="s">
        <v>148</v>
      </c>
    </row>
    <row r="33" spans="1:5" ht="17.25" thickBot="1" x14ac:dyDescent="0.35">
      <c r="A33" s="32">
        <v>4</v>
      </c>
      <c r="B33" s="54" t="s">
        <v>16</v>
      </c>
      <c r="C33" s="122" t="s">
        <v>64</v>
      </c>
      <c r="D33" s="123" t="s">
        <v>63</v>
      </c>
      <c r="E33" s="142" t="s">
        <v>96</v>
      </c>
    </row>
    <row r="34" spans="1:5" ht="17.25" thickBot="1" x14ac:dyDescent="0.35">
      <c r="A34" s="32">
        <v>5</v>
      </c>
      <c r="B34" s="54" t="s">
        <v>17</v>
      </c>
      <c r="C34" s="124"/>
      <c r="D34" s="123">
        <v>5.5</v>
      </c>
      <c r="E34" s="147"/>
    </row>
    <row r="35" spans="1:5" ht="17.25" thickBot="1" x14ac:dyDescent="0.35">
      <c r="A35" s="32">
        <v>6</v>
      </c>
      <c r="B35" s="54" t="s">
        <v>18</v>
      </c>
      <c r="C35" s="122" t="s">
        <v>64</v>
      </c>
      <c r="D35" s="123" t="s">
        <v>64</v>
      </c>
      <c r="E35" s="127" t="s">
        <v>130</v>
      </c>
    </row>
    <row r="36" spans="1:5" ht="16.5" x14ac:dyDescent="0.3">
      <c r="A36" s="32">
        <v>7</v>
      </c>
      <c r="B36" s="54" t="s">
        <v>19</v>
      </c>
      <c r="C36" s="122" t="s">
        <v>64</v>
      </c>
      <c r="D36" s="123" t="s">
        <v>115</v>
      </c>
      <c r="E36" s="148"/>
    </row>
    <row r="37" spans="1:5" ht="16.5" x14ac:dyDescent="0.3">
      <c r="A37" s="32">
        <v>8</v>
      </c>
      <c r="B37" s="54" t="s">
        <v>20</v>
      </c>
      <c r="C37" s="124">
        <v>0.3</v>
      </c>
      <c r="D37" s="123">
        <v>1.4</v>
      </c>
      <c r="E37" s="149"/>
    </row>
    <row r="38" spans="1:5" ht="16.5" x14ac:dyDescent="0.3">
      <c r="A38" s="32">
        <v>9</v>
      </c>
      <c r="B38" s="54" t="s">
        <v>21</v>
      </c>
      <c r="C38" s="122" t="s">
        <v>64</v>
      </c>
      <c r="D38" s="123" t="s">
        <v>116</v>
      </c>
      <c r="E38" s="151"/>
    </row>
    <row r="39" spans="1:5" ht="17.25" thickBot="1" x14ac:dyDescent="0.35">
      <c r="A39" s="37">
        <v>10</v>
      </c>
      <c r="B39" s="55" t="s">
        <v>22</v>
      </c>
      <c r="C39" s="126" t="s">
        <v>98</v>
      </c>
      <c r="D39" s="139" t="s">
        <v>115</v>
      </c>
      <c r="E39" s="150"/>
    </row>
    <row r="40" spans="1:5" x14ac:dyDescent="0.25">
      <c r="A40" s="262" t="s">
        <v>77</v>
      </c>
      <c r="B40" s="263"/>
      <c r="C40" s="263"/>
      <c r="D40" s="263"/>
      <c r="E40" s="264"/>
    </row>
    <row r="41" spans="1:5" ht="15.75" thickBot="1" x14ac:dyDescent="0.3">
      <c r="A41" s="265"/>
      <c r="B41" s="266"/>
      <c r="C41" s="266"/>
      <c r="D41" s="266"/>
      <c r="E41" s="267"/>
    </row>
    <row r="42" spans="1:5" ht="15.75" x14ac:dyDescent="0.25">
      <c r="A42" s="9" t="s">
        <v>1</v>
      </c>
      <c r="B42" s="268" t="s">
        <v>27</v>
      </c>
      <c r="C42" s="270" t="s">
        <v>3</v>
      </c>
      <c r="D42" s="270" t="s">
        <v>4</v>
      </c>
      <c r="E42" s="272" t="s">
        <v>28</v>
      </c>
    </row>
    <row r="43" spans="1:5" ht="16.5" thickBot="1" x14ac:dyDescent="0.3">
      <c r="A43" s="17" t="s">
        <v>2</v>
      </c>
      <c r="B43" s="269"/>
      <c r="C43" s="271"/>
      <c r="D43" s="271"/>
      <c r="E43" s="273"/>
    </row>
    <row r="44" spans="1:5" x14ac:dyDescent="0.25">
      <c r="A44" s="35">
        <v>1</v>
      </c>
      <c r="B44" s="53" t="s">
        <v>58</v>
      </c>
      <c r="C44" s="47" t="s">
        <v>57</v>
      </c>
      <c r="D44" s="49" t="s">
        <v>57</v>
      </c>
      <c r="E44" s="26"/>
    </row>
    <row r="45" spans="1:5" x14ac:dyDescent="0.25">
      <c r="A45" s="32">
        <v>2</v>
      </c>
      <c r="B45" s="54" t="s">
        <v>59</v>
      </c>
      <c r="C45" s="48">
        <v>159</v>
      </c>
      <c r="D45" s="48">
        <v>645</v>
      </c>
      <c r="E45" s="27"/>
    </row>
    <row r="46" spans="1:5" x14ac:dyDescent="0.25">
      <c r="A46" s="32">
        <v>3</v>
      </c>
      <c r="B46" s="54" t="s">
        <v>60</v>
      </c>
      <c r="C46" s="48">
        <v>159</v>
      </c>
      <c r="D46" s="48">
        <v>645</v>
      </c>
      <c r="E46" s="27"/>
    </row>
    <row r="47" spans="1:5" ht="19.5" thickBot="1" x14ac:dyDescent="0.45">
      <c r="A47" s="28" t="s">
        <v>78</v>
      </c>
      <c r="E47" s="24"/>
    </row>
    <row r="48" spans="1:5" ht="15.75" x14ac:dyDescent="0.25">
      <c r="A48" s="9" t="s">
        <v>1</v>
      </c>
      <c r="B48" s="254" t="s">
        <v>5</v>
      </c>
      <c r="C48" s="270" t="s">
        <v>3</v>
      </c>
      <c r="D48" s="256" t="s">
        <v>4</v>
      </c>
      <c r="E48" s="60" t="s">
        <v>61</v>
      </c>
    </row>
    <row r="49" spans="1:5" ht="15.75" x14ac:dyDescent="0.25">
      <c r="A49" s="1" t="s">
        <v>2</v>
      </c>
      <c r="B49" s="255"/>
      <c r="C49" s="274"/>
      <c r="D49" s="257"/>
      <c r="E49" s="61" t="s">
        <v>42</v>
      </c>
    </row>
    <row r="50" spans="1:5" x14ac:dyDescent="0.25">
      <c r="A50" s="29">
        <v>1</v>
      </c>
      <c r="B50" s="20" t="s">
        <v>43</v>
      </c>
      <c r="C50" s="50">
        <v>13.3</v>
      </c>
      <c r="D50" s="50">
        <v>56.12</v>
      </c>
      <c r="E50" s="51">
        <v>10.75</v>
      </c>
    </row>
    <row r="51" spans="1:5" x14ac:dyDescent="0.25">
      <c r="A51" s="248" t="s">
        <v>73</v>
      </c>
      <c r="B51" s="249"/>
      <c r="C51" s="249"/>
      <c r="D51" s="249"/>
      <c r="E51" s="250"/>
    </row>
    <row r="52" spans="1:5" ht="15.75" thickBot="1" x14ac:dyDescent="0.3">
      <c r="A52" s="251"/>
      <c r="B52" s="252"/>
      <c r="C52" s="252"/>
      <c r="D52" s="252"/>
      <c r="E52" s="253"/>
    </row>
    <row r="53" spans="1:5" ht="15.75" x14ac:dyDescent="0.25">
      <c r="A53" s="2" t="s">
        <v>1</v>
      </c>
      <c r="B53" s="254" t="s">
        <v>5</v>
      </c>
      <c r="C53" s="18" t="s">
        <v>3</v>
      </c>
      <c r="D53" s="18" t="s">
        <v>4</v>
      </c>
      <c r="E53" s="256" t="s">
        <v>13</v>
      </c>
    </row>
    <row r="54" spans="1:5" ht="15.75" x14ac:dyDescent="0.25">
      <c r="A54" s="21" t="s">
        <v>2</v>
      </c>
      <c r="B54" s="255"/>
      <c r="C54" s="22" t="s">
        <v>46</v>
      </c>
      <c r="D54" s="22" t="s">
        <v>46</v>
      </c>
      <c r="E54" s="257"/>
    </row>
    <row r="55" spans="1:5" ht="15.75" x14ac:dyDescent="0.25">
      <c r="A55" s="32">
        <v>1</v>
      </c>
      <c r="B55" s="54" t="s">
        <v>151</v>
      </c>
      <c r="C55" s="76">
        <v>34221</v>
      </c>
      <c r="D55" s="76">
        <v>139574</v>
      </c>
      <c r="E55" s="75" t="s">
        <v>152</v>
      </c>
    </row>
    <row r="56" spans="1:5" ht="15.75" x14ac:dyDescent="0.25">
      <c r="A56" s="32">
        <v>2</v>
      </c>
      <c r="B56" s="54" t="s">
        <v>47</v>
      </c>
      <c r="C56" s="76">
        <v>239.3</v>
      </c>
      <c r="D56" s="76">
        <v>240.23</v>
      </c>
      <c r="E56" s="27"/>
    </row>
    <row r="57" spans="1:5" ht="20.25" thickBot="1" x14ac:dyDescent="0.45">
      <c r="A57" s="25" t="s">
        <v>48</v>
      </c>
      <c r="B57" s="36"/>
      <c r="E57" s="24"/>
    </row>
    <row r="58" spans="1:5" ht="15.75" x14ac:dyDescent="0.25">
      <c r="A58" s="2" t="s">
        <v>1</v>
      </c>
      <c r="B58" s="254" t="s">
        <v>5</v>
      </c>
      <c r="C58" s="270" t="s">
        <v>3</v>
      </c>
      <c r="D58" s="270" t="s">
        <v>4</v>
      </c>
      <c r="E58" s="256" t="s">
        <v>13</v>
      </c>
    </row>
    <row r="59" spans="1:5" ht="15.75" x14ac:dyDescent="0.25">
      <c r="A59" s="21" t="s">
        <v>2</v>
      </c>
      <c r="B59" s="255"/>
      <c r="C59" s="274"/>
      <c r="D59" s="274"/>
      <c r="E59" s="257"/>
    </row>
    <row r="60" spans="1:5" ht="15.75" x14ac:dyDescent="0.25">
      <c r="A60" s="32">
        <v>1</v>
      </c>
      <c r="B60" s="3" t="s">
        <v>49</v>
      </c>
      <c r="C60" s="76">
        <v>208</v>
      </c>
      <c r="D60" s="76">
        <v>832</v>
      </c>
      <c r="E60" s="27"/>
    </row>
    <row r="61" spans="1:5" ht="15.75" x14ac:dyDescent="0.25">
      <c r="A61" s="32">
        <v>2</v>
      </c>
      <c r="B61" s="3" t="s">
        <v>52</v>
      </c>
      <c r="C61" s="76">
        <v>1.454</v>
      </c>
      <c r="D61" s="76">
        <v>1.4319999999999999</v>
      </c>
      <c r="E61" s="27"/>
    </row>
    <row r="62" spans="1:5" ht="15.75" x14ac:dyDescent="0.25">
      <c r="A62" s="32">
        <v>3</v>
      </c>
      <c r="B62" s="3" t="s">
        <v>50</v>
      </c>
      <c r="C62" s="76">
        <v>50</v>
      </c>
      <c r="D62" s="76">
        <v>340</v>
      </c>
      <c r="E62" s="27"/>
    </row>
    <row r="63" spans="1:5" ht="15.75" x14ac:dyDescent="0.25">
      <c r="A63" s="32">
        <v>4</v>
      </c>
      <c r="B63" s="3" t="s">
        <v>53</v>
      </c>
      <c r="C63" s="76">
        <v>0.34899999999999998</v>
      </c>
      <c r="D63" s="89">
        <v>0.58499999999999996</v>
      </c>
      <c r="E63" s="27"/>
    </row>
    <row r="64" spans="1:5" ht="15.75" x14ac:dyDescent="0.25">
      <c r="A64" s="32">
        <v>5</v>
      </c>
      <c r="B64" s="3" t="s">
        <v>51</v>
      </c>
      <c r="C64" s="152">
        <v>38</v>
      </c>
      <c r="D64" s="76">
        <v>154.30000000000001</v>
      </c>
      <c r="E64" s="27"/>
    </row>
    <row r="65" spans="1:5" ht="15.75" x14ac:dyDescent="0.25">
      <c r="A65" s="32">
        <v>6</v>
      </c>
      <c r="B65" s="3" t="s">
        <v>54</v>
      </c>
      <c r="C65" s="76">
        <v>0.26500000000000001</v>
      </c>
      <c r="D65" s="76">
        <v>0.26500000000000001</v>
      </c>
      <c r="E65" s="27"/>
    </row>
    <row r="66" spans="1:5" ht="15.75" x14ac:dyDescent="0.25">
      <c r="A66" s="32">
        <v>7</v>
      </c>
      <c r="B66" s="3" t="s">
        <v>55</v>
      </c>
      <c r="C66" s="89">
        <v>44.917999999999999</v>
      </c>
      <c r="D66" s="76">
        <v>177.06899999999999</v>
      </c>
      <c r="E66" s="27"/>
    </row>
    <row r="67" spans="1:5" ht="16.5" thickBot="1" x14ac:dyDescent="0.3">
      <c r="A67" s="37">
        <v>8</v>
      </c>
      <c r="B67" s="52" t="s">
        <v>56</v>
      </c>
      <c r="C67" s="77">
        <v>0.314</v>
      </c>
      <c r="D67" s="77">
        <v>0.30399999999999999</v>
      </c>
      <c r="E67" s="38"/>
    </row>
  </sheetData>
  <mergeCells count="29">
    <mergeCell ref="A1:E1"/>
    <mergeCell ref="A2:E2"/>
    <mergeCell ref="A3:E3"/>
    <mergeCell ref="A4:E5"/>
    <mergeCell ref="B6:B7"/>
    <mergeCell ref="C6:C7"/>
    <mergeCell ref="D6:D7"/>
    <mergeCell ref="E6:E7"/>
    <mergeCell ref="B48:B49"/>
    <mergeCell ref="C48:C49"/>
    <mergeCell ref="D48:D49"/>
    <mergeCell ref="A18:E19"/>
    <mergeCell ref="B20:B21"/>
    <mergeCell ref="E20:E21"/>
    <mergeCell ref="A26:E27"/>
    <mergeCell ref="B28:B29"/>
    <mergeCell ref="E28:E29"/>
    <mergeCell ref="A40:E41"/>
    <mergeCell ref="B42:B43"/>
    <mergeCell ref="C42:C43"/>
    <mergeCell ref="D42:D43"/>
    <mergeCell ref="E42:E43"/>
    <mergeCell ref="A51:E52"/>
    <mergeCell ref="B53:B54"/>
    <mergeCell ref="E53:E54"/>
    <mergeCell ref="B58:B59"/>
    <mergeCell ref="C58:C59"/>
    <mergeCell ref="D58:D59"/>
    <mergeCell ref="E58:E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7"/>
  <sheetViews>
    <sheetView topLeftCell="A33" workbookViewId="0">
      <selection activeCell="C66" sqref="C66"/>
    </sheetView>
  </sheetViews>
  <sheetFormatPr defaultRowHeight="15" x14ac:dyDescent="0.25"/>
  <cols>
    <col min="1" max="1" width="6.5703125" customWidth="1"/>
    <col min="2" max="2" width="35.7109375" customWidth="1"/>
    <col min="3" max="3" width="11.28515625" customWidth="1"/>
    <col min="4" max="4" width="16.140625" customWidth="1"/>
    <col min="5" max="5" width="56.7109375" customWidth="1"/>
  </cols>
  <sheetData>
    <row r="1" spans="1:5" ht="23.25" thickBot="1" x14ac:dyDescent="0.5">
      <c r="A1" s="284" t="s">
        <v>153</v>
      </c>
      <c r="B1" s="285"/>
      <c r="C1" s="285"/>
      <c r="D1" s="285"/>
      <c r="E1" s="286"/>
    </row>
    <row r="2" spans="1:5" ht="23.25" thickBot="1" x14ac:dyDescent="0.5">
      <c r="A2" s="287" t="s">
        <v>30</v>
      </c>
      <c r="B2" s="288"/>
      <c r="C2" s="288"/>
      <c r="D2" s="288"/>
      <c r="E2" s="289"/>
    </row>
    <row r="3" spans="1:5" ht="25.5" thickBot="1" x14ac:dyDescent="0.3">
      <c r="A3" s="290" t="s">
        <v>0</v>
      </c>
      <c r="B3" s="291"/>
      <c r="C3" s="291"/>
      <c r="D3" s="291"/>
      <c r="E3" s="292"/>
    </row>
    <row r="4" spans="1:5" x14ac:dyDescent="0.25">
      <c r="A4" s="293" t="s">
        <v>32</v>
      </c>
      <c r="B4" s="294"/>
      <c r="C4" s="294"/>
      <c r="D4" s="294"/>
      <c r="E4" s="295"/>
    </row>
    <row r="5" spans="1:5" ht="15.75" thickBot="1" x14ac:dyDescent="0.3">
      <c r="A5" s="296"/>
      <c r="B5" s="297"/>
      <c r="C5" s="297"/>
      <c r="D5" s="297"/>
      <c r="E5" s="298"/>
    </row>
    <row r="6" spans="1:5" ht="15.75" x14ac:dyDescent="0.25">
      <c r="A6" s="2" t="s">
        <v>1</v>
      </c>
      <c r="B6" s="254" t="s">
        <v>5</v>
      </c>
      <c r="C6" s="270" t="s">
        <v>3</v>
      </c>
      <c r="D6" s="270" t="s">
        <v>4</v>
      </c>
      <c r="E6" s="256" t="s">
        <v>13</v>
      </c>
    </row>
    <row r="7" spans="1:5" ht="16.5" thickBot="1" x14ac:dyDescent="0.3">
      <c r="A7" s="15" t="s">
        <v>2</v>
      </c>
      <c r="B7" s="282"/>
      <c r="C7" s="271"/>
      <c r="D7" s="271"/>
      <c r="E7" s="283"/>
    </row>
    <row r="8" spans="1:5" ht="15.75" x14ac:dyDescent="0.25">
      <c r="A8" s="35">
        <v>1</v>
      </c>
      <c r="B8" s="16" t="s">
        <v>6</v>
      </c>
      <c r="C8" s="78">
        <v>8</v>
      </c>
      <c r="D8" s="78">
        <v>589</v>
      </c>
      <c r="E8" s="26"/>
    </row>
    <row r="9" spans="1:5" ht="15.75" x14ac:dyDescent="0.25">
      <c r="A9" s="32">
        <v>2</v>
      </c>
      <c r="B9" s="3" t="s">
        <v>7</v>
      </c>
      <c r="C9" s="79" t="s">
        <v>68</v>
      </c>
      <c r="D9" s="79">
        <v>117.8</v>
      </c>
      <c r="E9" s="27"/>
    </row>
    <row r="10" spans="1:5" ht="15.75" x14ac:dyDescent="0.25">
      <c r="A10" s="32">
        <v>3</v>
      </c>
      <c r="B10" s="3" t="s">
        <v>8</v>
      </c>
      <c r="C10" s="79">
        <v>17.13</v>
      </c>
      <c r="D10" s="79">
        <v>594.76</v>
      </c>
      <c r="E10" s="27"/>
    </row>
    <row r="11" spans="1:5" ht="15.75" x14ac:dyDescent="0.25">
      <c r="A11" s="32">
        <v>4</v>
      </c>
      <c r="B11" s="3" t="s">
        <v>9</v>
      </c>
      <c r="C11" s="79"/>
      <c r="D11" s="79">
        <v>118.952</v>
      </c>
      <c r="E11" s="27"/>
    </row>
    <row r="12" spans="1:5" ht="15.75" x14ac:dyDescent="0.25">
      <c r="A12" s="32">
        <v>5</v>
      </c>
      <c r="B12" s="3" t="s">
        <v>12</v>
      </c>
      <c r="C12" s="79" t="s">
        <v>154</v>
      </c>
      <c r="D12" s="79" t="s">
        <v>155</v>
      </c>
      <c r="E12" s="27"/>
    </row>
    <row r="13" spans="1:5" ht="15.75" x14ac:dyDescent="0.3">
      <c r="A13" s="58">
        <v>6</v>
      </c>
      <c r="B13" s="5" t="s">
        <v>45</v>
      </c>
      <c r="C13" s="39" t="s">
        <v>116</v>
      </c>
      <c r="D13" s="39" t="s">
        <v>116</v>
      </c>
      <c r="E13" s="27"/>
    </row>
    <row r="14" spans="1:5" ht="15.75" x14ac:dyDescent="0.3">
      <c r="A14" s="58">
        <v>7</v>
      </c>
      <c r="B14" s="5" t="s">
        <v>44</v>
      </c>
      <c r="C14" s="39" t="s">
        <v>116</v>
      </c>
      <c r="D14" s="39" t="s">
        <v>116</v>
      </c>
      <c r="E14" s="27"/>
    </row>
    <row r="15" spans="1:5" ht="15.75" x14ac:dyDescent="0.3">
      <c r="A15" s="58">
        <v>8</v>
      </c>
      <c r="B15" s="5" t="s">
        <v>10</v>
      </c>
      <c r="C15" s="39" t="s">
        <v>116</v>
      </c>
      <c r="D15" s="39" t="s">
        <v>117</v>
      </c>
      <c r="E15" s="27"/>
    </row>
    <row r="16" spans="1:5" ht="15.75" x14ac:dyDescent="0.3">
      <c r="A16" s="58">
        <v>9</v>
      </c>
      <c r="B16" s="5" t="s">
        <v>11</v>
      </c>
      <c r="C16" s="39" t="s">
        <v>116</v>
      </c>
      <c r="D16" s="39" t="s">
        <v>117</v>
      </c>
      <c r="E16" s="27"/>
    </row>
    <row r="17" spans="1:5" ht="15.75" x14ac:dyDescent="0.3">
      <c r="A17" s="58">
        <v>10</v>
      </c>
      <c r="B17" s="4" t="s">
        <v>12</v>
      </c>
      <c r="C17" s="39" t="s">
        <v>118</v>
      </c>
      <c r="D17" s="40" t="s">
        <v>118</v>
      </c>
      <c r="E17" s="27"/>
    </row>
    <row r="18" spans="1:5" x14ac:dyDescent="0.25">
      <c r="A18" s="248" t="s">
        <v>104</v>
      </c>
      <c r="B18" s="249"/>
      <c r="C18" s="249"/>
      <c r="D18" s="249"/>
      <c r="E18" s="250"/>
    </row>
    <row r="19" spans="1:5" ht="15.75" thickBot="1" x14ac:dyDescent="0.3">
      <c r="A19" s="251"/>
      <c r="B19" s="252"/>
      <c r="C19" s="252"/>
      <c r="D19" s="252"/>
      <c r="E19" s="253"/>
    </row>
    <row r="20" spans="1:5" ht="15.75" x14ac:dyDescent="0.25">
      <c r="A20" s="11" t="s">
        <v>1</v>
      </c>
      <c r="B20" s="275" t="s">
        <v>31</v>
      </c>
      <c r="C20" s="56" t="s">
        <v>34</v>
      </c>
      <c r="D20" s="41" t="s">
        <v>33</v>
      </c>
      <c r="E20" s="277" t="s">
        <v>13</v>
      </c>
    </row>
    <row r="21" spans="1:5" ht="16.5" thickBot="1" x14ac:dyDescent="0.3">
      <c r="A21" s="93" t="s">
        <v>2</v>
      </c>
      <c r="B21" s="276"/>
      <c r="C21" s="94" t="s">
        <v>35</v>
      </c>
      <c r="D21" s="95" t="s">
        <v>3</v>
      </c>
      <c r="E21" s="278"/>
    </row>
    <row r="22" spans="1:5" ht="15.75" x14ac:dyDescent="0.25">
      <c r="A22" s="96">
        <v>1</v>
      </c>
      <c r="B22" s="53" t="s">
        <v>143</v>
      </c>
      <c r="C22" s="119">
        <v>5</v>
      </c>
      <c r="D22" s="118">
        <v>8</v>
      </c>
      <c r="E22" s="26"/>
    </row>
    <row r="23" spans="1:5" ht="15.75" x14ac:dyDescent="0.25">
      <c r="A23" s="32"/>
      <c r="B23" s="105"/>
      <c r="C23" s="137"/>
      <c r="D23" s="138"/>
      <c r="E23" s="27"/>
    </row>
    <row r="24" spans="1:5" ht="15.75" x14ac:dyDescent="0.25">
      <c r="A24" s="29"/>
      <c r="B24" s="54"/>
      <c r="C24" s="137"/>
      <c r="D24" s="138"/>
      <c r="E24" s="27"/>
    </row>
    <row r="25" spans="1:5" ht="16.5" thickBot="1" x14ac:dyDescent="0.3">
      <c r="A25" s="37">
        <v>2</v>
      </c>
      <c r="B25" s="99" t="s">
        <v>29</v>
      </c>
      <c r="C25" s="80">
        <f>SUM(C22:C24)</f>
        <v>5</v>
      </c>
      <c r="D25" s="100">
        <f>SUM(D22:D24)</f>
        <v>8</v>
      </c>
      <c r="E25" s="38"/>
    </row>
    <row r="26" spans="1:5" x14ac:dyDescent="0.25">
      <c r="A26" s="279" t="s">
        <v>105</v>
      </c>
      <c r="B26" s="280"/>
      <c r="C26" s="280"/>
      <c r="D26" s="280"/>
      <c r="E26" s="281"/>
    </row>
    <row r="27" spans="1:5" ht="15.75" thickBot="1" x14ac:dyDescent="0.3">
      <c r="A27" s="251"/>
      <c r="B27" s="252"/>
      <c r="C27" s="252"/>
      <c r="D27" s="252"/>
      <c r="E27" s="253"/>
    </row>
    <row r="28" spans="1:5" ht="15.75" x14ac:dyDescent="0.25">
      <c r="A28" s="2" t="s">
        <v>1</v>
      </c>
      <c r="B28" s="254" t="s">
        <v>5</v>
      </c>
      <c r="C28" s="18" t="s">
        <v>3</v>
      </c>
      <c r="D28" s="18" t="s">
        <v>4</v>
      </c>
      <c r="E28" s="256" t="s">
        <v>13</v>
      </c>
    </row>
    <row r="29" spans="1:5" ht="16.5" thickBot="1" x14ac:dyDescent="0.3">
      <c r="A29" s="15" t="s">
        <v>2</v>
      </c>
      <c r="B29" s="282"/>
      <c r="C29" s="19" t="s">
        <v>40</v>
      </c>
      <c r="D29" s="19" t="s">
        <v>40</v>
      </c>
      <c r="E29" s="323"/>
    </row>
    <row r="30" spans="1:5" ht="19.5" x14ac:dyDescent="0.4">
      <c r="A30" s="128">
        <v>1</v>
      </c>
      <c r="B30" s="135" t="s">
        <v>14</v>
      </c>
      <c r="C30" s="130">
        <v>1.1499999999999999</v>
      </c>
      <c r="D30" s="146">
        <v>85.15</v>
      </c>
      <c r="E30" s="27"/>
    </row>
    <row r="31" spans="1:5" ht="20.25" thickBot="1" x14ac:dyDescent="0.45">
      <c r="A31" s="129">
        <v>2</v>
      </c>
      <c r="B31" s="136" t="s">
        <v>99</v>
      </c>
      <c r="C31" s="132">
        <v>22.45</v>
      </c>
      <c r="D31" s="145">
        <v>34.450000000000003</v>
      </c>
      <c r="E31" s="90"/>
    </row>
    <row r="32" spans="1:5" ht="16.5" x14ac:dyDescent="0.3">
      <c r="A32" s="35">
        <v>3</v>
      </c>
      <c r="B32" s="53" t="s">
        <v>15</v>
      </c>
      <c r="C32" s="154" t="s">
        <v>115</v>
      </c>
      <c r="D32" s="121">
        <v>4.3</v>
      </c>
      <c r="E32" s="140" t="s">
        <v>159</v>
      </c>
    </row>
    <row r="33" spans="1:5" ht="16.5" x14ac:dyDescent="0.3">
      <c r="A33" s="32">
        <v>4</v>
      </c>
      <c r="B33" s="54" t="s">
        <v>16</v>
      </c>
      <c r="C33" s="122" t="s">
        <v>64</v>
      </c>
      <c r="D33" s="123" t="s">
        <v>63</v>
      </c>
      <c r="E33" s="140" t="s">
        <v>160</v>
      </c>
    </row>
    <row r="34" spans="1:5" ht="16.5" x14ac:dyDescent="0.3">
      <c r="A34" s="32">
        <v>5</v>
      </c>
      <c r="B34" s="54" t="s">
        <v>17</v>
      </c>
      <c r="C34" s="124">
        <v>13.45</v>
      </c>
      <c r="D34" s="123">
        <v>19.350000000000001</v>
      </c>
      <c r="E34" s="140"/>
    </row>
    <row r="35" spans="1:5" ht="16.5" x14ac:dyDescent="0.3">
      <c r="A35" s="32">
        <v>6</v>
      </c>
      <c r="B35" s="54" t="s">
        <v>18</v>
      </c>
      <c r="C35" s="122" t="s">
        <v>64</v>
      </c>
      <c r="D35" s="123" t="s">
        <v>64</v>
      </c>
      <c r="E35" s="140" t="s">
        <v>161</v>
      </c>
    </row>
    <row r="36" spans="1:5" ht="16.5" x14ac:dyDescent="0.3">
      <c r="A36" s="32">
        <v>7</v>
      </c>
      <c r="B36" s="54" t="s">
        <v>19</v>
      </c>
      <c r="C36" s="122" t="s">
        <v>64</v>
      </c>
      <c r="D36" s="123" t="s">
        <v>115</v>
      </c>
      <c r="E36" s="140"/>
    </row>
    <row r="37" spans="1:5" ht="16.5" x14ac:dyDescent="0.3">
      <c r="A37" s="32">
        <v>8</v>
      </c>
      <c r="B37" s="54" t="s">
        <v>20</v>
      </c>
      <c r="C37" s="124" t="s">
        <v>117</v>
      </c>
      <c r="D37" s="123">
        <v>1.4</v>
      </c>
      <c r="E37" s="153"/>
    </row>
    <row r="38" spans="1:5" ht="16.5" x14ac:dyDescent="0.3">
      <c r="A38" s="32">
        <v>9</v>
      </c>
      <c r="B38" s="54" t="s">
        <v>21</v>
      </c>
      <c r="C38" s="122" t="s">
        <v>64</v>
      </c>
      <c r="D38" s="123" t="s">
        <v>116</v>
      </c>
      <c r="E38" s="140"/>
    </row>
    <row r="39" spans="1:5" ht="17.25" thickBot="1" x14ac:dyDescent="0.35">
      <c r="A39" s="37">
        <v>10</v>
      </c>
      <c r="B39" s="55" t="s">
        <v>22</v>
      </c>
      <c r="C39" s="126">
        <v>9</v>
      </c>
      <c r="D39" s="139">
        <v>9</v>
      </c>
      <c r="E39" s="140"/>
    </row>
    <row r="40" spans="1:5" x14ac:dyDescent="0.25">
      <c r="A40" s="262" t="s">
        <v>77</v>
      </c>
      <c r="B40" s="263"/>
      <c r="C40" s="263"/>
      <c r="D40" s="263"/>
      <c r="E40" s="264"/>
    </row>
    <row r="41" spans="1:5" ht="15.75" thickBot="1" x14ac:dyDescent="0.3">
      <c r="A41" s="265"/>
      <c r="B41" s="266"/>
      <c r="C41" s="266"/>
      <c r="D41" s="266"/>
      <c r="E41" s="267"/>
    </row>
    <row r="42" spans="1:5" ht="15.75" x14ac:dyDescent="0.25">
      <c r="A42" s="9" t="s">
        <v>1</v>
      </c>
      <c r="B42" s="268" t="s">
        <v>27</v>
      </c>
      <c r="C42" s="270" t="s">
        <v>3</v>
      </c>
      <c r="D42" s="270" t="s">
        <v>4</v>
      </c>
      <c r="E42" s="272" t="s">
        <v>28</v>
      </c>
    </row>
    <row r="43" spans="1:5" ht="16.5" thickBot="1" x14ac:dyDescent="0.3">
      <c r="A43" s="17" t="s">
        <v>2</v>
      </c>
      <c r="B43" s="269"/>
      <c r="C43" s="271"/>
      <c r="D43" s="271"/>
      <c r="E43" s="273"/>
    </row>
    <row r="44" spans="1:5" x14ac:dyDescent="0.25">
      <c r="A44" s="35">
        <v>1</v>
      </c>
      <c r="B44" s="53" t="s">
        <v>58</v>
      </c>
      <c r="C44" s="47" t="s">
        <v>57</v>
      </c>
      <c r="D44" s="49" t="s">
        <v>57</v>
      </c>
      <c r="E44" s="26"/>
    </row>
    <row r="45" spans="1:5" x14ac:dyDescent="0.25">
      <c r="A45" s="32">
        <v>2</v>
      </c>
      <c r="B45" s="54" t="s">
        <v>59</v>
      </c>
      <c r="C45" s="48">
        <v>9</v>
      </c>
      <c r="D45" s="48">
        <v>654</v>
      </c>
      <c r="E45" s="27"/>
    </row>
    <row r="46" spans="1:5" x14ac:dyDescent="0.25">
      <c r="A46" s="32">
        <v>3</v>
      </c>
      <c r="B46" s="54" t="s">
        <v>60</v>
      </c>
      <c r="C46" s="48">
        <v>9</v>
      </c>
      <c r="D46" s="48">
        <v>654</v>
      </c>
      <c r="E46" s="27"/>
    </row>
    <row r="47" spans="1:5" ht="19.5" thickBot="1" x14ac:dyDescent="0.45">
      <c r="A47" s="28" t="s">
        <v>78</v>
      </c>
      <c r="E47" s="24"/>
    </row>
    <row r="48" spans="1:5" ht="15.75" x14ac:dyDescent="0.25">
      <c r="A48" s="9" t="s">
        <v>1</v>
      </c>
      <c r="B48" s="254" t="s">
        <v>5</v>
      </c>
      <c r="C48" s="270" t="s">
        <v>3</v>
      </c>
      <c r="D48" s="256" t="s">
        <v>4</v>
      </c>
      <c r="E48" s="60" t="s">
        <v>61</v>
      </c>
    </row>
    <row r="49" spans="1:5" ht="15.75" x14ac:dyDescent="0.25">
      <c r="A49" s="1" t="s">
        <v>2</v>
      </c>
      <c r="B49" s="255"/>
      <c r="C49" s="274"/>
      <c r="D49" s="257"/>
      <c r="E49" s="61" t="s">
        <v>42</v>
      </c>
    </row>
    <row r="50" spans="1:5" x14ac:dyDescent="0.25">
      <c r="A50" s="29">
        <v>1</v>
      </c>
      <c r="B50" s="20" t="s">
        <v>43</v>
      </c>
      <c r="C50" s="50" t="s">
        <v>156</v>
      </c>
      <c r="D50" s="50">
        <v>56.12</v>
      </c>
      <c r="E50" s="51"/>
    </row>
    <row r="51" spans="1:5" x14ac:dyDescent="0.25">
      <c r="A51" s="248" t="s">
        <v>73</v>
      </c>
      <c r="B51" s="249"/>
      <c r="C51" s="249"/>
      <c r="D51" s="249"/>
      <c r="E51" s="250"/>
    </row>
    <row r="52" spans="1:5" ht="15.75" thickBot="1" x14ac:dyDescent="0.3">
      <c r="A52" s="251"/>
      <c r="B52" s="252"/>
      <c r="C52" s="252"/>
      <c r="D52" s="252"/>
      <c r="E52" s="253"/>
    </row>
    <row r="53" spans="1:5" ht="15.75" x14ac:dyDescent="0.25">
      <c r="A53" s="2" t="s">
        <v>1</v>
      </c>
      <c r="B53" s="254" t="s">
        <v>5</v>
      </c>
      <c r="C53" s="18" t="s">
        <v>3</v>
      </c>
      <c r="D53" s="18" t="s">
        <v>4</v>
      </c>
      <c r="E53" s="256" t="s">
        <v>13</v>
      </c>
    </row>
    <row r="54" spans="1:5" ht="15.75" x14ac:dyDescent="0.25">
      <c r="A54" s="21" t="s">
        <v>2</v>
      </c>
      <c r="B54" s="255"/>
      <c r="C54" s="22" t="s">
        <v>46</v>
      </c>
      <c r="D54" s="22" t="s">
        <v>46</v>
      </c>
      <c r="E54" s="257"/>
    </row>
    <row r="55" spans="1:5" ht="15.75" x14ac:dyDescent="0.25">
      <c r="A55" s="32">
        <v>1</v>
      </c>
      <c r="B55" s="54" t="s">
        <v>157</v>
      </c>
      <c r="C55" s="76">
        <v>5836</v>
      </c>
      <c r="D55" s="76">
        <v>145410</v>
      </c>
      <c r="E55" s="75" t="s">
        <v>158</v>
      </c>
    </row>
    <row r="56" spans="1:5" ht="15.75" x14ac:dyDescent="0.25">
      <c r="A56" s="32">
        <v>2</v>
      </c>
      <c r="B56" s="54" t="s">
        <v>47</v>
      </c>
      <c r="C56" s="76">
        <v>729.5</v>
      </c>
      <c r="D56" s="76">
        <v>246.87</v>
      </c>
      <c r="E56" s="27"/>
    </row>
    <row r="57" spans="1:5" ht="20.25" thickBot="1" x14ac:dyDescent="0.45">
      <c r="A57" s="25" t="s">
        <v>48</v>
      </c>
      <c r="B57" s="36"/>
      <c r="E57" s="24"/>
    </row>
    <row r="58" spans="1:5" ht="15.75" x14ac:dyDescent="0.25">
      <c r="A58" s="2" t="s">
        <v>1</v>
      </c>
      <c r="B58" s="254" t="s">
        <v>5</v>
      </c>
      <c r="C58" s="270" t="s">
        <v>3</v>
      </c>
      <c r="D58" s="270" t="s">
        <v>4</v>
      </c>
      <c r="E58" s="256" t="s">
        <v>13</v>
      </c>
    </row>
    <row r="59" spans="1:5" ht="15.75" x14ac:dyDescent="0.25">
      <c r="A59" s="21" t="s">
        <v>2</v>
      </c>
      <c r="B59" s="255"/>
      <c r="C59" s="274"/>
      <c r="D59" s="274"/>
      <c r="E59" s="257"/>
    </row>
    <row r="60" spans="1:5" ht="15.75" x14ac:dyDescent="0.25">
      <c r="A60" s="32">
        <v>1</v>
      </c>
      <c r="B60" s="3" t="s">
        <v>49</v>
      </c>
      <c r="C60" s="76">
        <v>21</v>
      </c>
      <c r="D60" s="76">
        <v>853</v>
      </c>
      <c r="E60" s="27"/>
    </row>
    <row r="61" spans="1:5" ht="15.75" x14ac:dyDescent="0.25">
      <c r="A61" s="32">
        <v>2</v>
      </c>
      <c r="B61" s="3" t="s">
        <v>52</v>
      </c>
      <c r="C61" s="76">
        <v>2.625</v>
      </c>
      <c r="D61" s="76">
        <v>1.448</v>
      </c>
      <c r="E61" s="27"/>
    </row>
    <row r="62" spans="1:5" ht="15.75" x14ac:dyDescent="0.25">
      <c r="A62" s="32">
        <v>3</v>
      </c>
      <c r="B62" s="3" t="s">
        <v>50</v>
      </c>
      <c r="C62" s="76">
        <v>17</v>
      </c>
      <c r="D62" s="76">
        <v>357</v>
      </c>
      <c r="E62" s="27"/>
    </row>
    <row r="63" spans="1:5" ht="15.75" x14ac:dyDescent="0.25">
      <c r="A63" s="32">
        <v>4</v>
      </c>
      <c r="B63" s="3" t="s">
        <v>53</v>
      </c>
      <c r="C63" s="76">
        <v>2.125</v>
      </c>
      <c r="D63" s="89">
        <v>0.60599999999999998</v>
      </c>
      <c r="E63" s="27"/>
    </row>
    <row r="64" spans="1:5" ht="15.75" x14ac:dyDescent="0.25">
      <c r="A64" s="32">
        <v>5</v>
      </c>
      <c r="B64" s="3" t="s">
        <v>51</v>
      </c>
      <c r="C64" s="152">
        <v>11.2</v>
      </c>
      <c r="D64" s="76">
        <v>165.5</v>
      </c>
      <c r="E64" s="27"/>
    </row>
    <row r="65" spans="1:5" ht="15.75" x14ac:dyDescent="0.25">
      <c r="A65" s="32">
        <v>6</v>
      </c>
      <c r="B65" s="3" t="s">
        <v>54</v>
      </c>
      <c r="C65" s="89">
        <v>1.4</v>
      </c>
      <c r="D65" s="76">
        <v>0.28000000000000003</v>
      </c>
      <c r="E65" s="27"/>
    </row>
    <row r="66" spans="1:5" ht="15.75" x14ac:dyDescent="0.25">
      <c r="A66" s="32">
        <v>7</v>
      </c>
      <c r="B66" s="3" t="s">
        <v>55</v>
      </c>
      <c r="C66" s="89">
        <v>4.3609999999999998</v>
      </c>
      <c r="D66" s="89">
        <v>181.43</v>
      </c>
      <c r="E66" s="27"/>
    </row>
    <row r="67" spans="1:5" ht="16.5" thickBot="1" x14ac:dyDescent="0.3">
      <c r="A67" s="37">
        <v>8</v>
      </c>
      <c r="B67" s="52" t="s">
        <v>56</v>
      </c>
      <c r="C67" s="77">
        <v>0.54500000000000004</v>
      </c>
      <c r="D67" s="77">
        <v>0.308</v>
      </c>
      <c r="E67" s="38"/>
    </row>
  </sheetData>
  <mergeCells count="29">
    <mergeCell ref="A51:E52"/>
    <mergeCell ref="B53:B54"/>
    <mergeCell ref="E53:E54"/>
    <mergeCell ref="B58:B59"/>
    <mergeCell ref="C58:C59"/>
    <mergeCell ref="D58:D59"/>
    <mergeCell ref="E58:E59"/>
    <mergeCell ref="B48:B49"/>
    <mergeCell ref="C48:C49"/>
    <mergeCell ref="D48:D49"/>
    <mergeCell ref="A18:E19"/>
    <mergeCell ref="B20:B21"/>
    <mergeCell ref="E20:E21"/>
    <mergeCell ref="A26:E27"/>
    <mergeCell ref="B28:B29"/>
    <mergeCell ref="E28:E29"/>
    <mergeCell ref="A40:E41"/>
    <mergeCell ref="B42:B43"/>
    <mergeCell ref="C42:C43"/>
    <mergeCell ref="D42:D43"/>
    <mergeCell ref="E42:E43"/>
    <mergeCell ref="A1:E1"/>
    <mergeCell ref="A2:E2"/>
    <mergeCell ref="A3:E3"/>
    <mergeCell ref="A4:E5"/>
    <mergeCell ref="B6:B7"/>
    <mergeCell ref="C6:C7"/>
    <mergeCell ref="D6:D7"/>
    <mergeCell ref="E6:E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68"/>
  <sheetViews>
    <sheetView topLeftCell="A36" workbookViewId="0">
      <selection activeCell="G38" sqref="G38"/>
    </sheetView>
  </sheetViews>
  <sheetFormatPr defaultRowHeight="15" x14ac:dyDescent="0.25"/>
  <cols>
    <col min="1" max="1" width="5.42578125" customWidth="1"/>
    <col min="2" max="2" width="35" customWidth="1"/>
    <col min="3" max="3" width="10.140625" customWidth="1"/>
    <col min="4" max="4" width="17.7109375" customWidth="1"/>
    <col min="5" max="5" width="53.140625" customWidth="1"/>
  </cols>
  <sheetData>
    <row r="1" spans="1:5" ht="23.25" thickBot="1" x14ac:dyDescent="0.5">
      <c r="A1" s="284" t="s">
        <v>162</v>
      </c>
      <c r="B1" s="285"/>
      <c r="C1" s="285"/>
      <c r="D1" s="285"/>
      <c r="E1" s="286"/>
    </row>
    <row r="2" spans="1:5" ht="23.25" thickBot="1" x14ac:dyDescent="0.5">
      <c r="A2" s="287" t="s">
        <v>30</v>
      </c>
      <c r="B2" s="288"/>
      <c r="C2" s="288"/>
      <c r="D2" s="288"/>
      <c r="E2" s="289"/>
    </row>
    <row r="3" spans="1:5" ht="25.5" thickBot="1" x14ac:dyDescent="0.3">
      <c r="A3" s="290" t="s">
        <v>0</v>
      </c>
      <c r="B3" s="291"/>
      <c r="C3" s="291"/>
      <c r="D3" s="291"/>
      <c r="E3" s="292"/>
    </row>
    <row r="4" spans="1:5" x14ac:dyDescent="0.25">
      <c r="A4" s="293" t="s">
        <v>32</v>
      </c>
      <c r="B4" s="294"/>
      <c r="C4" s="294"/>
      <c r="D4" s="294"/>
      <c r="E4" s="295"/>
    </row>
    <row r="5" spans="1:5" ht="15.75" thickBot="1" x14ac:dyDescent="0.3">
      <c r="A5" s="296"/>
      <c r="B5" s="297"/>
      <c r="C5" s="297"/>
      <c r="D5" s="297"/>
      <c r="E5" s="298"/>
    </row>
    <row r="6" spans="1:5" ht="15.75" x14ac:dyDescent="0.25">
      <c r="A6" s="2" t="s">
        <v>1</v>
      </c>
      <c r="B6" s="254" t="s">
        <v>5</v>
      </c>
      <c r="C6" s="270" t="s">
        <v>3</v>
      </c>
      <c r="D6" s="270" t="s">
        <v>4</v>
      </c>
      <c r="E6" s="256" t="s">
        <v>13</v>
      </c>
    </row>
    <row r="7" spans="1:5" ht="16.5" thickBot="1" x14ac:dyDescent="0.3">
      <c r="A7" s="15" t="s">
        <v>2</v>
      </c>
      <c r="B7" s="282"/>
      <c r="C7" s="271"/>
      <c r="D7" s="271"/>
      <c r="E7" s="283"/>
    </row>
    <row r="8" spans="1:5" ht="15.75" x14ac:dyDescent="0.25">
      <c r="A8" s="35">
        <v>1</v>
      </c>
      <c r="B8" s="16" t="s">
        <v>6</v>
      </c>
      <c r="C8" s="78">
        <v>107</v>
      </c>
      <c r="D8" s="78">
        <v>696</v>
      </c>
      <c r="E8" s="26"/>
    </row>
    <row r="9" spans="1:5" ht="15.75" x14ac:dyDescent="0.25">
      <c r="A9" s="32">
        <v>2</v>
      </c>
      <c r="B9" s="3" t="s">
        <v>7</v>
      </c>
      <c r="C9" s="79" t="s">
        <v>68</v>
      </c>
      <c r="D9" s="79">
        <v>116</v>
      </c>
      <c r="E9" s="27"/>
    </row>
    <row r="10" spans="1:5" ht="15.75" x14ac:dyDescent="0.25">
      <c r="A10" s="32">
        <v>3</v>
      </c>
      <c r="B10" s="3" t="s">
        <v>8</v>
      </c>
      <c r="C10" s="79">
        <v>94.93</v>
      </c>
      <c r="D10" s="79">
        <v>689.69</v>
      </c>
      <c r="E10" s="27"/>
    </row>
    <row r="11" spans="1:5" ht="15.75" x14ac:dyDescent="0.25">
      <c r="A11" s="32">
        <v>4</v>
      </c>
      <c r="B11" s="3" t="s">
        <v>9</v>
      </c>
      <c r="C11" s="79"/>
      <c r="D11" s="79">
        <v>114.94799999999999</v>
      </c>
      <c r="E11" s="27"/>
    </row>
    <row r="12" spans="1:5" ht="15.75" x14ac:dyDescent="0.25">
      <c r="A12" s="32">
        <v>5</v>
      </c>
      <c r="B12" s="3" t="s">
        <v>12</v>
      </c>
      <c r="C12" s="79" t="s">
        <v>174</v>
      </c>
      <c r="D12" s="79" t="s">
        <v>175</v>
      </c>
      <c r="E12" s="27"/>
    </row>
    <row r="13" spans="1:5" ht="15.75" x14ac:dyDescent="0.3">
      <c r="A13" s="58">
        <v>6</v>
      </c>
      <c r="B13" s="5" t="s">
        <v>45</v>
      </c>
      <c r="C13" s="39" t="s">
        <v>116</v>
      </c>
      <c r="D13" s="39" t="s">
        <v>116</v>
      </c>
      <c r="E13" s="27"/>
    </row>
    <row r="14" spans="1:5" ht="15.75" x14ac:dyDescent="0.3">
      <c r="A14" s="58">
        <v>7</v>
      </c>
      <c r="B14" s="5" t="s">
        <v>44</v>
      </c>
      <c r="C14" s="39" t="s">
        <v>116</v>
      </c>
      <c r="D14" s="39" t="s">
        <v>116</v>
      </c>
      <c r="E14" s="27"/>
    </row>
    <row r="15" spans="1:5" ht="15.75" x14ac:dyDescent="0.3">
      <c r="A15" s="58">
        <v>8</v>
      </c>
      <c r="B15" s="5" t="s">
        <v>10</v>
      </c>
      <c r="C15" s="39" t="s">
        <v>116</v>
      </c>
      <c r="D15" s="39" t="s">
        <v>117</v>
      </c>
      <c r="E15" s="27"/>
    </row>
    <row r="16" spans="1:5" ht="15.75" x14ac:dyDescent="0.3">
      <c r="A16" s="58">
        <v>9</v>
      </c>
      <c r="B16" s="5" t="s">
        <v>11</v>
      </c>
      <c r="C16" s="39" t="s">
        <v>116</v>
      </c>
      <c r="D16" s="39" t="s">
        <v>117</v>
      </c>
      <c r="E16" s="27"/>
    </row>
    <row r="17" spans="1:5" ht="15.75" x14ac:dyDescent="0.3">
      <c r="A17" s="58">
        <v>10</v>
      </c>
      <c r="B17" s="4" t="s">
        <v>12</v>
      </c>
      <c r="C17" s="39" t="s">
        <v>118</v>
      </c>
      <c r="D17" s="40" t="s">
        <v>118</v>
      </c>
      <c r="E17" s="27"/>
    </row>
    <row r="18" spans="1:5" x14ac:dyDescent="0.25">
      <c r="A18" s="248" t="s">
        <v>104</v>
      </c>
      <c r="B18" s="249"/>
      <c r="C18" s="249"/>
      <c r="D18" s="249"/>
      <c r="E18" s="250"/>
    </row>
    <row r="19" spans="1:5" ht="15.75" thickBot="1" x14ac:dyDescent="0.3">
      <c r="A19" s="251"/>
      <c r="B19" s="252"/>
      <c r="C19" s="252"/>
      <c r="D19" s="252"/>
      <c r="E19" s="253"/>
    </row>
    <row r="20" spans="1:5" ht="15.75" x14ac:dyDescent="0.25">
      <c r="A20" s="11" t="s">
        <v>1</v>
      </c>
      <c r="B20" s="275" t="s">
        <v>31</v>
      </c>
      <c r="C20" s="56" t="s">
        <v>34</v>
      </c>
      <c r="D20" s="41" t="s">
        <v>33</v>
      </c>
      <c r="E20" s="277" t="s">
        <v>13</v>
      </c>
    </row>
    <row r="21" spans="1:5" ht="16.5" thickBot="1" x14ac:dyDescent="0.3">
      <c r="A21" s="93" t="s">
        <v>2</v>
      </c>
      <c r="B21" s="276"/>
      <c r="C21" s="94" t="s">
        <v>35</v>
      </c>
      <c r="D21" s="95" t="s">
        <v>3</v>
      </c>
      <c r="E21" s="278"/>
    </row>
    <row r="22" spans="1:5" ht="15.75" x14ac:dyDescent="0.25">
      <c r="A22" s="96">
        <v>1</v>
      </c>
      <c r="B22" s="53" t="s">
        <v>163</v>
      </c>
      <c r="C22" s="119">
        <v>5</v>
      </c>
      <c r="D22" s="118">
        <v>8.3000000000000007</v>
      </c>
      <c r="E22" s="26"/>
    </row>
    <row r="23" spans="1:5" ht="15.75" x14ac:dyDescent="0.25">
      <c r="A23" s="32">
        <v>2</v>
      </c>
      <c r="B23" s="105" t="s">
        <v>164</v>
      </c>
      <c r="C23" s="137">
        <v>18</v>
      </c>
      <c r="D23" s="138">
        <v>31</v>
      </c>
      <c r="E23" s="27"/>
    </row>
    <row r="24" spans="1:5" ht="15.75" x14ac:dyDescent="0.25">
      <c r="A24" s="29">
        <v>3</v>
      </c>
      <c r="B24" s="54" t="s">
        <v>165</v>
      </c>
      <c r="C24" s="137">
        <v>1</v>
      </c>
      <c r="D24" s="138">
        <v>1.7</v>
      </c>
      <c r="E24" s="27"/>
    </row>
    <row r="25" spans="1:5" ht="15.75" x14ac:dyDescent="0.25">
      <c r="A25" s="155">
        <v>4</v>
      </c>
      <c r="B25" s="156" t="s">
        <v>166</v>
      </c>
      <c r="C25" s="157">
        <v>39</v>
      </c>
      <c r="D25" s="158">
        <v>66</v>
      </c>
      <c r="E25" s="31"/>
    </row>
    <row r="26" spans="1:5" ht="16.5" thickBot="1" x14ac:dyDescent="0.3">
      <c r="A26" s="37">
        <v>5</v>
      </c>
      <c r="B26" s="99" t="s">
        <v>29</v>
      </c>
      <c r="C26" s="80">
        <f>SUM(C22:C25)</f>
        <v>63</v>
      </c>
      <c r="D26" s="100">
        <f>SUM(D22:D25)</f>
        <v>107</v>
      </c>
      <c r="E26" s="38"/>
    </row>
    <row r="27" spans="1:5" x14ac:dyDescent="0.25">
      <c r="A27" s="279" t="s">
        <v>105</v>
      </c>
      <c r="B27" s="280"/>
      <c r="C27" s="280"/>
      <c r="D27" s="280"/>
      <c r="E27" s="281"/>
    </row>
    <row r="28" spans="1:5" ht="15.75" thickBot="1" x14ac:dyDescent="0.3">
      <c r="A28" s="251"/>
      <c r="B28" s="252"/>
      <c r="C28" s="252"/>
      <c r="D28" s="252"/>
      <c r="E28" s="253"/>
    </row>
    <row r="29" spans="1:5" ht="15.75" x14ac:dyDescent="0.25">
      <c r="A29" s="2" t="s">
        <v>1</v>
      </c>
      <c r="B29" s="254" t="s">
        <v>5</v>
      </c>
      <c r="C29" s="18" t="s">
        <v>3</v>
      </c>
      <c r="D29" s="18" t="s">
        <v>4</v>
      </c>
      <c r="E29" s="256" t="s">
        <v>13</v>
      </c>
    </row>
    <row r="30" spans="1:5" ht="16.5" thickBot="1" x14ac:dyDescent="0.3">
      <c r="A30" s="15" t="s">
        <v>2</v>
      </c>
      <c r="B30" s="282"/>
      <c r="C30" s="19" t="s">
        <v>40</v>
      </c>
      <c r="D30" s="19" t="s">
        <v>40</v>
      </c>
      <c r="E30" s="323"/>
    </row>
    <row r="31" spans="1:5" ht="19.5" x14ac:dyDescent="0.4">
      <c r="A31" s="128">
        <v>1</v>
      </c>
      <c r="B31" s="135" t="s">
        <v>14</v>
      </c>
      <c r="C31" s="130">
        <v>14.5</v>
      </c>
      <c r="D31" s="146">
        <v>100.05</v>
      </c>
      <c r="E31" s="27"/>
    </row>
    <row r="32" spans="1:5" ht="20.25" thickBot="1" x14ac:dyDescent="0.45">
      <c r="A32" s="129">
        <v>2</v>
      </c>
      <c r="B32" s="136" t="s">
        <v>99</v>
      </c>
      <c r="C32" s="132">
        <v>9.1</v>
      </c>
      <c r="D32" s="145">
        <v>43.55</v>
      </c>
      <c r="E32" s="90"/>
    </row>
    <row r="33" spans="1:5" ht="16.5" x14ac:dyDescent="0.3">
      <c r="A33" s="35">
        <v>3</v>
      </c>
      <c r="B33" s="53" t="s">
        <v>15</v>
      </c>
      <c r="C33" s="154">
        <v>0.3</v>
      </c>
      <c r="D33" s="121">
        <v>5</v>
      </c>
      <c r="E33" s="140" t="s">
        <v>167</v>
      </c>
    </row>
    <row r="34" spans="1:5" ht="16.5" x14ac:dyDescent="0.3">
      <c r="A34" s="32">
        <v>4</v>
      </c>
      <c r="B34" s="54" t="s">
        <v>16</v>
      </c>
      <c r="C34" s="122" t="s">
        <v>64</v>
      </c>
      <c r="D34" s="123" t="s">
        <v>63</v>
      </c>
      <c r="E34" s="140" t="s">
        <v>168</v>
      </c>
    </row>
    <row r="35" spans="1:5" ht="16.5" x14ac:dyDescent="0.3">
      <c r="A35" s="32">
        <v>5</v>
      </c>
      <c r="B35" s="54" t="s">
        <v>17</v>
      </c>
      <c r="C35" s="124">
        <v>1</v>
      </c>
      <c r="D35" s="123">
        <v>20.350000000000001</v>
      </c>
      <c r="E35" s="140" t="s">
        <v>169</v>
      </c>
    </row>
    <row r="36" spans="1:5" ht="16.5" x14ac:dyDescent="0.3">
      <c r="A36" s="32">
        <v>6</v>
      </c>
      <c r="B36" s="54" t="s">
        <v>18</v>
      </c>
      <c r="C36" s="122" t="s">
        <v>64</v>
      </c>
      <c r="D36" s="123" t="s">
        <v>64</v>
      </c>
      <c r="E36" s="140"/>
    </row>
    <row r="37" spans="1:5" ht="16.5" x14ac:dyDescent="0.3">
      <c r="A37" s="32">
        <v>7</v>
      </c>
      <c r="B37" s="54" t="s">
        <v>19</v>
      </c>
      <c r="C37" s="124">
        <v>7.4</v>
      </c>
      <c r="D37" s="123">
        <v>7.4</v>
      </c>
      <c r="E37" s="140" t="s">
        <v>170</v>
      </c>
    </row>
    <row r="38" spans="1:5" ht="16.5" x14ac:dyDescent="0.3">
      <c r="A38" s="32">
        <v>8</v>
      </c>
      <c r="B38" s="54" t="s">
        <v>20</v>
      </c>
      <c r="C38" s="124" t="s">
        <v>117</v>
      </c>
      <c r="D38" s="123">
        <v>1.4</v>
      </c>
      <c r="E38" s="153" t="s">
        <v>171</v>
      </c>
    </row>
    <row r="39" spans="1:5" ht="16.5" x14ac:dyDescent="0.3">
      <c r="A39" s="32">
        <v>9</v>
      </c>
      <c r="B39" s="54" t="s">
        <v>21</v>
      </c>
      <c r="C39" s="122" t="s">
        <v>64</v>
      </c>
      <c r="D39" s="123" t="s">
        <v>116</v>
      </c>
      <c r="E39" s="140"/>
    </row>
    <row r="40" spans="1:5" ht="17.25" thickBot="1" x14ac:dyDescent="0.35">
      <c r="A40" s="37">
        <v>10</v>
      </c>
      <c r="B40" s="55" t="s">
        <v>22</v>
      </c>
      <c r="C40" s="126" t="s">
        <v>116</v>
      </c>
      <c r="D40" s="139">
        <v>9</v>
      </c>
      <c r="E40" s="140" t="s">
        <v>172</v>
      </c>
    </row>
    <row r="41" spans="1:5" x14ac:dyDescent="0.25">
      <c r="A41" s="262" t="s">
        <v>77</v>
      </c>
      <c r="B41" s="263"/>
      <c r="C41" s="263"/>
      <c r="D41" s="263"/>
      <c r="E41" s="264"/>
    </row>
    <row r="42" spans="1:5" ht="15.75" thickBot="1" x14ac:dyDescent="0.3">
      <c r="A42" s="265"/>
      <c r="B42" s="266"/>
      <c r="C42" s="266"/>
      <c r="D42" s="266"/>
      <c r="E42" s="267"/>
    </row>
    <row r="43" spans="1:5" ht="15.75" x14ac:dyDescent="0.25">
      <c r="A43" s="9" t="s">
        <v>1</v>
      </c>
      <c r="B43" s="268" t="s">
        <v>27</v>
      </c>
      <c r="C43" s="270" t="s">
        <v>3</v>
      </c>
      <c r="D43" s="270" t="s">
        <v>4</v>
      </c>
      <c r="E43" s="272" t="s">
        <v>28</v>
      </c>
    </row>
    <row r="44" spans="1:5" ht="16.5" thickBot="1" x14ac:dyDescent="0.3">
      <c r="A44" s="17" t="s">
        <v>2</v>
      </c>
      <c r="B44" s="269"/>
      <c r="C44" s="271"/>
      <c r="D44" s="271"/>
      <c r="E44" s="273"/>
    </row>
    <row r="45" spans="1:5" x14ac:dyDescent="0.25">
      <c r="A45" s="35">
        <v>1</v>
      </c>
      <c r="B45" s="53" t="s">
        <v>58</v>
      </c>
      <c r="C45" s="47" t="s">
        <v>57</v>
      </c>
      <c r="D45" s="49" t="s">
        <v>57</v>
      </c>
      <c r="E45" s="26"/>
    </row>
    <row r="46" spans="1:5" x14ac:dyDescent="0.25">
      <c r="A46" s="32">
        <v>2</v>
      </c>
      <c r="B46" s="54" t="s">
        <v>59</v>
      </c>
      <c r="C46" s="48">
        <v>119</v>
      </c>
      <c r="D46" s="48">
        <v>773</v>
      </c>
      <c r="E46" s="27"/>
    </row>
    <row r="47" spans="1:5" x14ac:dyDescent="0.25">
      <c r="A47" s="32">
        <v>3</v>
      </c>
      <c r="B47" s="54" t="s">
        <v>60</v>
      </c>
      <c r="C47" s="48">
        <v>119</v>
      </c>
      <c r="D47" s="48">
        <v>773</v>
      </c>
      <c r="E47" s="27"/>
    </row>
    <row r="48" spans="1:5" ht="19.5" thickBot="1" x14ac:dyDescent="0.45">
      <c r="A48" s="28" t="s">
        <v>78</v>
      </c>
      <c r="E48" s="24"/>
    </row>
    <row r="49" spans="1:5" ht="15.75" x14ac:dyDescent="0.25">
      <c r="A49" s="9" t="s">
        <v>1</v>
      </c>
      <c r="B49" s="254" t="s">
        <v>5</v>
      </c>
      <c r="C49" s="270" t="s">
        <v>3</v>
      </c>
      <c r="D49" s="256" t="s">
        <v>4</v>
      </c>
      <c r="E49" s="60" t="s">
        <v>61</v>
      </c>
    </row>
    <row r="50" spans="1:5" ht="15.75" x14ac:dyDescent="0.25">
      <c r="A50" s="1" t="s">
        <v>2</v>
      </c>
      <c r="B50" s="255"/>
      <c r="C50" s="274"/>
      <c r="D50" s="257"/>
      <c r="E50" s="61" t="s">
        <v>42</v>
      </c>
    </row>
    <row r="51" spans="1:5" x14ac:dyDescent="0.25">
      <c r="A51" s="29">
        <v>1</v>
      </c>
      <c r="B51" s="20" t="s">
        <v>43</v>
      </c>
      <c r="C51" s="50">
        <v>10.36</v>
      </c>
      <c r="D51" s="50">
        <v>66.48</v>
      </c>
      <c r="E51" s="51">
        <v>10.32</v>
      </c>
    </row>
    <row r="52" spans="1:5" ht="13.5" customHeight="1" x14ac:dyDescent="0.25">
      <c r="A52" s="248" t="s">
        <v>73</v>
      </c>
      <c r="B52" s="249"/>
      <c r="C52" s="249"/>
      <c r="D52" s="249"/>
      <c r="E52" s="250"/>
    </row>
    <row r="53" spans="1:5" ht="11.25" customHeight="1" thickBot="1" x14ac:dyDescent="0.3">
      <c r="A53" s="251"/>
      <c r="B53" s="252"/>
      <c r="C53" s="252"/>
      <c r="D53" s="252"/>
      <c r="E53" s="253"/>
    </row>
    <row r="54" spans="1:5" ht="15.75" x14ac:dyDescent="0.25">
      <c r="A54" s="2" t="s">
        <v>1</v>
      </c>
      <c r="B54" s="254" t="s">
        <v>5</v>
      </c>
      <c r="C54" s="18" t="s">
        <v>3</v>
      </c>
      <c r="D54" s="18" t="s">
        <v>4</v>
      </c>
      <c r="E54" s="256" t="s">
        <v>13</v>
      </c>
    </row>
    <row r="55" spans="1:5" ht="15.75" x14ac:dyDescent="0.25">
      <c r="A55" s="21" t="s">
        <v>2</v>
      </c>
      <c r="B55" s="255"/>
      <c r="C55" s="22" t="s">
        <v>46</v>
      </c>
      <c r="D55" s="22" t="s">
        <v>46</v>
      </c>
      <c r="E55" s="257"/>
    </row>
    <row r="56" spans="1:5" ht="15.75" x14ac:dyDescent="0.25">
      <c r="A56" s="32">
        <v>1</v>
      </c>
      <c r="B56" s="54" t="s">
        <v>173</v>
      </c>
      <c r="C56" s="76">
        <v>31844</v>
      </c>
      <c r="D56" s="76">
        <v>177254</v>
      </c>
      <c r="E56" s="75" t="s">
        <v>136</v>
      </c>
    </row>
    <row r="57" spans="1:5" ht="15.75" x14ac:dyDescent="0.25">
      <c r="A57" s="32">
        <v>2</v>
      </c>
      <c r="B57" s="54" t="s">
        <v>47</v>
      </c>
      <c r="C57" s="76">
        <v>297.60000000000002</v>
      </c>
      <c r="D57" s="76">
        <v>254.67</v>
      </c>
      <c r="E57" s="27"/>
    </row>
    <row r="58" spans="1:5" ht="20.25" thickBot="1" x14ac:dyDescent="0.45">
      <c r="A58" s="25" t="s">
        <v>48</v>
      </c>
      <c r="B58" s="36"/>
      <c r="E58" s="24"/>
    </row>
    <row r="59" spans="1:5" ht="15.75" x14ac:dyDescent="0.25">
      <c r="A59" s="2" t="s">
        <v>1</v>
      </c>
      <c r="B59" s="254" t="s">
        <v>5</v>
      </c>
      <c r="C59" s="270" t="s">
        <v>3</v>
      </c>
      <c r="D59" s="270" t="s">
        <v>4</v>
      </c>
      <c r="E59" s="256" t="s">
        <v>13</v>
      </c>
    </row>
    <row r="60" spans="1:5" ht="15.75" x14ac:dyDescent="0.25">
      <c r="A60" s="21" t="s">
        <v>2</v>
      </c>
      <c r="B60" s="255"/>
      <c r="C60" s="274"/>
      <c r="D60" s="274"/>
      <c r="E60" s="257"/>
    </row>
    <row r="61" spans="1:5" ht="15.75" x14ac:dyDescent="0.25">
      <c r="A61" s="32">
        <v>1</v>
      </c>
      <c r="B61" s="3" t="s">
        <v>49</v>
      </c>
      <c r="C61" s="76">
        <v>169</v>
      </c>
      <c r="D61" s="76">
        <v>1022</v>
      </c>
      <c r="E61" s="27"/>
    </row>
    <row r="62" spans="1:5" ht="15.75" x14ac:dyDescent="0.25">
      <c r="A62" s="32">
        <v>2</v>
      </c>
      <c r="B62" s="3" t="s">
        <v>52</v>
      </c>
      <c r="C62" s="76">
        <v>1.579</v>
      </c>
      <c r="D62" s="76">
        <v>1.468</v>
      </c>
      <c r="E62" s="27"/>
    </row>
    <row r="63" spans="1:5" ht="15.75" x14ac:dyDescent="0.25">
      <c r="A63" s="32">
        <v>3</v>
      </c>
      <c r="B63" s="3" t="s">
        <v>50</v>
      </c>
      <c r="C63" s="76">
        <v>26</v>
      </c>
      <c r="D63" s="76">
        <v>383</v>
      </c>
      <c r="E63" s="27"/>
    </row>
    <row r="64" spans="1:5" ht="15.75" x14ac:dyDescent="0.25">
      <c r="A64" s="32">
        <v>4</v>
      </c>
      <c r="B64" s="3" t="s">
        <v>53</v>
      </c>
      <c r="C64" s="76">
        <v>0.24199999999999999</v>
      </c>
      <c r="D64" s="89">
        <v>0.55000000000000004</v>
      </c>
      <c r="E64" s="27"/>
    </row>
    <row r="65" spans="1:5" ht="15.75" x14ac:dyDescent="0.25">
      <c r="A65" s="32">
        <v>5</v>
      </c>
      <c r="B65" s="3" t="s">
        <v>51</v>
      </c>
      <c r="C65" s="152">
        <v>40.700000000000003</v>
      </c>
      <c r="D65" s="76">
        <v>206.2</v>
      </c>
      <c r="E65" s="27"/>
    </row>
    <row r="66" spans="1:5" ht="15.75" x14ac:dyDescent="0.25">
      <c r="A66" s="32">
        <v>6</v>
      </c>
      <c r="B66" s="3" t="s">
        <v>54</v>
      </c>
      <c r="C66" s="89">
        <v>0.38</v>
      </c>
      <c r="D66" s="76">
        <v>0.29599999999999999</v>
      </c>
      <c r="E66" s="27"/>
    </row>
    <row r="67" spans="1:5" ht="15.75" x14ac:dyDescent="0.25">
      <c r="A67" s="32">
        <v>7</v>
      </c>
      <c r="B67" s="3" t="s">
        <v>55</v>
      </c>
      <c r="C67" s="89">
        <v>38.637999999999998</v>
      </c>
      <c r="D67" s="76">
        <v>220.06800000000001</v>
      </c>
      <c r="E67" s="27"/>
    </row>
    <row r="68" spans="1:5" ht="16.5" thickBot="1" x14ac:dyDescent="0.3">
      <c r="A68" s="37">
        <v>8</v>
      </c>
      <c r="B68" s="52" t="s">
        <v>56</v>
      </c>
      <c r="C68" s="77">
        <v>0.36099999999999999</v>
      </c>
      <c r="D68" s="159">
        <v>0.317</v>
      </c>
      <c r="E68" s="38"/>
    </row>
  </sheetData>
  <mergeCells count="29">
    <mergeCell ref="A1:E1"/>
    <mergeCell ref="A2:E2"/>
    <mergeCell ref="A3:E3"/>
    <mergeCell ref="A4:E5"/>
    <mergeCell ref="B6:B7"/>
    <mergeCell ref="C6:C7"/>
    <mergeCell ref="D6:D7"/>
    <mergeCell ref="E6:E7"/>
    <mergeCell ref="B49:B50"/>
    <mergeCell ref="C49:C50"/>
    <mergeCell ref="D49:D50"/>
    <mergeCell ref="A18:E19"/>
    <mergeCell ref="B20:B21"/>
    <mergeCell ref="E20:E21"/>
    <mergeCell ref="A27:E28"/>
    <mergeCell ref="B29:B30"/>
    <mergeCell ref="E29:E30"/>
    <mergeCell ref="A41:E42"/>
    <mergeCell ref="B43:B44"/>
    <mergeCell ref="C43:C44"/>
    <mergeCell ref="D43:D44"/>
    <mergeCell ref="E43:E44"/>
    <mergeCell ref="A52:E53"/>
    <mergeCell ref="B54:B55"/>
    <mergeCell ref="E54:E55"/>
    <mergeCell ref="B59:B60"/>
    <mergeCell ref="C59:C60"/>
    <mergeCell ref="D59:D60"/>
    <mergeCell ref="E59:E60"/>
  </mergeCells>
  <pageMargins left="0.70866141732283472" right="0.11811023622047245" top="0.15748031496062992" bottom="0.19685039370078741" header="0.11811023622047245" footer="0.15748031496062992"/>
  <pageSetup scale="7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68"/>
  <sheetViews>
    <sheetView topLeftCell="A34" workbookViewId="0">
      <selection activeCell="F36" sqref="F36"/>
    </sheetView>
  </sheetViews>
  <sheetFormatPr defaultRowHeight="15" x14ac:dyDescent="0.25"/>
  <cols>
    <col min="1" max="1" width="5.42578125" customWidth="1"/>
    <col min="2" max="2" width="35" customWidth="1"/>
    <col min="3" max="3" width="10.140625" customWidth="1"/>
    <col min="4" max="4" width="17.7109375" customWidth="1"/>
    <col min="5" max="5" width="56.5703125" bestFit="1" customWidth="1"/>
  </cols>
  <sheetData>
    <row r="1" spans="1:5" ht="23.25" thickBot="1" x14ac:dyDescent="0.5">
      <c r="A1" s="284" t="s">
        <v>176</v>
      </c>
      <c r="B1" s="285"/>
      <c r="C1" s="285"/>
      <c r="D1" s="285"/>
      <c r="E1" s="286"/>
    </row>
    <row r="2" spans="1:5" ht="23.25" thickBot="1" x14ac:dyDescent="0.5">
      <c r="A2" s="287" t="s">
        <v>30</v>
      </c>
      <c r="B2" s="288"/>
      <c r="C2" s="288"/>
      <c r="D2" s="288"/>
      <c r="E2" s="289"/>
    </row>
    <row r="3" spans="1:5" ht="25.5" thickBot="1" x14ac:dyDescent="0.3">
      <c r="A3" s="290" t="s">
        <v>0</v>
      </c>
      <c r="B3" s="291"/>
      <c r="C3" s="291"/>
      <c r="D3" s="291"/>
      <c r="E3" s="292"/>
    </row>
    <row r="4" spans="1:5" x14ac:dyDescent="0.25">
      <c r="A4" s="293" t="s">
        <v>32</v>
      </c>
      <c r="B4" s="294"/>
      <c r="C4" s="294"/>
      <c r="D4" s="294"/>
      <c r="E4" s="295"/>
    </row>
    <row r="5" spans="1:5" ht="15.75" thickBot="1" x14ac:dyDescent="0.3">
      <c r="A5" s="296"/>
      <c r="B5" s="297"/>
      <c r="C5" s="297"/>
      <c r="D5" s="297"/>
      <c r="E5" s="298"/>
    </row>
    <row r="6" spans="1:5" ht="15.75" x14ac:dyDescent="0.25">
      <c r="A6" s="2" t="s">
        <v>1</v>
      </c>
      <c r="B6" s="254" t="s">
        <v>5</v>
      </c>
      <c r="C6" s="270" t="s">
        <v>3</v>
      </c>
      <c r="D6" s="270" t="s">
        <v>4</v>
      </c>
      <c r="E6" s="256" t="s">
        <v>13</v>
      </c>
    </row>
    <row r="7" spans="1:5" ht="16.5" thickBot="1" x14ac:dyDescent="0.3">
      <c r="A7" s="15" t="s">
        <v>2</v>
      </c>
      <c r="B7" s="282"/>
      <c r="C7" s="271"/>
      <c r="D7" s="271"/>
      <c r="E7" s="283"/>
    </row>
    <row r="8" spans="1:5" ht="15.75" x14ac:dyDescent="0.25">
      <c r="A8" s="35">
        <v>1</v>
      </c>
      <c r="B8" s="16" t="s">
        <v>6</v>
      </c>
      <c r="C8" s="78">
        <v>167</v>
      </c>
      <c r="D8" s="78">
        <v>863</v>
      </c>
      <c r="E8" s="26"/>
    </row>
    <row r="9" spans="1:5" ht="15.75" x14ac:dyDescent="0.25">
      <c r="A9" s="32">
        <v>2</v>
      </c>
      <c r="B9" s="3" t="s">
        <v>7</v>
      </c>
      <c r="C9" s="79" t="s">
        <v>68</v>
      </c>
      <c r="D9" s="79">
        <v>123.289</v>
      </c>
      <c r="E9" s="27"/>
    </row>
    <row r="10" spans="1:5" ht="15.75" x14ac:dyDescent="0.25">
      <c r="A10" s="32">
        <v>3</v>
      </c>
      <c r="B10" s="3" t="s">
        <v>8</v>
      </c>
      <c r="C10" s="79">
        <v>167.2</v>
      </c>
      <c r="D10" s="79">
        <v>856.89</v>
      </c>
      <c r="E10" s="27"/>
    </row>
    <row r="11" spans="1:5" ht="15.75" x14ac:dyDescent="0.25">
      <c r="A11" s="32">
        <v>4</v>
      </c>
      <c r="B11" s="3" t="s">
        <v>9</v>
      </c>
      <c r="C11" s="79"/>
      <c r="D11" s="79">
        <v>122.413</v>
      </c>
      <c r="E11" s="27"/>
    </row>
    <row r="12" spans="1:5" ht="15.75" x14ac:dyDescent="0.25">
      <c r="A12" s="32">
        <v>5</v>
      </c>
      <c r="B12" s="3" t="s">
        <v>12</v>
      </c>
      <c r="C12" s="79" t="s">
        <v>177</v>
      </c>
      <c r="D12" s="79" t="s">
        <v>178</v>
      </c>
      <c r="E12" s="27"/>
    </row>
    <row r="13" spans="1:5" ht="15.75" x14ac:dyDescent="0.3">
      <c r="A13" s="58">
        <v>6</v>
      </c>
      <c r="B13" s="5" t="s">
        <v>45</v>
      </c>
      <c r="C13" s="39" t="s">
        <v>116</v>
      </c>
      <c r="D13" s="39" t="s">
        <v>116</v>
      </c>
      <c r="E13" s="27"/>
    </row>
    <row r="14" spans="1:5" ht="15.75" x14ac:dyDescent="0.3">
      <c r="A14" s="58">
        <v>7</v>
      </c>
      <c r="B14" s="5" t="s">
        <v>44</v>
      </c>
      <c r="C14" s="39" t="s">
        <v>116</v>
      </c>
      <c r="D14" s="39" t="s">
        <v>116</v>
      </c>
      <c r="E14" s="27"/>
    </row>
    <row r="15" spans="1:5" ht="15.75" x14ac:dyDescent="0.3">
      <c r="A15" s="58">
        <v>8</v>
      </c>
      <c r="B15" s="5" t="s">
        <v>10</v>
      </c>
      <c r="C15" s="39" t="s">
        <v>116</v>
      </c>
      <c r="D15" s="39" t="s">
        <v>117</v>
      </c>
      <c r="E15" s="27"/>
    </row>
    <row r="16" spans="1:5" ht="15.75" x14ac:dyDescent="0.3">
      <c r="A16" s="58">
        <v>9</v>
      </c>
      <c r="B16" s="5" t="s">
        <v>11</v>
      </c>
      <c r="C16" s="39" t="s">
        <v>116</v>
      </c>
      <c r="D16" s="39" t="s">
        <v>117</v>
      </c>
      <c r="E16" s="27"/>
    </row>
    <row r="17" spans="1:5" ht="15.75" x14ac:dyDescent="0.3">
      <c r="A17" s="58">
        <v>10</v>
      </c>
      <c r="B17" s="4" t="s">
        <v>12</v>
      </c>
      <c r="C17" s="39" t="s">
        <v>118</v>
      </c>
      <c r="D17" s="40" t="s">
        <v>118</v>
      </c>
      <c r="E17" s="27"/>
    </row>
    <row r="18" spans="1:5" x14ac:dyDescent="0.25">
      <c r="A18" s="248" t="s">
        <v>104</v>
      </c>
      <c r="B18" s="249"/>
      <c r="C18" s="249"/>
      <c r="D18" s="249"/>
      <c r="E18" s="250"/>
    </row>
    <row r="19" spans="1:5" ht="15.75" thickBot="1" x14ac:dyDescent="0.3">
      <c r="A19" s="251"/>
      <c r="B19" s="252"/>
      <c r="C19" s="252"/>
      <c r="D19" s="252"/>
      <c r="E19" s="253"/>
    </row>
    <row r="20" spans="1:5" ht="15.75" x14ac:dyDescent="0.25">
      <c r="A20" s="11" t="s">
        <v>1</v>
      </c>
      <c r="B20" s="275" t="s">
        <v>31</v>
      </c>
      <c r="C20" s="56" t="s">
        <v>34</v>
      </c>
      <c r="D20" s="41" t="s">
        <v>33</v>
      </c>
      <c r="E20" s="277" t="s">
        <v>13</v>
      </c>
    </row>
    <row r="21" spans="1:5" ht="16.5" thickBot="1" x14ac:dyDescent="0.3">
      <c r="A21" s="93" t="s">
        <v>2</v>
      </c>
      <c r="B21" s="276"/>
      <c r="C21" s="94" t="s">
        <v>35</v>
      </c>
      <c r="D21" s="95" t="s">
        <v>3</v>
      </c>
      <c r="E21" s="278"/>
    </row>
    <row r="22" spans="1:5" ht="15.75" x14ac:dyDescent="0.25">
      <c r="A22" s="160">
        <v>1</v>
      </c>
      <c r="B22" s="161" t="s">
        <v>179</v>
      </c>
      <c r="C22" s="162">
        <v>5</v>
      </c>
      <c r="D22" s="167">
        <v>8.5</v>
      </c>
      <c r="E22" s="26"/>
    </row>
    <row r="23" spans="1:5" ht="15.75" x14ac:dyDescent="0.25">
      <c r="A23" s="163">
        <v>2</v>
      </c>
      <c r="B23" s="164" t="s">
        <v>180</v>
      </c>
      <c r="C23" s="165">
        <v>84</v>
      </c>
      <c r="D23" s="168">
        <v>143.5</v>
      </c>
      <c r="E23" s="27"/>
    </row>
    <row r="24" spans="1:5" ht="15.75" x14ac:dyDescent="0.25">
      <c r="A24" s="163">
        <v>3</v>
      </c>
      <c r="B24" s="164" t="s">
        <v>181</v>
      </c>
      <c r="C24" s="166">
        <v>9</v>
      </c>
      <c r="D24" s="169">
        <v>15</v>
      </c>
      <c r="E24" s="27"/>
    </row>
    <row r="25" spans="1:5" ht="15.75" x14ac:dyDescent="0.25">
      <c r="A25" s="155"/>
      <c r="B25" s="156"/>
      <c r="C25" s="157"/>
      <c r="D25" s="158"/>
      <c r="E25" s="31"/>
    </row>
    <row r="26" spans="1:5" ht="16.5" thickBot="1" x14ac:dyDescent="0.3">
      <c r="A26" s="37">
        <v>5</v>
      </c>
      <c r="B26" s="99" t="s">
        <v>29</v>
      </c>
      <c r="C26" s="80">
        <f>SUM(C22:C25)</f>
        <v>98</v>
      </c>
      <c r="D26" s="100">
        <f>SUM(D22:D25)</f>
        <v>167</v>
      </c>
      <c r="E26" s="38"/>
    </row>
    <row r="27" spans="1:5" x14ac:dyDescent="0.25">
      <c r="A27" s="279" t="s">
        <v>105</v>
      </c>
      <c r="B27" s="280"/>
      <c r="C27" s="280"/>
      <c r="D27" s="280"/>
      <c r="E27" s="281"/>
    </row>
    <row r="28" spans="1:5" ht="15.75" thickBot="1" x14ac:dyDescent="0.3">
      <c r="A28" s="251"/>
      <c r="B28" s="252"/>
      <c r="C28" s="252"/>
      <c r="D28" s="252"/>
      <c r="E28" s="253"/>
    </row>
    <row r="29" spans="1:5" ht="15.75" x14ac:dyDescent="0.25">
      <c r="A29" s="2" t="s">
        <v>1</v>
      </c>
      <c r="B29" s="254" t="s">
        <v>5</v>
      </c>
      <c r="C29" s="18" t="s">
        <v>3</v>
      </c>
      <c r="D29" s="18" t="s">
        <v>4</v>
      </c>
      <c r="E29" s="256" t="s">
        <v>13</v>
      </c>
    </row>
    <row r="30" spans="1:5" ht="16.5" thickBot="1" x14ac:dyDescent="0.3">
      <c r="A30" s="15" t="s">
        <v>2</v>
      </c>
      <c r="B30" s="282"/>
      <c r="C30" s="19" t="s">
        <v>40</v>
      </c>
      <c r="D30" s="19" t="s">
        <v>40</v>
      </c>
      <c r="E30" s="323"/>
    </row>
    <row r="31" spans="1:5" ht="19.5" x14ac:dyDescent="0.4">
      <c r="A31" s="128">
        <v>1</v>
      </c>
      <c r="B31" s="135" t="s">
        <v>14</v>
      </c>
      <c r="C31" s="130">
        <v>22.35</v>
      </c>
      <c r="D31" s="146">
        <f>100.05+C31</f>
        <v>122.4</v>
      </c>
      <c r="E31" s="27"/>
    </row>
    <row r="32" spans="1:5" ht="20.25" thickBot="1" x14ac:dyDescent="0.45">
      <c r="A32" s="129">
        <v>2</v>
      </c>
      <c r="B32" s="136" t="s">
        <v>99</v>
      </c>
      <c r="C32" s="132">
        <v>1.25</v>
      </c>
      <c r="D32" s="145">
        <v>45.2</v>
      </c>
      <c r="E32" s="90"/>
    </row>
    <row r="33" spans="1:5" ht="29.25" thickBot="1" x14ac:dyDescent="0.35">
      <c r="A33" s="35">
        <v>3</v>
      </c>
      <c r="B33" s="53" t="s">
        <v>15</v>
      </c>
      <c r="C33" s="132">
        <v>1.25</v>
      </c>
      <c r="D33" s="121">
        <v>6.25</v>
      </c>
      <c r="E33" s="170" t="s">
        <v>183</v>
      </c>
    </row>
    <row r="34" spans="1:5" ht="16.5" x14ac:dyDescent="0.3">
      <c r="A34" s="32">
        <v>4</v>
      </c>
      <c r="B34" s="54" t="s">
        <v>16</v>
      </c>
      <c r="C34" s="122" t="s">
        <v>64</v>
      </c>
      <c r="D34" s="123" t="s">
        <v>63</v>
      </c>
      <c r="E34" s="140"/>
    </row>
    <row r="35" spans="1:5" ht="16.5" x14ac:dyDescent="0.3">
      <c r="A35" s="32">
        <v>5</v>
      </c>
      <c r="B35" s="54" t="s">
        <v>17</v>
      </c>
      <c r="C35" s="124" t="s">
        <v>115</v>
      </c>
      <c r="D35" s="123">
        <v>20.350000000000001</v>
      </c>
      <c r="E35" s="140"/>
    </row>
    <row r="36" spans="1:5" ht="16.5" x14ac:dyDescent="0.3">
      <c r="A36" s="32">
        <v>6</v>
      </c>
      <c r="B36" s="54" t="s">
        <v>18</v>
      </c>
      <c r="C36" s="122" t="s">
        <v>64</v>
      </c>
      <c r="D36" s="123" t="s">
        <v>64</v>
      </c>
      <c r="E36" s="140"/>
    </row>
    <row r="37" spans="1:5" ht="16.5" x14ac:dyDescent="0.3">
      <c r="A37" s="32">
        <v>7</v>
      </c>
      <c r="B37" s="54" t="s">
        <v>19</v>
      </c>
      <c r="C37" s="124" t="s">
        <v>182</v>
      </c>
      <c r="D37" s="123">
        <v>7.4</v>
      </c>
      <c r="E37" s="140"/>
    </row>
    <row r="38" spans="1:5" ht="16.5" x14ac:dyDescent="0.3">
      <c r="A38" s="32">
        <v>8</v>
      </c>
      <c r="B38" s="54" t="s">
        <v>20</v>
      </c>
      <c r="C38" s="124" t="s">
        <v>117</v>
      </c>
      <c r="D38" s="123">
        <v>1.4</v>
      </c>
      <c r="E38" s="153"/>
    </row>
    <row r="39" spans="1:5" ht="16.5" x14ac:dyDescent="0.3">
      <c r="A39" s="32">
        <v>9</v>
      </c>
      <c r="B39" s="54" t="s">
        <v>21</v>
      </c>
      <c r="C39" s="122" t="s">
        <v>64</v>
      </c>
      <c r="D39" s="123" t="s">
        <v>116</v>
      </c>
      <c r="E39" s="140"/>
    </row>
    <row r="40" spans="1:5" ht="17.25" thickBot="1" x14ac:dyDescent="0.35">
      <c r="A40" s="37">
        <v>10</v>
      </c>
      <c r="B40" s="55" t="s">
        <v>22</v>
      </c>
      <c r="C40" s="126" t="s">
        <v>116</v>
      </c>
      <c r="D40" s="139">
        <v>9</v>
      </c>
      <c r="E40" s="140"/>
    </row>
    <row r="41" spans="1:5" x14ac:dyDescent="0.25">
      <c r="A41" s="262" t="s">
        <v>77</v>
      </c>
      <c r="B41" s="263"/>
      <c r="C41" s="263"/>
      <c r="D41" s="263"/>
      <c r="E41" s="264"/>
    </row>
    <row r="42" spans="1:5" ht="15.75" thickBot="1" x14ac:dyDescent="0.3">
      <c r="A42" s="265"/>
      <c r="B42" s="266"/>
      <c r="C42" s="266"/>
      <c r="D42" s="266"/>
      <c r="E42" s="267"/>
    </row>
    <row r="43" spans="1:5" ht="15.75" x14ac:dyDescent="0.25">
      <c r="A43" s="9" t="s">
        <v>1</v>
      </c>
      <c r="B43" s="268" t="s">
        <v>27</v>
      </c>
      <c r="C43" s="270" t="s">
        <v>3</v>
      </c>
      <c r="D43" s="270" t="s">
        <v>4</v>
      </c>
      <c r="E43" s="272" t="s">
        <v>28</v>
      </c>
    </row>
    <row r="44" spans="1:5" ht="16.5" thickBot="1" x14ac:dyDescent="0.3">
      <c r="A44" s="17" t="s">
        <v>2</v>
      </c>
      <c r="B44" s="269"/>
      <c r="C44" s="271"/>
      <c r="D44" s="271"/>
      <c r="E44" s="273"/>
    </row>
    <row r="45" spans="1:5" x14ac:dyDescent="0.25">
      <c r="A45" s="35">
        <v>1</v>
      </c>
      <c r="B45" s="53" t="s">
        <v>58</v>
      </c>
      <c r="C45" s="47" t="s">
        <v>57</v>
      </c>
      <c r="D45" s="49" t="s">
        <v>57</v>
      </c>
      <c r="E45" s="26"/>
    </row>
    <row r="46" spans="1:5" x14ac:dyDescent="0.25">
      <c r="A46" s="32">
        <v>2</v>
      </c>
      <c r="B46" s="54" t="s">
        <v>59</v>
      </c>
      <c r="C46" s="48">
        <v>186</v>
      </c>
      <c r="D46" s="48">
        <v>959</v>
      </c>
      <c r="E46" s="27"/>
    </row>
    <row r="47" spans="1:5" x14ac:dyDescent="0.25">
      <c r="A47" s="32">
        <v>3</v>
      </c>
      <c r="B47" s="54" t="s">
        <v>60</v>
      </c>
      <c r="C47" s="48">
        <v>186</v>
      </c>
      <c r="D47" s="48">
        <v>959</v>
      </c>
      <c r="E47" s="27"/>
    </row>
    <row r="48" spans="1:5" ht="19.5" thickBot="1" x14ac:dyDescent="0.45">
      <c r="A48" s="28" t="s">
        <v>78</v>
      </c>
      <c r="E48" s="24"/>
    </row>
    <row r="49" spans="1:7" ht="15.75" x14ac:dyDescent="0.25">
      <c r="A49" s="9" t="s">
        <v>1</v>
      </c>
      <c r="B49" s="254" t="s">
        <v>5</v>
      </c>
      <c r="C49" s="270" t="s">
        <v>3</v>
      </c>
      <c r="D49" s="256" t="s">
        <v>4</v>
      </c>
      <c r="E49" s="60" t="s">
        <v>61</v>
      </c>
    </row>
    <row r="50" spans="1:7" ht="15.75" x14ac:dyDescent="0.25">
      <c r="A50" s="1" t="s">
        <v>2</v>
      </c>
      <c r="B50" s="255"/>
      <c r="C50" s="274"/>
      <c r="D50" s="257"/>
      <c r="E50" s="61" t="s">
        <v>42</v>
      </c>
    </row>
    <row r="51" spans="1:7" x14ac:dyDescent="0.25">
      <c r="A51" s="29">
        <v>1</v>
      </c>
      <c r="B51" s="20" t="s">
        <v>43</v>
      </c>
      <c r="C51" s="50">
        <v>15.36</v>
      </c>
      <c r="D51" s="50">
        <v>82.24</v>
      </c>
      <c r="E51" s="51">
        <v>10.87</v>
      </c>
    </row>
    <row r="52" spans="1:7" ht="13.5" customHeight="1" x14ac:dyDescent="0.25">
      <c r="A52" s="248" t="s">
        <v>73</v>
      </c>
      <c r="B52" s="249"/>
      <c r="C52" s="249"/>
      <c r="D52" s="249"/>
      <c r="E52" s="250"/>
    </row>
    <row r="53" spans="1:7" ht="11.25" customHeight="1" thickBot="1" x14ac:dyDescent="0.3">
      <c r="A53" s="251"/>
      <c r="B53" s="252"/>
      <c r="C53" s="252"/>
      <c r="D53" s="252"/>
      <c r="E53" s="253"/>
    </row>
    <row r="54" spans="1:7" ht="15.75" x14ac:dyDescent="0.25">
      <c r="A54" s="2" t="s">
        <v>1</v>
      </c>
      <c r="B54" s="254" t="s">
        <v>5</v>
      </c>
      <c r="C54" s="18" t="s">
        <v>3</v>
      </c>
      <c r="D54" s="18" t="s">
        <v>4</v>
      </c>
      <c r="E54" s="256" t="s">
        <v>13</v>
      </c>
    </row>
    <row r="55" spans="1:7" ht="15.75" x14ac:dyDescent="0.25">
      <c r="A55" s="21" t="s">
        <v>2</v>
      </c>
      <c r="B55" s="255"/>
      <c r="C55" s="22" t="s">
        <v>46</v>
      </c>
      <c r="D55" s="22" t="s">
        <v>46</v>
      </c>
      <c r="E55" s="257"/>
    </row>
    <row r="56" spans="1:7" ht="15.75" x14ac:dyDescent="0.25">
      <c r="A56" s="32">
        <v>1</v>
      </c>
      <c r="B56" s="54" t="s">
        <v>184</v>
      </c>
      <c r="C56" s="76">
        <v>38203</v>
      </c>
      <c r="D56" s="76">
        <v>215457</v>
      </c>
      <c r="E56" s="75" t="s">
        <v>146</v>
      </c>
    </row>
    <row r="57" spans="1:7" ht="15.75" x14ac:dyDescent="0.25">
      <c r="A57" s="32">
        <v>2</v>
      </c>
      <c r="B57" s="54" t="s">
        <v>47</v>
      </c>
      <c r="C57" s="76">
        <v>228.76</v>
      </c>
      <c r="D57" s="76">
        <v>249.66</v>
      </c>
      <c r="E57" s="27"/>
    </row>
    <row r="58" spans="1:7" ht="20.25" thickBot="1" x14ac:dyDescent="0.45">
      <c r="A58" s="25" t="s">
        <v>48</v>
      </c>
      <c r="B58" s="36"/>
      <c r="E58" s="24"/>
    </row>
    <row r="59" spans="1:7" ht="15.75" x14ac:dyDescent="0.25">
      <c r="A59" s="2" t="s">
        <v>1</v>
      </c>
      <c r="B59" s="254" t="s">
        <v>5</v>
      </c>
      <c r="C59" s="270" t="s">
        <v>3</v>
      </c>
      <c r="D59" s="270" t="s">
        <v>4</v>
      </c>
      <c r="E59" s="256" t="s">
        <v>13</v>
      </c>
    </row>
    <row r="60" spans="1:7" ht="15.75" x14ac:dyDescent="0.25">
      <c r="A60" s="21" t="s">
        <v>2</v>
      </c>
      <c r="B60" s="255"/>
      <c r="C60" s="274"/>
      <c r="D60" s="274"/>
      <c r="E60" s="257"/>
      <c r="G60" s="180"/>
    </row>
    <row r="61" spans="1:7" ht="15.75" x14ac:dyDescent="0.25">
      <c r="A61" s="32">
        <v>1</v>
      </c>
      <c r="B61" s="3" t="s">
        <v>49</v>
      </c>
      <c r="C61" s="76">
        <v>228</v>
      </c>
      <c r="D61" s="76">
        <f>1022+$C61</f>
        <v>1250</v>
      </c>
      <c r="E61" s="27"/>
      <c r="G61" s="180"/>
    </row>
    <row r="62" spans="1:7" ht="15.75" x14ac:dyDescent="0.25">
      <c r="A62" s="32">
        <v>2</v>
      </c>
      <c r="B62" s="3" t="s">
        <v>52</v>
      </c>
      <c r="C62" s="76">
        <v>1.365</v>
      </c>
      <c r="D62" s="89">
        <f>+D61/D8</f>
        <v>1.4484356894553883</v>
      </c>
      <c r="E62" s="27"/>
    </row>
    <row r="63" spans="1:7" ht="15.75" x14ac:dyDescent="0.25">
      <c r="A63" s="32">
        <v>3</v>
      </c>
      <c r="B63" s="3" t="s">
        <v>50</v>
      </c>
      <c r="C63" s="76">
        <v>58</v>
      </c>
      <c r="D63" s="76">
        <f>383+C63</f>
        <v>441</v>
      </c>
      <c r="E63" s="27"/>
    </row>
    <row r="64" spans="1:7" ht="15.75" x14ac:dyDescent="0.25">
      <c r="A64" s="32">
        <v>4</v>
      </c>
      <c r="B64" s="3" t="s">
        <v>53</v>
      </c>
      <c r="C64" s="76">
        <v>0.34699999999999998</v>
      </c>
      <c r="D64" s="89">
        <f>+D63/D8</f>
        <v>0.5110081112398609</v>
      </c>
      <c r="E64" s="27"/>
    </row>
    <row r="65" spans="1:5" ht="15.75" x14ac:dyDescent="0.25">
      <c r="A65" s="32">
        <v>5</v>
      </c>
      <c r="B65" s="3" t="s">
        <v>51</v>
      </c>
      <c r="C65" s="152">
        <v>45</v>
      </c>
      <c r="D65" s="152">
        <f>206.2+C65</f>
        <v>251.2</v>
      </c>
      <c r="E65" s="27"/>
    </row>
    <row r="66" spans="1:5" ht="15.75" x14ac:dyDescent="0.25">
      <c r="A66" s="32">
        <v>6</v>
      </c>
      <c r="B66" s="3" t="s">
        <v>54</v>
      </c>
      <c r="C66" s="89">
        <v>0.26900000000000002</v>
      </c>
      <c r="D66" s="89">
        <f>+D65/D8</f>
        <v>0.29107763615295479</v>
      </c>
      <c r="E66" s="27"/>
    </row>
    <row r="67" spans="1:5" ht="15.75" x14ac:dyDescent="0.25">
      <c r="A67" s="32">
        <v>7</v>
      </c>
      <c r="B67" s="3" t="s">
        <v>55</v>
      </c>
      <c r="C67" s="89">
        <v>47.701999999999998</v>
      </c>
      <c r="D67" s="89">
        <f>220.068+C67</f>
        <v>267.77</v>
      </c>
      <c r="E67" s="27"/>
    </row>
    <row r="68" spans="1:5" ht="16.5" thickBot="1" x14ac:dyDescent="0.3">
      <c r="A68" s="37">
        <v>8</v>
      </c>
      <c r="B68" s="52" t="s">
        <v>56</v>
      </c>
      <c r="C68" s="77">
        <v>0.28499999999999998</v>
      </c>
      <c r="D68" s="159">
        <f>+D67/D8</f>
        <v>0.31027809965237541</v>
      </c>
      <c r="E68" s="38"/>
    </row>
  </sheetData>
  <mergeCells count="29">
    <mergeCell ref="A52:E53"/>
    <mergeCell ref="B54:B55"/>
    <mergeCell ref="E54:E55"/>
    <mergeCell ref="B59:B60"/>
    <mergeCell ref="C59:C60"/>
    <mergeCell ref="D59:D60"/>
    <mergeCell ref="E59:E60"/>
    <mergeCell ref="B49:B50"/>
    <mergeCell ref="C49:C50"/>
    <mergeCell ref="D49:D50"/>
    <mergeCell ref="A18:E19"/>
    <mergeCell ref="B20:B21"/>
    <mergeCell ref="E20:E21"/>
    <mergeCell ref="A27:E28"/>
    <mergeCell ref="B29:B30"/>
    <mergeCell ref="E29:E30"/>
    <mergeCell ref="A41:E42"/>
    <mergeCell ref="B43:B44"/>
    <mergeCell ref="C43:C44"/>
    <mergeCell ref="D43:D44"/>
    <mergeCell ref="E43:E44"/>
    <mergeCell ref="A1:E1"/>
    <mergeCell ref="A2:E2"/>
    <mergeCell ref="A3:E3"/>
    <mergeCell ref="A4:E5"/>
    <mergeCell ref="B6:B7"/>
    <mergeCell ref="C6:C7"/>
    <mergeCell ref="D6:D7"/>
    <mergeCell ref="E6:E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9"/>
  <sheetViews>
    <sheetView topLeftCell="A46" workbookViewId="0">
      <selection activeCell="E37" sqref="E37"/>
    </sheetView>
  </sheetViews>
  <sheetFormatPr defaultRowHeight="15" x14ac:dyDescent="0.25"/>
  <cols>
    <col min="1" max="1" width="5.42578125" customWidth="1"/>
    <col min="2" max="2" width="35" customWidth="1"/>
    <col min="3" max="3" width="10.140625" customWidth="1"/>
    <col min="4" max="4" width="17.7109375" customWidth="1"/>
    <col min="5" max="5" width="56.5703125" bestFit="1" customWidth="1"/>
  </cols>
  <sheetData>
    <row r="1" spans="1:5" ht="23.25" thickBot="1" x14ac:dyDescent="0.5">
      <c r="A1" s="284" t="s">
        <v>185</v>
      </c>
      <c r="B1" s="285"/>
      <c r="C1" s="285"/>
      <c r="D1" s="285"/>
      <c r="E1" s="286"/>
    </row>
    <row r="2" spans="1:5" ht="23.25" thickBot="1" x14ac:dyDescent="0.5">
      <c r="A2" s="287" t="s">
        <v>30</v>
      </c>
      <c r="B2" s="288"/>
      <c r="C2" s="288"/>
      <c r="D2" s="288"/>
      <c r="E2" s="289"/>
    </row>
    <row r="3" spans="1:5" ht="25.5" thickBot="1" x14ac:dyDescent="0.3">
      <c r="A3" s="290" t="s">
        <v>0</v>
      </c>
      <c r="B3" s="291"/>
      <c r="C3" s="291"/>
      <c r="D3" s="291"/>
      <c r="E3" s="292"/>
    </row>
    <row r="4" spans="1:5" x14ac:dyDescent="0.25">
      <c r="A4" s="293" t="s">
        <v>32</v>
      </c>
      <c r="B4" s="294"/>
      <c r="C4" s="294"/>
      <c r="D4" s="294"/>
      <c r="E4" s="295"/>
    </row>
    <row r="5" spans="1:5" ht="15.75" thickBot="1" x14ac:dyDescent="0.3">
      <c r="A5" s="296"/>
      <c r="B5" s="297"/>
      <c r="C5" s="297"/>
      <c r="D5" s="297"/>
      <c r="E5" s="298"/>
    </row>
    <row r="6" spans="1:5" ht="15.75" x14ac:dyDescent="0.25">
      <c r="A6" s="2" t="s">
        <v>1</v>
      </c>
      <c r="B6" s="254" t="s">
        <v>5</v>
      </c>
      <c r="C6" s="270" t="s">
        <v>3</v>
      </c>
      <c r="D6" s="270" t="s">
        <v>4</v>
      </c>
      <c r="E6" s="256" t="s">
        <v>13</v>
      </c>
    </row>
    <row r="7" spans="1:5" ht="16.5" thickBot="1" x14ac:dyDescent="0.3">
      <c r="A7" s="15" t="s">
        <v>2</v>
      </c>
      <c r="B7" s="282"/>
      <c r="C7" s="271"/>
      <c r="D7" s="271"/>
      <c r="E7" s="283"/>
    </row>
    <row r="8" spans="1:5" ht="15.75" x14ac:dyDescent="0.25">
      <c r="A8" s="35">
        <v>1</v>
      </c>
      <c r="B8" s="16" t="s">
        <v>6</v>
      </c>
      <c r="C8" s="78">
        <v>115</v>
      </c>
      <c r="D8" s="78">
        <v>978</v>
      </c>
      <c r="E8" s="26"/>
    </row>
    <row r="9" spans="1:5" ht="15.75" x14ac:dyDescent="0.25">
      <c r="A9" s="32">
        <v>2</v>
      </c>
      <c r="B9" s="3" t="s">
        <v>7</v>
      </c>
      <c r="C9" s="79" t="s">
        <v>68</v>
      </c>
      <c r="D9" s="79">
        <v>122.25</v>
      </c>
      <c r="E9" s="27"/>
    </row>
    <row r="10" spans="1:5" ht="15.75" x14ac:dyDescent="0.25">
      <c r="A10" s="32">
        <v>3</v>
      </c>
      <c r="B10" s="3" t="s">
        <v>8</v>
      </c>
      <c r="C10" s="79">
        <v>116.15</v>
      </c>
      <c r="D10" s="79">
        <v>973.04</v>
      </c>
      <c r="E10" s="27"/>
    </row>
    <row r="11" spans="1:5" ht="15.75" x14ac:dyDescent="0.25">
      <c r="A11" s="32">
        <v>4</v>
      </c>
      <c r="B11" s="3" t="s">
        <v>9</v>
      </c>
      <c r="C11" s="79"/>
      <c r="D11" s="79">
        <v>121.63</v>
      </c>
      <c r="E11" s="27"/>
    </row>
    <row r="12" spans="1:5" ht="15.75" x14ac:dyDescent="0.25">
      <c r="A12" s="32">
        <v>5</v>
      </c>
      <c r="B12" s="3" t="s">
        <v>12</v>
      </c>
      <c r="C12" s="79" t="s">
        <v>186</v>
      </c>
      <c r="D12" s="79" t="s">
        <v>187</v>
      </c>
      <c r="E12" s="27"/>
    </row>
    <row r="13" spans="1:5" ht="15.75" x14ac:dyDescent="0.3">
      <c r="A13" s="58">
        <v>6</v>
      </c>
      <c r="B13" s="5" t="s">
        <v>45</v>
      </c>
      <c r="C13" s="39"/>
      <c r="D13" s="39" t="s">
        <v>116</v>
      </c>
      <c r="E13" s="27"/>
    </row>
    <row r="14" spans="1:5" ht="15.75" x14ac:dyDescent="0.3">
      <c r="A14" s="58">
        <v>7</v>
      </c>
      <c r="B14" s="5" t="s">
        <v>44</v>
      </c>
      <c r="C14" s="39" t="s">
        <v>116</v>
      </c>
      <c r="D14" s="39" t="s">
        <v>116</v>
      </c>
      <c r="E14" s="27"/>
    </row>
    <row r="15" spans="1:5" ht="15.75" x14ac:dyDescent="0.3">
      <c r="A15" s="58">
        <v>8</v>
      </c>
      <c r="B15" s="5" t="s">
        <v>10</v>
      </c>
      <c r="C15" s="39" t="s">
        <v>116</v>
      </c>
      <c r="D15" s="39" t="s">
        <v>117</v>
      </c>
      <c r="E15" s="27"/>
    </row>
    <row r="16" spans="1:5" ht="15.75" x14ac:dyDescent="0.3">
      <c r="A16" s="58">
        <v>9</v>
      </c>
      <c r="B16" s="5" t="s">
        <v>11</v>
      </c>
      <c r="C16" s="39" t="s">
        <v>116</v>
      </c>
      <c r="D16" s="39" t="s">
        <v>117</v>
      </c>
      <c r="E16" s="27"/>
    </row>
    <row r="17" spans="1:5" ht="15.75" x14ac:dyDescent="0.3">
      <c r="A17" s="58">
        <v>10</v>
      </c>
      <c r="B17" s="4" t="s">
        <v>12</v>
      </c>
      <c r="C17" s="39" t="s">
        <v>118</v>
      </c>
      <c r="D17" s="40" t="s">
        <v>118</v>
      </c>
      <c r="E17" s="27"/>
    </row>
    <row r="18" spans="1:5" x14ac:dyDescent="0.25">
      <c r="A18" s="248" t="s">
        <v>104</v>
      </c>
      <c r="B18" s="249"/>
      <c r="C18" s="249"/>
      <c r="D18" s="249"/>
      <c r="E18" s="250"/>
    </row>
    <row r="19" spans="1:5" ht="15.75" thickBot="1" x14ac:dyDescent="0.3">
      <c r="A19" s="251"/>
      <c r="B19" s="252"/>
      <c r="C19" s="252"/>
      <c r="D19" s="252"/>
      <c r="E19" s="253"/>
    </row>
    <row r="20" spans="1:5" ht="15.75" x14ac:dyDescent="0.25">
      <c r="A20" s="11" t="s">
        <v>1</v>
      </c>
      <c r="B20" s="275" t="s">
        <v>31</v>
      </c>
      <c r="C20" s="56" t="s">
        <v>34</v>
      </c>
      <c r="D20" s="41" t="s">
        <v>33</v>
      </c>
      <c r="E20" s="277" t="s">
        <v>13</v>
      </c>
    </row>
    <row r="21" spans="1:5" ht="16.5" thickBot="1" x14ac:dyDescent="0.3">
      <c r="A21" s="93" t="s">
        <v>2</v>
      </c>
      <c r="B21" s="276"/>
      <c r="C21" s="94" t="s">
        <v>35</v>
      </c>
      <c r="D21" s="95" t="s">
        <v>3</v>
      </c>
      <c r="E21" s="278"/>
    </row>
    <row r="22" spans="1:5" ht="15.75" x14ac:dyDescent="0.25">
      <c r="A22" s="160">
        <v>1</v>
      </c>
      <c r="B22" s="161" t="s">
        <v>179</v>
      </c>
      <c r="C22" s="162">
        <v>21</v>
      </c>
      <c r="D22" s="167">
        <v>35.5</v>
      </c>
      <c r="E22" s="26"/>
    </row>
    <row r="23" spans="1:5" ht="15.75" x14ac:dyDescent="0.25">
      <c r="A23" s="163">
        <v>2</v>
      </c>
      <c r="B23" s="164" t="s">
        <v>188</v>
      </c>
      <c r="C23" s="165">
        <v>43</v>
      </c>
      <c r="D23" s="168">
        <v>73</v>
      </c>
      <c r="E23" s="27"/>
    </row>
    <row r="24" spans="1:5" ht="15.75" x14ac:dyDescent="0.25">
      <c r="A24" s="163">
        <v>3</v>
      </c>
      <c r="B24" s="164" t="s">
        <v>181</v>
      </c>
      <c r="C24" s="166">
        <v>4</v>
      </c>
      <c r="D24" s="169">
        <v>6.5</v>
      </c>
      <c r="E24" s="27"/>
    </row>
    <row r="25" spans="1:5" ht="15.75" x14ac:dyDescent="0.25">
      <c r="A25" s="155"/>
      <c r="B25" s="156"/>
      <c r="C25" s="157"/>
      <c r="D25" s="158"/>
      <c r="E25" s="31"/>
    </row>
    <row r="26" spans="1:5" ht="16.5" thickBot="1" x14ac:dyDescent="0.3">
      <c r="A26" s="37">
        <v>5</v>
      </c>
      <c r="B26" s="99" t="s">
        <v>29</v>
      </c>
      <c r="C26" s="80">
        <f>SUM(C22:C25)</f>
        <v>68</v>
      </c>
      <c r="D26" s="100">
        <f>SUM(D22:D25)</f>
        <v>115</v>
      </c>
      <c r="E26" s="38"/>
    </row>
    <row r="27" spans="1:5" x14ac:dyDescent="0.25">
      <c r="A27" s="279" t="s">
        <v>105</v>
      </c>
      <c r="B27" s="280"/>
      <c r="C27" s="280"/>
      <c r="D27" s="280"/>
      <c r="E27" s="281"/>
    </row>
    <row r="28" spans="1:5" ht="15.75" thickBot="1" x14ac:dyDescent="0.3">
      <c r="A28" s="251"/>
      <c r="B28" s="252"/>
      <c r="C28" s="252"/>
      <c r="D28" s="252"/>
      <c r="E28" s="253"/>
    </row>
    <row r="29" spans="1:5" ht="15.75" x14ac:dyDescent="0.25">
      <c r="A29" s="2" t="s">
        <v>1</v>
      </c>
      <c r="B29" s="254" t="s">
        <v>5</v>
      </c>
      <c r="C29" s="18" t="s">
        <v>3</v>
      </c>
      <c r="D29" s="18" t="s">
        <v>4</v>
      </c>
      <c r="E29" s="256" t="s">
        <v>13</v>
      </c>
    </row>
    <row r="30" spans="1:5" ht="16.5" thickBot="1" x14ac:dyDescent="0.3">
      <c r="A30" s="15" t="s">
        <v>2</v>
      </c>
      <c r="B30" s="282"/>
      <c r="C30" s="19" t="s">
        <v>40</v>
      </c>
      <c r="D30" s="19" t="s">
        <v>40</v>
      </c>
      <c r="E30" s="323"/>
    </row>
    <row r="31" spans="1:5" ht="19.5" x14ac:dyDescent="0.4">
      <c r="A31" s="128">
        <v>1</v>
      </c>
      <c r="B31" s="135" t="s">
        <v>14</v>
      </c>
      <c r="C31" s="130">
        <v>18.05</v>
      </c>
      <c r="D31" s="146">
        <v>140.44999999999999</v>
      </c>
      <c r="E31" s="27"/>
    </row>
    <row r="32" spans="1:5" ht="20.25" thickBot="1" x14ac:dyDescent="0.45">
      <c r="A32" s="129">
        <v>2</v>
      </c>
      <c r="B32" s="136" t="s">
        <v>99</v>
      </c>
      <c r="C32" s="132">
        <v>5.55</v>
      </c>
      <c r="D32" s="145">
        <v>51.15</v>
      </c>
      <c r="E32" s="31"/>
    </row>
    <row r="33" spans="1:5" ht="57.75" thickBot="1" x14ac:dyDescent="0.35">
      <c r="A33" s="44">
        <v>3</v>
      </c>
      <c r="B33" s="173" t="s">
        <v>15</v>
      </c>
      <c r="C33" s="174">
        <v>3.25</v>
      </c>
      <c r="D33" s="110">
        <v>9.5</v>
      </c>
      <c r="E33" s="172" t="s">
        <v>190</v>
      </c>
    </row>
    <row r="34" spans="1:5" ht="17.25" thickBot="1" x14ac:dyDescent="0.35">
      <c r="A34" s="32">
        <v>4</v>
      </c>
      <c r="B34" s="54" t="s">
        <v>16</v>
      </c>
      <c r="C34" s="122" t="s">
        <v>64</v>
      </c>
      <c r="D34" s="123" t="s">
        <v>63</v>
      </c>
      <c r="E34" s="175"/>
    </row>
    <row r="35" spans="1:5" ht="29.25" thickBot="1" x14ac:dyDescent="0.35">
      <c r="A35" s="32">
        <v>5</v>
      </c>
      <c r="B35" s="54" t="s">
        <v>17</v>
      </c>
      <c r="C35" s="124">
        <v>1.3</v>
      </c>
      <c r="D35" s="123">
        <v>22.05</v>
      </c>
      <c r="E35" s="172" t="s">
        <v>191</v>
      </c>
    </row>
    <row r="36" spans="1:5" ht="16.5" x14ac:dyDescent="0.3">
      <c r="A36" s="32">
        <v>6</v>
      </c>
      <c r="B36" s="54" t="s">
        <v>18</v>
      </c>
      <c r="C36" s="122" t="s">
        <v>64</v>
      </c>
      <c r="D36" s="123" t="s">
        <v>64</v>
      </c>
      <c r="E36" s="175"/>
    </row>
    <row r="37" spans="1:5" ht="17.25" thickBot="1" x14ac:dyDescent="0.35">
      <c r="A37" s="32">
        <v>7</v>
      </c>
      <c r="B37" s="54" t="s">
        <v>19</v>
      </c>
      <c r="C37" s="124" t="s">
        <v>182</v>
      </c>
      <c r="D37" s="123">
        <v>7.4</v>
      </c>
      <c r="E37" s="175"/>
    </row>
    <row r="38" spans="1:5" ht="17.25" thickBot="1" x14ac:dyDescent="0.35">
      <c r="A38" s="32">
        <v>8</v>
      </c>
      <c r="B38" s="54" t="s">
        <v>20</v>
      </c>
      <c r="C38" s="124">
        <v>1</v>
      </c>
      <c r="D38" s="123">
        <v>2.4</v>
      </c>
      <c r="E38" s="171" t="s">
        <v>192</v>
      </c>
    </row>
    <row r="39" spans="1:5" ht="16.5" x14ac:dyDescent="0.3">
      <c r="A39" s="32">
        <v>9</v>
      </c>
      <c r="B39" s="54" t="s">
        <v>21</v>
      </c>
      <c r="C39" s="122" t="s">
        <v>64</v>
      </c>
      <c r="D39" s="123" t="s">
        <v>116</v>
      </c>
      <c r="E39" s="175"/>
    </row>
    <row r="40" spans="1:5" ht="17.25" thickBot="1" x14ac:dyDescent="0.35">
      <c r="A40" s="37">
        <v>10</v>
      </c>
      <c r="B40" s="55" t="s">
        <v>22</v>
      </c>
      <c r="C40" s="126" t="s">
        <v>116</v>
      </c>
      <c r="D40" s="139">
        <v>9</v>
      </c>
      <c r="E40" s="175"/>
    </row>
    <row r="41" spans="1:5" x14ac:dyDescent="0.25">
      <c r="A41" s="262" t="s">
        <v>77</v>
      </c>
      <c r="B41" s="263"/>
      <c r="C41" s="263"/>
      <c r="D41" s="263"/>
      <c r="E41" s="264"/>
    </row>
    <row r="42" spans="1:5" ht="15.75" thickBot="1" x14ac:dyDescent="0.3">
      <c r="A42" s="265"/>
      <c r="B42" s="266"/>
      <c r="C42" s="266"/>
      <c r="D42" s="266"/>
      <c r="E42" s="267"/>
    </row>
    <row r="43" spans="1:5" ht="15.75" x14ac:dyDescent="0.25">
      <c r="A43" s="9" t="s">
        <v>1</v>
      </c>
      <c r="B43" s="268" t="s">
        <v>27</v>
      </c>
      <c r="C43" s="270" t="s">
        <v>3</v>
      </c>
      <c r="D43" s="270" t="s">
        <v>4</v>
      </c>
      <c r="E43" s="272" t="s">
        <v>28</v>
      </c>
    </row>
    <row r="44" spans="1:5" ht="16.5" thickBot="1" x14ac:dyDescent="0.3">
      <c r="A44" s="17" t="s">
        <v>2</v>
      </c>
      <c r="B44" s="269"/>
      <c r="C44" s="271"/>
      <c r="D44" s="271"/>
      <c r="E44" s="273"/>
    </row>
    <row r="45" spans="1:5" x14ac:dyDescent="0.25">
      <c r="A45" s="35">
        <v>1</v>
      </c>
      <c r="B45" s="53" t="s">
        <v>58</v>
      </c>
      <c r="C45" s="47" t="s">
        <v>57</v>
      </c>
      <c r="D45" s="49" t="s">
        <v>57</v>
      </c>
      <c r="E45" s="26"/>
    </row>
    <row r="46" spans="1:5" x14ac:dyDescent="0.25">
      <c r="A46" s="32">
        <v>2</v>
      </c>
      <c r="B46" s="54" t="s">
        <v>59</v>
      </c>
      <c r="C46" s="48">
        <v>128</v>
      </c>
      <c r="D46" s="48">
        <v>1087</v>
      </c>
      <c r="E46" s="27"/>
    </row>
    <row r="47" spans="1:5" x14ac:dyDescent="0.25">
      <c r="A47" s="32">
        <v>3</v>
      </c>
      <c r="B47" s="54" t="s">
        <v>60</v>
      </c>
      <c r="C47" s="48">
        <v>128</v>
      </c>
      <c r="D47" s="48">
        <v>1087</v>
      </c>
      <c r="E47" s="27"/>
    </row>
    <row r="48" spans="1:5" ht="19.5" thickBot="1" x14ac:dyDescent="0.45">
      <c r="A48" s="28" t="s">
        <v>78</v>
      </c>
      <c r="E48" s="24"/>
    </row>
    <row r="49" spans="1:9" ht="15.75" x14ac:dyDescent="0.25">
      <c r="A49" s="9" t="s">
        <v>1</v>
      </c>
      <c r="B49" s="254" t="s">
        <v>5</v>
      </c>
      <c r="C49" s="270" t="s">
        <v>3</v>
      </c>
      <c r="D49" s="256" t="s">
        <v>4</v>
      </c>
      <c r="E49" s="60" t="s">
        <v>61</v>
      </c>
    </row>
    <row r="50" spans="1:9" ht="15.75" x14ac:dyDescent="0.25">
      <c r="A50" s="1" t="s">
        <v>2</v>
      </c>
      <c r="B50" s="255"/>
      <c r="C50" s="274"/>
      <c r="D50" s="257"/>
      <c r="E50" s="61" t="s">
        <v>42</v>
      </c>
    </row>
    <row r="51" spans="1:9" x14ac:dyDescent="0.25">
      <c r="A51" s="29">
        <v>1</v>
      </c>
      <c r="B51" s="20" t="s">
        <v>43</v>
      </c>
      <c r="C51" s="50">
        <v>12.24</v>
      </c>
      <c r="D51" s="50">
        <v>94.48</v>
      </c>
      <c r="E51" s="51">
        <v>9.39</v>
      </c>
    </row>
    <row r="52" spans="1:9" ht="13.5" customHeight="1" x14ac:dyDescent="0.25">
      <c r="A52" s="248" t="s">
        <v>73</v>
      </c>
      <c r="B52" s="249"/>
      <c r="C52" s="249"/>
      <c r="D52" s="249"/>
      <c r="E52" s="250"/>
    </row>
    <row r="53" spans="1:9" ht="11.25" customHeight="1" thickBot="1" x14ac:dyDescent="0.3">
      <c r="A53" s="251"/>
      <c r="B53" s="252"/>
      <c r="C53" s="252"/>
      <c r="D53" s="252"/>
      <c r="E53" s="253"/>
    </row>
    <row r="54" spans="1:9" ht="15.75" x14ac:dyDescent="0.25">
      <c r="A54" s="2" t="s">
        <v>1</v>
      </c>
      <c r="B54" s="254" t="s">
        <v>5</v>
      </c>
      <c r="C54" s="18" t="s">
        <v>3</v>
      </c>
      <c r="D54" s="18" t="s">
        <v>4</v>
      </c>
      <c r="E54" s="256" t="s">
        <v>13</v>
      </c>
    </row>
    <row r="55" spans="1:9" ht="15.75" x14ac:dyDescent="0.25">
      <c r="A55" s="21" t="s">
        <v>2</v>
      </c>
      <c r="B55" s="255"/>
      <c r="C55" s="22" t="s">
        <v>46</v>
      </c>
      <c r="D55" s="22" t="s">
        <v>46</v>
      </c>
      <c r="E55" s="257"/>
    </row>
    <row r="56" spans="1:9" ht="15.75" x14ac:dyDescent="0.25">
      <c r="A56" s="32">
        <v>1</v>
      </c>
      <c r="B56" s="54" t="s">
        <v>189</v>
      </c>
      <c r="C56" s="76">
        <v>32876</v>
      </c>
      <c r="D56" s="76">
        <v>248333</v>
      </c>
      <c r="E56" s="75" t="s">
        <v>146</v>
      </c>
    </row>
    <row r="57" spans="1:9" ht="15.75" x14ac:dyDescent="0.25">
      <c r="A57" s="32">
        <v>2</v>
      </c>
      <c r="B57" s="54" t="s">
        <v>47</v>
      </c>
      <c r="C57" s="76">
        <v>285.87</v>
      </c>
      <c r="D57" s="76">
        <v>253.91</v>
      </c>
      <c r="E57" s="27"/>
    </row>
    <row r="58" spans="1:9" ht="20.25" thickBot="1" x14ac:dyDescent="0.45">
      <c r="A58" s="25" t="s">
        <v>48</v>
      </c>
      <c r="B58" s="36"/>
      <c r="E58" s="24"/>
    </row>
    <row r="59" spans="1:9" ht="15.75" x14ac:dyDescent="0.25">
      <c r="A59" s="2" t="s">
        <v>1</v>
      </c>
      <c r="B59" s="254" t="s">
        <v>5</v>
      </c>
      <c r="C59" s="270" t="s">
        <v>3</v>
      </c>
      <c r="D59" s="270" t="s">
        <v>4</v>
      </c>
      <c r="E59" s="256" t="s">
        <v>13</v>
      </c>
    </row>
    <row r="60" spans="1:9" ht="15.75" x14ac:dyDescent="0.25">
      <c r="A60" s="21" t="s">
        <v>2</v>
      </c>
      <c r="B60" s="255"/>
      <c r="C60" s="274"/>
      <c r="D60" s="274"/>
      <c r="E60" s="257"/>
      <c r="G60" s="188"/>
      <c r="H60" s="182"/>
      <c r="I60" s="187"/>
    </row>
    <row r="61" spans="1:9" ht="15.75" x14ac:dyDescent="0.25">
      <c r="A61" s="32">
        <v>1</v>
      </c>
      <c r="B61" s="3" t="s">
        <v>49</v>
      </c>
      <c r="C61" s="76">
        <v>178</v>
      </c>
      <c r="D61" s="76">
        <f>1250+$C61</f>
        <v>1428</v>
      </c>
      <c r="E61" s="27"/>
      <c r="G61" s="180"/>
      <c r="I61" s="187"/>
    </row>
    <row r="62" spans="1:9" ht="15.75" x14ac:dyDescent="0.25">
      <c r="A62" s="32">
        <v>2</v>
      </c>
      <c r="B62" s="3" t="s">
        <v>52</v>
      </c>
      <c r="C62" s="76">
        <v>1.5469999999999999</v>
      </c>
      <c r="D62" s="89">
        <f>+D61/D8</f>
        <v>1.4601226993865031</v>
      </c>
      <c r="E62" s="27"/>
      <c r="G62" s="180"/>
      <c r="H62" s="180"/>
      <c r="I62" s="187"/>
    </row>
    <row r="63" spans="1:9" ht="15.75" x14ac:dyDescent="0.25">
      <c r="A63" s="32">
        <v>3</v>
      </c>
      <c r="B63" s="3" t="s">
        <v>50</v>
      </c>
      <c r="C63" s="76">
        <v>41</v>
      </c>
      <c r="D63" s="76">
        <v>482</v>
      </c>
      <c r="E63" s="27"/>
      <c r="G63" s="180"/>
      <c r="H63" s="180"/>
      <c r="I63" s="187"/>
    </row>
    <row r="64" spans="1:9" ht="15.75" x14ac:dyDescent="0.25">
      <c r="A64" s="32">
        <v>4</v>
      </c>
      <c r="B64" s="3" t="s">
        <v>53</v>
      </c>
      <c r="C64" s="76">
        <v>0.35599999999999998</v>
      </c>
      <c r="D64" s="89">
        <f>+D63/D8</f>
        <v>0.49284253578732107</v>
      </c>
      <c r="E64" s="27"/>
      <c r="G64" s="180"/>
      <c r="H64" s="180"/>
      <c r="I64" s="187"/>
    </row>
    <row r="65" spans="1:9" ht="15.75" x14ac:dyDescent="0.25">
      <c r="A65" s="32">
        <v>5</v>
      </c>
      <c r="B65" s="3" t="s">
        <v>51</v>
      </c>
      <c r="C65" s="152">
        <v>46.6</v>
      </c>
      <c r="D65" s="152">
        <v>297.8</v>
      </c>
      <c r="E65" s="27"/>
      <c r="H65" s="180"/>
      <c r="I65" s="187"/>
    </row>
    <row r="66" spans="1:9" ht="15.75" x14ac:dyDescent="0.25">
      <c r="A66" s="32">
        <v>6</v>
      </c>
      <c r="B66" s="3" t="s">
        <v>54</v>
      </c>
      <c r="C66" s="89">
        <v>0.40500000000000003</v>
      </c>
      <c r="D66" s="89">
        <f>+D65/D8</f>
        <v>0.30449897750511251</v>
      </c>
      <c r="E66" s="27"/>
      <c r="H66" s="180"/>
      <c r="I66" s="187"/>
    </row>
    <row r="67" spans="1:9" ht="15.75" x14ac:dyDescent="0.25">
      <c r="A67" s="32">
        <v>7</v>
      </c>
      <c r="B67" s="3" t="s">
        <v>55</v>
      </c>
      <c r="C67" s="89">
        <v>36.420999999999999</v>
      </c>
      <c r="D67" s="89">
        <v>304.19099999999997</v>
      </c>
      <c r="E67" s="27"/>
      <c r="H67" s="180"/>
      <c r="I67" s="187"/>
    </row>
    <row r="68" spans="1:9" ht="16.5" thickBot="1" x14ac:dyDescent="0.3">
      <c r="A68" s="37">
        <v>8</v>
      </c>
      <c r="B68" s="52" t="s">
        <v>56</v>
      </c>
      <c r="C68" s="77">
        <v>0.316</v>
      </c>
      <c r="D68" s="159">
        <f>+D67/D8</f>
        <v>0.31103374233128833</v>
      </c>
      <c r="E68" s="38"/>
      <c r="H68" s="180"/>
      <c r="I68" s="186"/>
    </row>
    <row r="69" spans="1:9" ht="15.75" x14ac:dyDescent="0.25">
      <c r="H69" s="180"/>
    </row>
  </sheetData>
  <mergeCells count="29">
    <mergeCell ref="A52:E53"/>
    <mergeCell ref="B54:B55"/>
    <mergeCell ref="E54:E55"/>
    <mergeCell ref="B59:B60"/>
    <mergeCell ref="C59:C60"/>
    <mergeCell ref="D59:D60"/>
    <mergeCell ref="E59:E60"/>
    <mergeCell ref="B49:B50"/>
    <mergeCell ref="C49:C50"/>
    <mergeCell ref="D49:D50"/>
    <mergeCell ref="A18:E19"/>
    <mergeCell ref="B20:B21"/>
    <mergeCell ref="E20:E21"/>
    <mergeCell ref="A27:E28"/>
    <mergeCell ref="B29:B30"/>
    <mergeCell ref="E29:E30"/>
    <mergeCell ref="A41:E42"/>
    <mergeCell ref="B43:B44"/>
    <mergeCell ref="C43:C44"/>
    <mergeCell ref="D43:D44"/>
    <mergeCell ref="E43:E44"/>
    <mergeCell ref="A1:E1"/>
    <mergeCell ref="A2:E2"/>
    <mergeCell ref="A3:E3"/>
    <mergeCell ref="A4:E5"/>
    <mergeCell ref="B6:B7"/>
    <mergeCell ref="C6:C7"/>
    <mergeCell ref="D6:D7"/>
    <mergeCell ref="E6:E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70"/>
  <sheetViews>
    <sheetView topLeftCell="A40" workbookViewId="0">
      <selection activeCell="A31" sqref="A31:E40"/>
    </sheetView>
  </sheetViews>
  <sheetFormatPr defaultRowHeight="15" x14ac:dyDescent="0.25"/>
  <cols>
    <col min="1" max="1" width="5.42578125" customWidth="1"/>
    <col min="2" max="2" width="35" customWidth="1"/>
    <col min="3" max="3" width="10.140625" customWidth="1"/>
    <col min="4" max="4" width="17.7109375" customWidth="1"/>
    <col min="5" max="5" width="56.5703125" bestFit="1" customWidth="1"/>
    <col min="8" max="8" width="9.5703125" bestFit="1" customWidth="1"/>
  </cols>
  <sheetData>
    <row r="1" spans="1:5" ht="23.25" thickBot="1" x14ac:dyDescent="0.5">
      <c r="A1" s="284" t="s">
        <v>193</v>
      </c>
      <c r="B1" s="285"/>
      <c r="C1" s="285"/>
      <c r="D1" s="285"/>
      <c r="E1" s="286"/>
    </row>
    <row r="2" spans="1:5" ht="23.25" thickBot="1" x14ac:dyDescent="0.5">
      <c r="A2" s="287" t="s">
        <v>30</v>
      </c>
      <c r="B2" s="288"/>
      <c r="C2" s="288"/>
      <c r="D2" s="288"/>
      <c r="E2" s="289"/>
    </row>
    <row r="3" spans="1:5" ht="25.5" thickBot="1" x14ac:dyDescent="0.3">
      <c r="A3" s="290" t="s">
        <v>0</v>
      </c>
      <c r="B3" s="291"/>
      <c r="C3" s="291"/>
      <c r="D3" s="291"/>
      <c r="E3" s="292"/>
    </row>
    <row r="4" spans="1:5" ht="15" customHeight="1" x14ac:dyDescent="0.25">
      <c r="A4" s="293" t="s">
        <v>32</v>
      </c>
      <c r="B4" s="294"/>
      <c r="C4" s="294"/>
      <c r="D4" s="294"/>
      <c r="E4" s="295"/>
    </row>
    <row r="5" spans="1:5" ht="15" customHeight="1" thickBot="1" x14ac:dyDescent="0.3">
      <c r="A5" s="296"/>
      <c r="B5" s="297"/>
      <c r="C5" s="297"/>
      <c r="D5" s="297"/>
      <c r="E5" s="298"/>
    </row>
    <row r="6" spans="1:5" ht="15.75" x14ac:dyDescent="0.25">
      <c r="A6" s="2" t="s">
        <v>1</v>
      </c>
      <c r="B6" s="254" t="s">
        <v>5</v>
      </c>
      <c r="C6" s="270" t="s">
        <v>3</v>
      </c>
      <c r="D6" s="270" t="s">
        <v>4</v>
      </c>
      <c r="E6" s="256" t="s">
        <v>13</v>
      </c>
    </row>
    <row r="7" spans="1:5" ht="16.5" thickBot="1" x14ac:dyDescent="0.3">
      <c r="A7" s="15" t="s">
        <v>2</v>
      </c>
      <c r="B7" s="282"/>
      <c r="C7" s="271"/>
      <c r="D7" s="271"/>
      <c r="E7" s="283"/>
    </row>
    <row r="8" spans="1:5" ht="15.75" x14ac:dyDescent="0.25">
      <c r="A8" s="35">
        <v>1</v>
      </c>
      <c r="B8" s="16" t="s">
        <v>6</v>
      </c>
      <c r="C8" s="78">
        <v>97</v>
      </c>
      <c r="D8" s="78">
        <v>1075</v>
      </c>
      <c r="E8" s="26"/>
    </row>
    <row r="9" spans="1:5" ht="15.75" x14ac:dyDescent="0.25">
      <c r="A9" s="32">
        <v>2</v>
      </c>
      <c r="B9" s="3" t="s">
        <v>7</v>
      </c>
      <c r="C9" s="79" t="s">
        <v>68</v>
      </c>
      <c r="D9" s="79">
        <v>119.444</v>
      </c>
      <c r="E9" s="27"/>
    </row>
    <row r="10" spans="1:5" ht="15.75" x14ac:dyDescent="0.25">
      <c r="A10" s="32">
        <v>3</v>
      </c>
      <c r="B10" s="3" t="s">
        <v>8</v>
      </c>
      <c r="C10" s="79">
        <v>94.72</v>
      </c>
      <c r="D10" s="79">
        <v>1067.76</v>
      </c>
      <c r="E10" s="27"/>
    </row>
    <row r="11" spans="1:5" ht="15.75" x14ac:dyDescent="0.25">
      <c r="A11" s="32">
        <v>4</v>
      </c>
      <c r="B11" s="3" t="s">
        <v>9</v>
      </c>
      <c r="C11" s="79"/>
      <c r="D11" s="79">
        <v>118.64</v>
      </c>
      <c r="E11" s="27"/>
    </row>
    <row r="12" spans="1:5" ht="15.75" x14ac:dyDescent="0.25">
      <c r="A12" s="32">
        <v>5</v>
      </c>
      <c r="B12" s="3" t="s">
        <v>12</v>
      </c>
      <c r="C12" s="79" t="s">
        <v>194</v>
      </c>
      <c r="D12" s="79" t="s">
        <v>195</v>
      </c>
      <c r="E12" s="27"/>
    </row>
    <row r="13" spans="1:5" ht="15.75" x14ac:dyDescent="0.3">
      <c r="A13" s="58">
        <v>6</v>
      </c>
      <c r="B13" s="5" t="s">
        <v>45</v>
      </c>
      <c r="C13" s="39"/>
      <c r="D13" s="39" t="s">
        <v>116</v>
      </c>
      <c r="E13" s="27"/>
    </row>
    <row r="14" spans="1:5" ht="15.75" x14ac:dyDescent="0.3">
      <c r="A14" s="58">
        <v>7</v>
      </c>
      <c r="B14" s="5" t="s">
        <v>44</v>
      </c>
      <c r="C14" s="39" t="s">
        <v>116</v>
      </c>
      <c r="D14" s="39" t="s">
        <v>116</v>
      </c>
      <c r="E14" s="27"/>
    </row>
    <row r="15" spans="1:5" ht="15.75" x14ac:dyDescent="0.3">
      <c r="A15" s="58">
        <v>8</v>
      </c>
      <c r="B15" s="5" t="s">
        <v>10</v>
      </c>
      <c r="C15" s="39" t="s">
        <v>116</v>
      </c>
      <c r="D15" s="39" t="s">
        <v>117</v>
      </c>
      <c r="E15" s="27"/>
    </row>
    <row r="16" spans="1:5" ht="15.75" x14ac:dyDescent="0.3">
      <c r="A16" s="58">
        <v>9</v>
      </c>
      <c r="B16" s="5" t="s">
        <v>11</v>
      </c>
      <c r="C16" s="39" t="s">
        <v>116</v>
      </c>
      <c r="D16" s="39" t="s">
        <v>117</v>
      </c>
      <c r="E16" s="27"/>
    </row>
    <row r="17" spans="1:5" ht="15.75" x14ac:dyDescent="0.3">
      <c r="A17" s="58">
        <v>10</v>
      </c>
      <c r="B17" s="4" t="s">
        <v>12</v>
      </c>
      <c r="C17" s="39" t="s">
        <v>118</v>
      </c>
      <c r="D17" s="40" t="s">
        <v>118</v>
      </c>
      <c r="E17" s="27"/>
    </row>
    <row r="18" spans="1:5" ht="15" customHeight="1" x14ac:dyDescent="0.25">
      <c r="A18" s="248" t="s">
        <v>104</v>
      </c>
      <c r="B18" s="249"/>
      <c r="C18" s="249"/>
      <c r="D18" s="249"/>
      <c r="E18" s="250"/>
    </row>
    <row r="19" spans="1:5" ht="15" customHeight="1" thickBot="1" x14ac:dyDescent="0.3">
      <c r="A19" s="251"/>
      <c r="B19" s="252"/>
      <c r="C19" s="252"/>
      <c r="D19" s="252"/>
      <c r="E19" s="253"/>
    </row>
    <row r="20" spans="1:5" ht="15.75" x14ac:dyDescent="0.25">
      <c r="A20" s="11" t="s">
        <v>1</v>
      </c>
      <c r="B20" s="275" t="s">
        <v>31</v>
      </c>
      <c r="C20" s="56" t="s">
        <v>34</v>
      </c>
      <c r="D20" s="41" t="s">
        <v>33</v>
      </c>
      <c r="E20" s="277" t="s">
        <v>13</v>
      </c>
    </row>
    <row r="21" spans="1:5" ht="16.5" thickBot="1" x14ac:dyDescent="0.3">
      <c r="A21" s="93" t="s">
        <v>2</v>
      </c>
      <c r="B21" s="276"/>
      <c r="C21" s="94" t="s">
        <v>35</v>
      </c>
      <c r="D21" s="95" t="s">
        <v>3</v>
      </c>
      <c r="E21" s="278"/>
    </row>
    <row r="22" spans="1:5" ht="15.75" x14ac:dyDescent="0.25">
      <c r="A22" s="160">
        <v>1</v>
      </c>
      <c r="B22" s="161" t="s">
        <v>188</v>
      </c>
      <c r="C22" s="162">
        <v>57</v>
      </c>
      <c r="D22" s="167">
        <v>97</v>
      </c>
      <c r="E22" s="26"/>
    </row>
    <row r="23" spans="1:5" ht="15.75" x14ac:dyDescent="0.25">
      <c r="A23" s="163"/>
      <c r="B23" s="164"/>
      <c r="C23" s="165"/>
      <c r="D23" s="168"/>
      <c r="E23" s="27"/>
    </row>
    <row r="24" spans="1:5" ht="15.75" x14ac:dyDescent="0.25">
      <c r="A24" s="163"/>
      <c r="B24" s="164"/>
      <c r="C24" s="166"/>
      <c r="D24" s="169"/>
      <c r="E24" s="27"/>
    </row>
    <row r="25" spans="1:5" ht="15.75" x14ac:dyDescent="0.25">
      <c r="A25" s="155"/>
      <c r="B25" s="156"/>
      <c r="C25" s="157"/>
      <c r="D25" s="158"/>
      <c r="E25" s="31"/>
    </row>
    <row r="26" spans="1:5" ht="16.5" thickBot="1" x14ac:dyDescent="0.3">
      <c r="A26" s="37">
        <v>5</v>
      </c>
      <c r="B26" s="99" t="s">
        <v>29</v>
      </c>
      <c r="C26" s="80">
        <f>SUM(C22:C25)</f>
        <v>57</v>
      </c>
      <c r="D26" s="100">
        <f>SUM(D22:D25)</f>
        <v>97</v>
      </c>
      <c r="E26" s="38"/>
    </row>
    <row r="27" spans="1:5" ht="15" customHeight="1" x14ac:dyDescent="0.25">
      <c r="A27" s="279" t="s">
        <v>105</v>
      </c>
      <c r="B27" s="280"/>
      <c r="C27" s="280"/>
      <c r="D27" s="280"/>
      <c r="E27" s="281"/>
    </row>
    <row r="28" spans="1:5" ht="15" customHeight="1" thickBot="1" x14ac:dyDescent="0.3">
      <c r="A28" s="251"/>
      <c r="B28" s="252"/>
      <c r="C28" s="252"/>
      <c r="D28" s="252"/>
      <c r="E28" s="253"/>
    </row>
    <row r="29" spans="1:5" ht="15.75" x14ac:dyDescent="0.25">
      <c r="A29" s="2" t="s">
        <v>1</v>
      </c>
      <c r="B29" s="254" t="s">
        <v>5</v>
      </c>
      <c r="C29" s="18" t="s">
        <v>3</v>
      </c>
      <c r="D29" s="18" t="s">
        <v>4</v>
      </c>
      <c r="E29" s="256" t="s">
        <v>13</v>
      </c>
    </row>
    <row r="30" spans="1:5" ht="16.5" thickBot="1" x14ac:dyDescent="0.3">
      <c r="A30" s="15" t="s">
        <v>2</v>
      </c>
      <c r="B30" s="282"/>
      <c r="C30" s="19" t="s">
        <v>40</v>
      </c>
      <c r="D30" s="19" t="s">
        <v>40</v>
      </c>
      <c r="E30" s="323"/>
    </row>
    <row r="31" spans="1:5" ht="19.5" x14ac:dyDescent="0.4">
      <c r="A31" s="128">
        <v>1</v>
      </c>
      <c r="B31" s="135" t="s">
        <v>14</v>
      </c>
      <c r="C31" s="130">
        <v>15.35</v>
      </c>
      <c r="D31" s="146">
        <v>156.19999999999999</v>
      </c>
      <c r="E31" s="27"/>
    </row>
    <row r="32" spans="1:5" ht="20.25" thickBot="1" x14ac:dyDescent="0.45">
      <c r="A32" s="129">
        <v>2</v>
      </c>
      <c r="B32" s="136" t="s">
        <v>99</v>
      </c>
      <c r="C32" s="132">
        <v>8.25</v>
      </c>
      <c r="D32" s="145">
        <v>59.4</v>
      </c>
      <c r="E32" s="31"/>
    </row>
    <row r="33" spans="1:5" ht="43.5" thickBot="1" x14ac:dyDescent="0.35">
      <c r="A33" s="44">
        <v>3</v>
      </c>
      <c r="B33" s="173" t="s">
        <v>15</v>
      </c>
      <c r="C33" s="174">
        <v>2</v>
      </c>
      <c r="D33" s="145">
        <v>11.5</v>
      </c>
      <c r="E33" s="176" t="s">
        <v>196</v>
      </c>
    </row>
    <row r="34" spans="1:5" ht="16.5" x14ac:dyDescent="0.3">
      <c r="A34" s="32">
        <v>4</v>
      </c>
      <c r="B34" s="54" t="s">
        <v>16</v>
      </c>
      <c r="C34" s="122" t="s">
        <v>64</v>
      </c>
      <c r="D34" s="123" t="s">
        <v>63</v>
      </c>
      <c r="E34" s="115"/>
    </row>
    <row r="35" spans="1:5" ht="16.5" x14ac:dyDescent="0.3">
      <c r="A35" s="32">
        <v>5</v>
      </c>
      <c r="B35" s="54" t="s">
        <v>17</v>
      </c>
      <c r="C35" s="124" t="s">
        <v>64</v>
      </c>
      <c r="D35" s="123">
        <v>22.05</v>
      </c>
      <c r="E35" s="177"/>
    </row>
    <row r="36" spans="1:5" ht="16.5" x14ac:dyDescent="0.3">
      <c r="A36" s="32">
        <v>6</v>
      </c>
      <c r="B36" s="54" t="s">
        <v>18</v>
      </c>
      <c r="C36" s="122" t="s">
        <v>64</v>
      </c>
      <c r="D36" s="123" t="s">
        <v>64</v>
      </c>
      <c r="E36" s="115"/>
    </row>
    <row r="37" spans="1:5" ht="28.5" x14ac:dyDescent="0.3">
      <c r="A37" s="32">
        <v>7</v>
      </c>
      <c r="B37" s="54" t="s">
        <v>19</v>
      </c>
      <c r="C37" s="124">
        <v>6.25</v>
      </c>
      <c r="D37" s="123">
        <v>14.05</v>
      </c>
      <c r="E37" s="177" t="s">
        <v>197</v>
      </c>
    </row>
    <row r="38" spans="1:5" ht="16.5" x14ac:dyDescent="0.3">
      <c r="A38" s="32">
        <v>8</v>
      </c>
      <c r="B38" s="54" t="s">
        <v>20</v>
      </c>
      <c r="C38" s="124" t="s">
        <v>64</v>
      </c>
      <c r="D38" s="123">
        <v>2.4</v>
      </c>
      <c r="E38" s="178"/>
    </row>
    <row r="39" spans="1:5" ht="16.5" x14ac:dyDescent="0.3">
      <c r="A39" s="32">
        <v>9</v>
      </c>
      <c r="B39" s="54" t="s">
        <v>21</v>
      </c>
      <c r="C39" s="122" t="s">
        <v>64</v>
      </c>
      <c r="D39" s="123" t="s">
        <v>116</v>
      </c>
      <c r="E39" s="115"/>
    </row>
    <row r="40" spans="1:5" ht="17.25" thickBot="1" x14ac:dyDescent="0.35">
      <c r="A40" s="37">
        <v>10</v>
      </c>
      <c r="B40" s="55" t="s">
        <v>22</v>
      </c>
      <c r="C40" s="126" t="s">
        <v>116</v>
      </c>
      <c r="D40" s="139">
        <v>9</v>
      </c>
      <c r="E40" s="108"/>
    </row>
    <row r="41" spans="1:5" ht="15" customHeight="1" x14ac:dyDescent="0.25">
      <c r="A41" s="262" t="s">
        <v>77</v>
      </c>
      <c r="B41" s="263"/>
      <c r="C41" s="263"/>
      <c r="D41" s="263"/>
      <c r="E41" s="264"/>
    </row>
    <row r="42" spans="1:5" ht="15" customHeight="1" thickBot="1" x14ac:dyDescent="0.3">
      <c r="A42" s="265"/>
      <c r="B42" s="266"/>
      <c r="C42" s="266"/>
      <c r="D42" s="266"/>
      <c r="E42" s="267"/>
    </row>
    <row r="43" spans="1:5" ht="15.75" x14ac:dyDescent="0.25">
      <c r="A43" s="9" t="s">
        <v>1</v>
      </c>
      <c r="B43" s="268" t="s">
        <v>27</v>
      </c>
      <c r="C43" s="270" t="s">
        <v>3</v>
      </c>
      <c r="D43" s="270" t="s">
        <v>4</v>
      </c>
      <c r="E43" s="272" t="s">
        <v>28</v>
      </c>
    </row>
    <row r="44" spans="1:5" ht="16.5" thickBot="1" x14ac:dyDescent="0.3">
      <c r="A44" s="17" t="s">
        <v>2</v>
      </c>
      <c r="B44" s="269"/>
      <c r="C44" s="271"/>
      <c r="D44" s="271"/>
      <c r="E44" s="273"/>
    </row>
    <row r="45" spans="1:5" x14ac:dyDescent="0.25">
      <c r="A45" s="35">
        <v>1</v>
      </c>
      <c r="B45" s="53" t="s">
        <v>58</v>
      </c>
      <c r="C45" s="47" t="s">
        <v>57</v>
      </c>
      <c r="D45" s="49" t="s">
        <v>57</v>
      </c>
      <c r="E45" s="26"/>
    </row>
    <row r="46" spans="1:5" x14ac:dyDescent="0.25">
      <c r="A46" s="32">
        <v>2</v>
      </c>
      <c r="B46" s="54" t="s">
        <v>59</v>
      </c>
      <c r="C46" s="48">
        <v>108</v>
      </c>
      <c r="D46" s="48">
        <v>1195</v>
      </c>
      <c r="E46" s="27"/>
    </row>
    <row r="47" spans="1:5" x14ac:dyDescent="0.25">
      <c r="A47" s="32">
        <v>3</v>
      </c>
      <c r="B47" s="54" t="s">
        <v>60</v>
      </c>
      <c r="C47" s="48">
        <v>108</v>
      </c>
      <c r="D47" s="48">
        <v>1195</v>
      </c>
      <c r="E47" s="27"/>
    </row>
    <row r="48" spans="1:5" ht="19.5" thickBot="1" x14ac:dyDescent="0.45">
      <c r="A48" s="28" t="s">
        <v>78</v>
      </c>
      <c r="E48" s="24"/>
    </row>
    <row r="49" spans="1:9" ht="15.75" x14ac:dyDescent="0.25">
      <c r="A49" s="9" t="s">
        <v>1</v>
      </c>
      <c r="B49" s="254" t="s">
        <v>5</v>
      </c>
      <c r="C49" s="270" t="s">
        <v>3</v>
      </c>
      <c r="D49" s="256" t="s">
        <v>4</v>
      </c>
      <c r="E49" s="60" t="s">
        <v>61</v>
      </c>
    </row>
    <row r="50" spans="1:9" ht="15.75" x14ac:dyDescent="0.25">
      <c r="A50" s="1" t="s">
        <v>2</v>
      </c>
      <c r="B50" s="255"/>
      <c r="C50" s="274"/>
      <c r="D50" s="257"/>
      <c r="E50" s="61" t="s">
        <v>42</v>
      </c>
    </row>
    <row r="51" spans="1:9" x14ac:dyDescent="0.25">
      <c r="A51" s="29">
        <v>1</v>
      </c>
      <c r="B51" s="20" t="s">
        <v>43</v>
      </c>
      <c r="C51" s="50">
        <v>12.24</v>
      </c>
      <c r="D51" s="50">
        <v>107.12</v>
      </c>
      <c r="E51" s="51">
        <v>9.39</v>
      </c>
    </row>
    <row r="52" spans="1:9" ht="13.5" customHeight="1" x14ac:dyDescent="0.25">
      <c r="A52" s="248" t="s">
        <v>73</v>
      </c>
      <c r="B52" s="249"/>
      <c r="C52" s="249"/>
      <c r="D52" s="249"/>
      <c r="E52" s="250"/>
    </row>
    <row r="53" spans="1:9" ht="11.25" customHeight="1" thickBot="1" x14ac:dyDescent="0.3">
      <c r="A53" s="251"/>
      <c r="B53" s="252"/>
      <c r="C53" s="252"/>
      <c r="D53" s="252"/>
      <c r="E53" s="253"/>
    </row>
    <row r="54" spans="1:9" ht="15.75" x14ac:dyDescent="0.25">
      <c r="A54" s="2" t="s">
        <v>1</v>
      </c>
      <c r="B54" s="254" t="s">
        <v>5</v>
      </c>
      <c r="C54" s="18" t="s">
        <v>3</v>
      </c>
      <c r="D54" s="18" t="s">
        <v>4</v>
      </c>
      <c r="E54" s="256" t="s">
        <v>13</v>
      </c>
    </row>
    <row r="55" spans="1:9" ht="15.75" x14ac:dyDescent="0.25">
      <c r="A55" s="21" t="s">
        <v>2</v>
      </c>
      <c r="B55" s="255"/>
      <c r="C55" s="22" t="s">
        <v>46</v>
      </c>
      <c r="D55" s="22" t="s">
        <v>46</v>
      </c>
      <c r="E55" s="257"/>
    </row>
    <row r="56" spans="1:9" ht="15.75" x14ac:dyDescent="0.25">
      <c r="A56" s="32">
        <v>1</v>
      </c>
      <c r="B56" s="54" t="s">
        <v>204</v>
      </c>
      <c r="C56" s="76">
        <v>27625</v>
      </c>
      <c r="D56" s="76">
        <v>281209</v>
      </c>
      <c r="E56" s="75" t="s">
        <v>146</v>
      </c>
    </row>
    <row r="57" spans="1:9" ht="15.75" x14ac:dyDescent="0.25">
      <c r="A57" s="32">
        <v>2</v>
      </c>
      <c r="B57" s="54" t="s">
        <v>47</v>
      </c>
      <c r="C57" s="76">
        <v>285.87</v>
      </c>
      <c r="D57" s="76">
        <v>231.00700000000001</v>
      </c>
      <c r="E57" s="27"/>
    </row>
    <row r="58" spans="1:9" ht="20.25" thickBot="1" x14ac:dyDescent="0.45">
      <c r="A58" s="25" t="s">
        <v>48</v>
      </c>
      <c r="B58" s="36"/>
      <c r="E58" s="24"/>
    </row>
    <row r="59" spans="1:9" ht="15.75" x14ac:dyDescent="0.25">
      <c r="A59" s="2" t="s">
        <v>1</v>
      </c>
      <c r="B59" s="254" t="s">
        <v>5</v>
      </c>
      <c r="C59" s="270" t="s">
        <v>3</v>
      </c>
      <c r="D59" s="270" t="s">
        <v>4</v>
      </c>
      <c r="E59" s="256" t="s">
        <v>13</v>
      </c>
    </row>
    <row r="60" spans="1:9" ht="15.75" x14ac:dyDescent="0.25">
      <c r="A60" s="21" t="s">
        <v>2</v>
      </c>
      <c r="B60" s="255"/>
      <c r="C60" s="274"/>
      <c r="D60" s="274"/>
      <c r="E60" s="257"/>
      <c r="H60" s="180"/>
      <c r="I60" s="180"/>
    </row>
    <row r="61" spans="1:9" ht="15.75" x14ac:dyDescent="0.25">
      <c r="A61" s="32">
        <v>1</v>
      </c>
      <c r="B61" s="3" t="s">
        <v>49</v>
      </c>
      <c r="C61" s="76">
        <v>178</v>
      </c>
      <c r="D61" s="76">
        <v>1606</v>
      </c>
      <c r="E61" s="27"/>
      <c r="G61" s="182"/>
      <c r="H61" s="187"/>
      <c r="I61" s="180"/>
    </row>
    <row r="62" spans="1:9" ht="15.75" x14ac:dyDescent="0.25">
      <c r="A62" s="32">
        <v>2</v>
      </c>
      <c r="B62" s="3" t="s">
        <v>52</v>
      </c>
      <c r="C62" s="76">
        <v>1.5469999999999999</v>
      </c>
      <c r="D62" s="89">
        <f>+D61/D8</f>
        <v>1.4939534883720931</v>
      </c>
      <c r="E62" s="27"/>
      <c r="H62" s="187">
        <v>1428</v>
      </c>
    </row>
    <row r="63" spans="1:9" ht="15.75" x14ac:dyDescent="0.25">
      <c r="A63" s="32">
        <v>3</v>
      </c>
      <c r="B63" s="3" t="s">
        <v>50</v>
      </c>
      <c r="C63" s="76">
        <v>41</v>
      </c>
      <c r="D63" s="76">
        <v>482</v>
      </c>
      <c r="E63" s="27"/>
      <c r="G63" s="180"/>
      <c r="H63" s="187">
        <v>178</v>
      </c>
    </row>
    <row r="64" spans="1:9" ht="15.75" x14ac:dyDescent="0.25">
      <c r="A64" s="32">
        <v>4</v>
      </c>
      <c r="B64" s="3" t="s">
        <v>53</v>
      </c>
      <c r="C64" s="76">
        <v>0.35599999999999998</v>
      </c>
      <c r="D64" s="89">
        <f>+D63/D8</f>
        <v>0.44837209302325581</v>
      </c>
      <c r="E64" s="27"/>
      <c r="G64" s="180"/>
      <c r="H64" s="187">
        <f>SUM(H62:H63)</f>
        <v>1606</v>
      </c>
    </row>
    <row r="65" spans="1:8" ht="15.75" x14ac:dyDescent="0.25">
      <c r="A65" s="32">
        <v>5</v>
      </c>
      <c r="B65" s="3" t="s">
        <v>51</v>
      </c>
      <c r="C65" s="152">
        <v>46.6</v>
      </c>
      <c r="D65" s="152">
        <v>344.4</v>
      </c>
      <c r="E65" s="27"/>
      <c r="G65" s="180"/>
      <c r="H65" s="187"/>
    </row>
    <row r="66" spans="1:8" ht="15.75" x14ac:dyDescent="0.25">
      <c r="A66" s="32">
        <v>6</v>
      </c>
      <c r="B66" s="3" t="s">
        <v>54</v>
      </c>
      <c r="C66" s="89">
        <v>0.40500000000000003</v>
      </c>
      <c r="D66" s="89">
        <f>+D65/D8</f>
        <v>0.32037209302325581</v>
      </c>
      <c r="E66" s="27"/>
      <c r="G66" s="180"/>
      <c r="H66" s="187"/>
    </row>
    <row r="67" spans="1:8" ht="15.75" x14ac:dyDescent="0.25">
      <c r="A67" s="32">
        <v>7</v>
      </c>
      <c r="B67" s="3" t="s">
        <v>55</v>
      </c>
      <c r="C67" s="89">
        <v>31.972000000000001</v>
      </c>
      <c r="D67" s="89">
        <v>336.16300000000001</v>
      </c>
      <c r="E67" s="27"/>
      <c r="G67" s="180"/>
      <c r="H67" s="187"/>
    </row>
    <row r="68" spans="1:8" ht="16.5" thickBot="1" x14ac:dyDescent="0.3">
      <c r="A68" s="37">
        <v>8</v>
      </c>
      <c r="B68" s="52" t="s">
        <v>56</v>
      </c>
      <c r="C68" s="77">
        <v>0.316</v>
      </c>
      <c r="D68" s="159">
        <f>+D67/D8</f>
        <v>0.31270976744186046</v>
      </c>
      <c r="E68" s="38"/>
      <c r="G68" s="180"/>
      <c r="H68" s="187"/>
    </row>
    <row r="69" spans="1:8" ht="15.75" x14ac:dyDescent="0.25">
      <c r="H69" s="187"/>
    </row>
    <row r="70" spans="1:8" x14ac:dyDescent="0.25">
      <c r="H70" s="186"/>
    </row>
  </sheetData>
  <mergeCells count="29">
    <mergeCell ref="A52:E53"/>
    <mergeCell ref="B54:B55"/>
    <mergeCell ref="E54:E55"/>
    <mergeCell ref="B59:B60"/>
    <mergeCell ref="C59:C60"/>
    <mergeCell ref="D59:D60"/>
    <mergeCell ref="E59:E60"/>
    <mergeCell ref="B49:B50"/>
    <mergeCell ref="C49:C50"/>
    <mergeCell ref="D49:D50"/>
    <mergeCell ref="A18:E19"/>
    <mergeCell ref="B20:B21"/>
    <mergeCell ref="E20:E21"/>
    <mergeCell ref="A27:E28"/>
    <mergeCell ref="B29:B30"/>
    <mergeCell ref="E29:E30"/>
    <mergeCell ref="A41:E42"/>
    <mergeCell ref="B43:B44"/>
    <mergeCell ref="C43:C44"/>
    <mergeCell ref="D43:D44"/>
    <mergeCell ref="E43:E44"/>
    <mergeCell ref="A1:E1"/>
    <mergeCell ref="A2:E2"/>
    <mergeCell ref="A3:E3"/>
    <mergeCell ref="A4:E5"/>
    <mergeCell ref="B6:B7"/>
    <mergeCell ref="C6:C7"/>
    <mergeCell ref="D6:D7"/>
    <mergeCell ref="E6:E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70"/>
  <sheetViews>
    <sheetView topLeftCell="A33" workbookViewId="0">
      <selection activeCell="A31" sqref="A31:E40"/>
    </sheetView>
  </sheetViews>
  <sheetFormatPr defaultRowHeight="15" x14ac:dyDescent="0.25"/>
  <cols>
    <col min="1" max="1" width="5.42578125" customWidth="1"/>
    <col min="2" max="2" width="35" customWidth="1"/>
    <col min="3" max="3" width="10.140625" customWidth="1"/>
    <col min="4" max="4" width="17.7109375" customWidth="1"/>
    <col min="5" max="5" width="56.5703125" bestFit="1" customWidth="1"/>
  </cols>
  <sheetData>
    <row r="1" spans="1:5" ht="23.25" thickBot="1" x14ac:dyDescent="0.5">
      <c r="A1" s="284" t="s">
        <v>198</v>
      </c>
      <c r="B1" s="285"/>
      <c r="C1" s="285"/>
      <c r="D1" s="285"/>
      <c r="E1" s="286"/>
    </row>
    <row r="2" spans="1:5" ht="23.25" thickBot="1" x14ac:dyDescent="0.5">
      <c r="A2" s="287" t="s">
        <v>30</v>
      </c>
      <c r="B2" s="288"/>
      <c r="C2" s="288"/>
      <c r="D2" s="288"/>
      <c r="E2" s="289"/>
    </row>
    <row r="3" spans="1:5" ht="25.5" thickBot="1" x14ac:dyDescent="0.3">
      <c r="A3" s="290" t="s">
        <v>0</v>
      </c>
      <c r="B3" s="291"/>
      <c r="C3" s="291"/>
      <c r="D3" s="291"/>
      <c r="E3" s="292"/>
    </row>
    <row r="4" spans="1:5" x14ac:dyDescent="0.25">
      <c r="A4" s="293" t="s">
        <v>32</v>
      </c>
      <c r="B4" s="294"/>
      <c r="C4" s="294"/>
      <c r="D4" s="294"/>
      <c r="E4" s="295"/>
    </row>
    <row r="5" spans="1:5" ht="15.75" thickBot="1" x14ac:dyDescent="0.3">
      <c r="A5" s="296"/>
      <c r="B5" s="297"/>
      <c r="C5" s="297"/>
      <c r="D5" s="297"/>
      <c r="E5" s="298"/>
    </row>
    <row r="6" spans="1:5" ht="15.75" x14ac:dyDescent="0.25">
      <c r="A6" s="2" t="s">
        <v>1</v>
      </c>
      <c r="B6" s="254" t="s">
        <v>5</v>
      </c>
      <c r="C6" s="270" t="s">
        <v>3</v>
      </c>
      <c r="D6" s="270" t="s">
        <v>4</v>
      </c>
      <c r="E6" s="256" t="s">
        <v>13</v>
      </c>
    </row>
    <row r="7" spans="1:5" ht="16.5" thickBot="1" x14ac:dyDescent="0.3">
      <c r="A7" s="15" t="s">
        <v>2</v>
      </c>
      <c r="B7" s="282"/>
      <c r="C7" s="271"/>
      <c r="D7" s="271"/>
      <c r="E7" s="283"/>
    </row>
    <row r="8" spans="1:5" ht="15.75" x14ac:dyDescent="0.25">
      <c r="A8" s="35">
        <v>1</v>
      </c>
      <c r="B8" s="16" t="s">
        <v>6</v>
      </c>
      <c r="C8" s="78">
        <v>136</v>
      </c>
      <c r="D8" s="78">
        <v>1211</v>
      </c>
      <c r="E8" s="26"/>
    </row>
    <row r="9" spans="1:5" ht="15.75" x14ac:dyDescent="0.25">
      <c r="A9" s="32">
        <v>2</v>
      </c>
      <c r="B9" s="3" t="s">
        <v>7</v>
      </c>
      <c r="C9" s="79" t="s">
        <v>68</v>
      </c>
      <c r="D9" s="79">
        <v>121.1</v>
      </c>
      <c r="E9" s="27"/>
    </row>
    <row r="10" spans="1:5" ht="15.75" x14ac:dyDescent="0.25">
      <c r="A10" s="32">
        <v>3</v>
      </c>
      <c r="B10" s="3" t="s">
        <v>8</v>
      </c>
      <c r="C10" s="79">
        <v>140.74</v>
      </c>
      <c r="D10" s="79">
        <v>1208.5</v>
      </c>
      <c r="E10" s="27"/>
    </row>
    <row r="11" spans="1:5" ht="15.75" x14ac:dyDescent="0.25">
      <c r="A11" s="32">
        <v>4</v>
      </c>
      <c r="B11" s="3" t="s">
        <v>9</v>
      </c>
      <c r="C11" s="79"/>
      <c r="D11" s="79">
        <v>120.85</v>
      </c>
      <c r="E11" s="27"/>
    </row>
    <row r="12" spans="1:5" ht="15.75" x14ac:dyDescent="0.25">
      <c r="A12" s="32">
        <v>5</v>
      </c>
      <c r="B12" s="3" t="s">
        <v>12</v>
      </c>
      <c r="C12" s="79" t="s">
        <v>199</v>
      </c>
      <c r="D12" s="79" t="s">
        <v>200</v>
      </c>
      <c r="E12" s="27"/>
    </row>
    <row r="13" spans="1:5" ht="15.75" x14ac:dyDescent="0.3">
      <c r="A13" s="58">
        <v>6</v>
      </c>
      <c r="B13" s="5" t="s">
        <v>45</v>
      </c>
      <c r="C13" s="39"/>
      <c r="D13" s="39" t="s">
        <v>116</v>
      </c>
      <c r="E13" s="27"/>
    </row>
    <row r="14" spans="1:5" ht="15.75" x14ac:dyDescent="0.3">
      <c r="A14" s="58">
        <v>7</v>
      </c>
      <c r="B14" s="5" t="s">
        <v>44</v>
      </c>
      <c r="C14" s="39" t="s">
        <v>116</v>
      </c>
      <c r="D14" s="39" t="s">
        <v>116</v>
      </c>
      <c r="E14" s="27"/>
    </row>
    <row r="15" spans="1:5" ht="15.75" x14ac:dyDescent="0.3">
      <c r="A15" s="58">
        <v>8</v>
      </c>
      <c r="B15" s="5" t="s">
        <v>10</v>
      </c>
      <c r="C15" s="39" t="s">
        <v>116</v>
      </c>
      <c r="D15" s="39" t="s">
        <v>117</v>
      </c>
      <c r="E15" s="27"/>
    </row>
    <row r="16" spans="1:5" ht="15.75" x14ac:dyDescent="0.3">
      <c r="A16" s="58">
        <v>9</v>
      </c>
      <c r="B16" s="5" t="s">
        <v>11</v>
      </c>
      <c r="C16" s="39" t="s">
        <v>116</v>
      </c>
      <c r="D16" s="39" t="s">
        <v>117</v>
      </c>
      <c r="E16" s="27"/>
    </row>
    <row r="17" spans="1:5" ht="15.75" x14ac:dyDescent="0.3">
      <c r="A17" s="58">
        <v>10</v>
      </c>
      <c r="B17" s="4" t="s">
        <v>12</v>
      </c>
      <c r="C17" s="39" t="s">
        <v>118</v>
      </c>
      <c r="D17" s="40" t="s">
        <v>118</v>
      </c>
      <c r="E17" s="27"/>
    </row>
    <row r="18" spans="1:5" x14ac:dyDescent="0.25">
      <c r="A18" s="248" t="s">
        <v>104</v>
      </c>
      <c r="B18" s="249"/>
      <c r="C18" s="249"/>
      <c r="D18" s="249"/>
      <c r="E18" s="250"/>
    </row>
    <row r="19" spans="1:5" ht="15.75" thickBot="1" x14ac:dyDescent="0.3">
      <c r="A19" s="251"/>
      <c r="B19" s="252"/>
      <c r="C19" s="252"/>
      <c r="D19" s="252"/>
      <c r="E19" s="253"/>
    </row>
    <row r="20" spans="1:5" ht="15.75" x14ac:dyDescent="0.25">
      <c r="A20" s="11" t="s">
        <v>1</v>
      </c>
      <c r="B20" s="275" t="s">
        <v>31</v>
      </c>
      <c r="C20" s="56" t="s">
        <v>34</v>
      </c>
      <c r="D20" s="41" t="s">
        <v>33</v>
      </c>
      <c r="E20" s="277" t="s">
        <v>13</v>
      </c>
    </row>
    <row r="21" spans="1:5" ht="16.5" thickBot="1" x14ac:dyDescent="0.3">
      <c r="A21" s="93" t="s">
        <v>2</v>
      </c>
      <c r="B21" s="276"/>
      <c r="C21" s="94" t="s">
        <v>35</v>
      </c>
      <c r="D21" s="95" t="s">
        <v>3</v>
      </c>
      <c r="E21" s="278"/>
    </row>
    <row r="22" spans="1:5" ht="15.75" x14ac:dyDescent="0.25">
      <c r="A22" s="160">
        <v>1</v>
      </c>
      <c r="B22" s="161" t="s">
        <v>188</v>
      </c>
      <c r="C22" s="162">
        <v>80</v>
      </c>
      <c r="D22" s="167">
        <v>136</v>
      </c>
      <c r="E22" s="26"/>
    </row>
    <row r="23" spans="1:5" ht="15.75" x14ac:dyDescent="0.25">
      <c r="A23" s="163"/>
      <c r="B23" s="164"/>
      <c r="C23" s="165"/>
      <c r="D23" s="168"/>
      <c r="E23" s="27"/>
    </row>
    <row r="24" spans="1:5" ht="15.75" x14ac:dyDescent="0.25">
      <c r="A24" s="163"/>
      <c r="B24" s="164"/>
      <c r="C24" s="166"/>
      <c r="D24" s="169"/>
      <c r="E24" s="27"/>
    </row>
    <row r="25" spans="1:5" ht="15.75" x14ac:dyDescent="0.25">
      <c r="A25" s="155"/>
      <c r="B25" s="156"/>
      <c r="C25" s="157"/>
      <c r="D25" s="158"/>
      <c r="E25" s="31"/>
    </row>
    <row r="26" spans="1:5" ht="16.5" thickBot="1" x14ac:dyDescent="0.3">
      <c r="A26" s="37">
        <v>5</v>
      </c>
      <c r="B26" s="99" t="s">
        <v>29</v>
      </c>
      <c r="C26" s="80">
        <f>SUM(C22:C25)</f>
        <v>80</v>
      </c>
      <c r="D26" s="100">
        <f>SUM(D22:D25)</f>
        <v>136</v>
      </c>
      <c r="E26" s="38"/>
    </row>
    <row r="27" spans="1:5" x14ac:dyDescent="0.25">
      <c r="A27" s="279" t="s">
        <v>105</v>
      </c>
      <c r="B27" s="280"/>
      <c r="C27" s="280"/>
      <c r="D27" s="280"/>
      <c r="E27" s="281"/>
    </row>
    <row r="28" spans="1:5" ht="15.75" thickBot="1" x14ac:dyDescent="0.3">
      <c r="A28" s="251"/>
      <c r="B28" s="252"/>
      <c r="C28" s="252"/>
      <c r="D28" s="252"/>
      <c r="E28" s="253"/>
    </row>
    <row r="29" spans="1:5" ht="15.75" x14ac:dyDescent="0.25">
      <c r="A29" s="2" t="s">
        <v>1</v>
      </c>
      <c r="B29" s="254" t="s">
        <v>5</v>
      </c>
      <c r="C29" s="18" t="s">
        <v>3</v>
      </c>
      <c r="D29" s="18" t="s">
        <v>4</v>
      </c>
      <c r="E29" s="256" t="s">
        <v>13</v>
      </c>
    </row>
    <row r="30" spans="1:5" ht="16.5" thickBot="1" x14ac:dyDescent="0.3">
      <c r="A30" s="15" t="s">
        <v>2</v>
      </c>
      <c r="B30" s="282"/>
      <c r="C30" s="19" t="s">
        <v>40</v>
      </c>
      <c r="D30" s="19" t="s">
        <v>40</v>
      </c>
      <c r="E30" s="323"/>
    </row>
    <row r="31" spans="1:5" ht="19.5" x14ac:dyDescent="0.4">
      <c r="A31" s="128">
        <v>1</v>
      </c>
      <c r="B31" s="135" t="s">
        <v>14</v>
      </c>
      <c r="C31" s="130">
        <v>21.35</v>
      </c>
      <c r="D31" s="146">
        <v>177.55</v>
      </c>
      <c r="E31" s="27"/>
    </row>
    <row r="32" spans="1:5" ht="20.25" thickBot="1" x14ac:dyDescent="0.45">
      <c r="A32" s="129">
        <v>2</v>
      </c>
      <c r="B32" s="136" t="s">
        <v>99</v>
      </c>
      <c r="C32" s="132">
        <v>2.25</v>
      </c>
      <c r="D32" s="145">
        <v>62.05</v>
      </c>
      <c r="E32" s="31"/>
    </row>
    <row r="33" spans="1:5" ht="29.25" thickBot="1" x14ac:dyDescent="0.35">
      <c r="A33" s="44">
        <v>3</v>
      </c>
      <c r="B33" s="173" t="s">
        <v>15</v>
      </c>
      <c r="C33" s="174">
        <v>1.1499999999999999</v>
      </c>
      <c r="D33" s="145">
        <v>13.05</v>
      </c>
      <c r="E33" s="176" t="s">
        <v>201</v>
      </c>
    </row>
    <row r="34" spans="1:5" ht="16.5" x14ac:dyDescent="0.3">
      <c r="A34" s="32">
        <v>4</v>
      </c>
      <c r="B34" s="54" t="s">
        <v>16</v>
      </c>
      <c r="C34" s="122" t="s">
        <v>64</v>
      </c>
      <c r="D34" s="123" t="s">
        <v>63</v>
      </c>
      <c r="E34" s="115"/>
    </row>
    <row r="35" spans="1:5" ht="16.5" x14ac:dyDescent="0.3">
      <c r="A35" s="32">
        <v>5</v>
      </c>
      <c r="B35" s="54" t="s">
        <v>17</v>
      </c>
      <c r="C35" s="124" t="s">
        <v>64</v>
      </c>
      <c r="D35" s="123">
        <v>22.05</v>
      </c>
      <c r="E35" s="177"/>
    </row>
    <row r="36" spans="1:5" ht="16.5" x14ac:dyDescent="0.3">
      <c r="A36" s="32">
        <v>6</v>
      </c>
      <c r="B36" s="54" t="s">
        <v>18</v>
      </c>
      <c r="C36" s="122" t="s">
        <v>64</v>
      </c>
      <c r="D36" s="123" t="s">
        <v>64</v>
      </c>
      <c r="E36" s="115"/>
    </row>
    <row r="37" spans="1:5" ht="16.5" x14ac:dyDescent="0.3">
      <c r="A37" s="32">
        <v>7</v>
      </c>
      <c r="B37" s="54" t="s">
        <v>19</v>
      </c>
      <c r="C37" s="124">
        <v>1.1000000000000001</v>
      </c>
      <c r="D37" s="123">
        <v>15.15</v>
      </c>
      <c r="E37" s="177" t="s">
        <v>202</v>
      </c>
    </row>
    <row r="38" spans="1:5" ht="16.5" x14ac:dyDescent="0.3">
      <c r="A38" s="32">
        <v>8</v>
      </c>
      <c r="B38" s="54" t="s">
        <v>20</v>
      </c>
      <c r="C38" s="124" t="s">
        <v>64</v>
      </c>
      <c r="D38" s="123">
        <v>2.4</v>
      </c>
      <c r="E38" s="178"/>
    </row>
    <row r="39" spans="1:5" ht="16.5" x14ac:dyDescent="0.3">
      <c r="A39" s="32">
        <v>9</v>
      </c>
      <c r="B39" s="54" t="s">
        <v>21</v>
      </c>
      <c r="C39" s="122" t="s">
        <v>64</v>
      </c>
      <c r="D39" s="123" t="s">
        <v>116</v>
      </c>
      <c r="E39" s="115"/>
    </row>
    <row r="40" spans="1:5" ht="17.25" thickBot="1" x14ac:dyDescent="0.35">
      <c r="A40" s="37">
        <v>10</v>
      </c>
      <c r="B40" s="55" t="s">
        <v>22</v>
      </c>
      <c r="C40" s="126" t="s">
        <v>116</v>
      </c>
      <c r="D40" s="139">
        <v>9</v>
      </c>
      <c r="E40" s="108"/>
    </row>
    <row r="41" spans="1:5" x14ac:dyDescent="0.25">
      <c r="A41" s="262" t="s">
        <v>77</v>
      </c>
      <c r="B41" s="263"/>
      <c r="C41" s="263"/>
      <c r="D41" s="263"/>
      <c r="E41" s="264"/>
    </row>
    <row r="42" spans="1:5" ht="15.75" thickBot="1" x14ac:dyDescent="0.3">
      <c r="A42" s="265"/>
      <c r="B42" s="266"/>
      <c r="C42" s="266"/>
      <c r="D42" s="266"/>
      <c r="E42" s="267"/>
    </row>
    <row r="43" spans="1:5" ht="15.75" x14ac:dyDescent="0.25">
      <c r="A43" s="9" t="s">
        <v>1</v>
      </c>
      <c r="B43" s="268" t="s">
        <v>27</v>
      </c>
      <c r="C43" s="270" t="s">
        <v>3</v>
      </c>
      <c r="D43" s="270" t="s">
        <v>4</v>
      </c>
      <c r="E43" s="272" t="s">
        <v>28</v>
      </c>
    </row>
    <row r="44" spans="1:5" ht="16.5" thickBot="1" x14ac:dyDescent="0.3">
      <c r="A44" s="17" t="s">
        <v>2</v>
      </c>
      <c r="B44" s="269"/>
      <c r="C44" s="271"/>
      <c r="D44" s="271"/>
      <c r="E44" s="273"/>
    </row>
    <row r="45" spans="1:5" x14ac:dyDescent="0.25">
      <c r="A45" s="35">
        <v>1</v>
      </c>
      <c r="B45" s="53" t="s">
        <v>58</v>
      </c>
      <c r="C45" s="47" t="s">
        <v>57</v>
      </c>
      <c r="D45" s="49" t="s">
        <v>57</v>
      </c>
      <c r="E45" s="26"/>
    </row>
    <row r="46" spans="1:5" x14ac:dyDescent="0.25">
      <c r="A46" s="32">
        <v>2</v>
      </c>
      <c r="B46" s="54" t="s">
        <v>59</v>
      </c>
      <c r="C46" s="48">
        <v>151</v>
      </c>
      <c r="D46" s="48">
        <v>1346</v>
      </c>
      <c r="E46" s="27"/>
    </row>
    <row r="47" spans="1:5" x14ac:dyDescent="0.25">
      <c r="A47" s="32">
        <v>3</v>
      </c>
      <c r="B47" s="54" t="s">
        <v>60</v>
      </c>
      <c r="C47" s="48">
        <v>151</v>
      </c>
      <c r="D47" s="48">
        <v>1346</v>
      </c>
      <c r="E47" s="27"/>
    </row>
    <row r="48" spans="1:5" ht="19.5" thickBot="1" x14ac:dyDescent="0.45">
      <c r="A48" s="28" t="s">
        <v>78</v>
      </c>
      <c r="E48" s="24"/>
    </row>
    <row r="49" spans="1:10" ht="15.75" x14ac:dyDescent="0.25">
      <c r="A49" s="9" t="s">
        <v>1</v>
      </c>
      <c r="B49" s="254" t="s">
        <v>5</v>
      </c>
      <c r="C49" s="270" t="s">
        <v>3</v>
      </c>
      <c r="D49" s="256" t="s">
        <v>4</v>
      </c>
      <c r="E49" s="183" t="s">
        <v>61</v>
      </c>
    </row>
    <row r="50" spans="1:10" ht="15.75" x14ac:dyDescent="0.25">
      <c r="A50" s="1" t="s">
        <v>2</v>
      </c>
      <c r="B50" s="255"/>
      <c r="C50" s="274"/>
      <c r="D50" s="257"/>
      <c r="E50" s="184" t="s">
        <v>42</v>
      </c>
    </row>
    <row r="51" spans="1:10" ht="15.75" x14ac:dyDescent="0.25">
      <c r="A51" s="29">
        <v>1</v>
      </c>
      <c r="B51" s="20" t="s">
        <v>43</v>
      </c>
      <c r="C51" s="50">
        <v>13.06</v>
      </c>
      <c r="D51" s="50">
        <v>120.18</v>
      </c>
      <c r="E51" s="185">
        <v>10.41</v>
      </c>
    </row>
    <row r="52" spans="1:10" ht="13.5" customHeight="1" x14ac:dyDescent="0.25">
      <c r="A52" s="248" t="s">
        <v>73</v>
      </c>
      <c r="B52" s="249"/>
      <c r="C52" s="249"/>
      <c r="D52" s="249"/>
      <c r="E52" s="250"/>
    </row>
    <row r="53" spans="1:10" ht="11.25" customHeight="1" thickBot="1" x14ac:dyDescent="0.3">
      <c r="A53" s="251"/>
      <c r="B53" s="252"/>
      <c r="C53" s="252"/>
      <c r="D53" s="252"/>
      <c r="E53" s="253"/>
    </row>
    <row r="54" spans="1:10" ht="15.75" x14ac:dyDescent="0.25">
      <c r="A54" s="2" t="s">
        <v>1</v>
      </c>
      <c r="B54" s="254" t="s">
        <v>5</v>
      </c>
      <c r="C54" s="18" t="s">
        <v>3</v>
      </c>
      <c r="D54" s="18" t="s">
        <v>4</v>
      </c>
      <c r="E54" s="256" t="s">
        <v>13</v>
      </c>
    </row>
    <row r="55" spans="1:10" ht="15.75" x14ac:dyDescent="0.25">
      <c r="A55" s="21" t="s">
        <v>2</v>
      </c>
      <c r="B55" s="255"/>
      <c r="C55" s="22" t="s">
        <v>46</v>
      </c>
      <c r="D55" s="22" t="s">
        <v>46</v>
      </c>
      <c r="E55" s="257"/>
    </row>
    <row r="56" spans="1:10" ht="15.75" x14ac:dyDescent="0.25">
      <c r="A56" s="32">
        <v>1</v>
      </c>
      <c r="B56" s="54" t="s">
        <v>203</v>
      </c>
      <c r="C56" s="76">
        <v>37264</v>
      </c>
      <c r="D56" s="76">
        <v>313222</v>
      </c>
      <c r="E56" s="75" t="s">
        <v>146</v>
      </c>
    </row>
    <row r="57" spans="1:10" ht="15.75" x14ac:dyDescent="0.25">
      <c r="A57" s="32">
        <v>2</v>
      </c>
      <c r="B57" s="54" t="s">
        <v>47</v>
      </c>
      <c r="C57" s="179">
        <v>274</v>
      </c>
      <c r="D57" s="76">
        <v>258.64800000000002</v>
      </c>
      <c r="E57" s="27"/>
    </row>
    <row r="58" spans="1:10" ht="20.25" thickBot="1" x14ac:dyDescent="0.45">
      <c r="A58" s="25" t="s">
        <v>48</v>
      </c>
      <c r="B58" s="36"/>
      <c r="E58" s="24"/>
      <c r="G58" s="182"/>
      <c r="H58" s="182"/>
    </row>
    <row r="59" spans="1:10" ht="15.75" x14ac:dyDescent="0.25">
      <c r="A59" s="2" t="s">
        <v>1</v>
      </c>
      <c r="B59" s="254" t="s">
        <v>5</v>
      </c>
      <c r="C59" s="270" t="s">
        <v>3</v>
      </c>
      <c r="D59" s="270" t="s">
        <v>4</v>
      </c>
      <c r="E59" s="256" t="s">
        <v>13</v>
      </c>
      <c r="G59" s="182"/>
      <c r="H59" s="187"/>
      <c r="J59" s="187"/>
    </row>
    <row r="60" spans="1:10" ht="15.75" x14ac:dyDescent="0.25">
      <c r="A60" s="21" t="s">
        <v>2</v>
      </c>
      <c r="B60" s="255"/>
      <c r="C60" s="274"/>
      <c r="D60" s="274"/>
      <c r="E60" s="257"/>
      <c r="H60" s="187"/>
      <c r="J60" s="187"/>
    </row>
    <row r="61" spans="1:10" ht="15.75" x14ac:dyDescent="0.25">
      <c r="A61" s="32">
        <v>1</v>
      </c>
      <c r="B61" s="3" t="s">
        <v>49</v>
      </c>
      <c r="C61" s="76">
        <v>207</v>
      </c>
      <c r="D61" s="76">
        <v>1813</v>
      </c>
      <c r="E61" s="27"/>
      <c r="G61" s="180"/>
      <c r="H61" s="187"/>
      <c r="I61" s="180"/>
      <c r="J61" s="187"/>
    </row>
    <row r="62" spans="1:10" ht="15.75" x14ac:dyDescent="0.25">
      <c r="A62" s="32">
        <v>2</v>
      </c>
      <c r="B62" s="3" t="s">
        <v>52</v>
      </c>
      <c r="C62" s="76">
        <v>1.522</v>
      </c>
      <c r="D62" s="89">
        <f>+D61/D8</f>
        <v>1.4971098265895955</v>
      </c>
      <c r="E62" s="27"/>
      <c r="G62" s="180"/>
      <c r="H62" s="187"/>
      <c r="I62" s="180"/>
      <c r="J62" s="187"/>
    </row>
    <row r="63" spans="1:10" ht="15.75" x14ac:dyDescent="0.25">
      <c r="A63" s="32">
        <v>3</v>
      </c>
      <c r="B63" s="3" t="s">
        <v>50</v>
      </c>
      <c r="C63" s="76">
        <v>41</v>
      </c>
      <c r="D63" s="76">
        <v>523</v>
      </c>
      <c r="E63" s="27"/>
      <c r="G63" s="180"/>
      <c r="H63" s="187"/>
      <c r="I63" s="180"/>
      <c r="J63" s="187"/>
    </row>
    <row r="64" spans="1:10" ht="15.75" x14ac:dyDescent="0.25">
      <c r="A64" s="32">
        <v>4</v>
      </c>
      <c r="B64" s="3" t="s">
        <v>53</v>
      </c>
      <c r="C64" s="76">
        <v>0.30099999999999999</v>
      </c>
      <c r="D64" s="89">
        <f>+D63/D8</f>
        <v>0.4318744838976053</v>
      </c>
      <c r="E64" s="27"/>
      <c r="G64" s="180"/>
      <c r="H64" s="187"/>
      <c r="I64" s="180"/>
      <c r="J64" s="187"/>
    </row>
    <row r="65" spans="1:10" ht="15.75" x14ac:dyDescent="0.25">
      <c r="A65" s="32">
        <v>5</v>
      </c>
      <c r="B65" s="3" t="s">
        <v>51</v>
      </c>
      <c r="C65" s="152">
        <v>52</v>
      </c>
      <c r="D65" s="152">
        <v>396.4</v>
      </c>
      <c r="E65" s="27"/>
      <c r="G65" s="180"/>
      <c r="H65" s="187"/>
      <c r="I65" s="180"/>
      <c r="J65" s="187"/>
    </row>
    <row r="66" spans="1:10" ht="15.75" x14ac:dyDescent="0.25">
      <c r="A66" s="32">
        <v>6</v>
      </c>
      <c r="B66" s="3" t="s">
        <v>54</v>
      </c>
      <c r="C66" s="89">
        <v>0.38200000000000001</v>
      </c>
      <c r="D66" s="89">
        <f>+D65/D8</f>
        <v>0.32733278282411227</v>
      </c>
      <c r="E66" s="27"/>
      <c r="G66" s="180"/>
      <c r="H66" s="187"/>
      <c r="I66" s="180"/>
      <c r="J66" s="187"/>
    </row>
    <row r="67" spans="1:10" ht="15.75" x14ac:dyDescent="0.25">
      <c r="A67" s="32">
        <v>7</v>
      </c>
      <c r="B67" s="3" t="s">
        <v>55</v>
      </c>
      <c r="C67" s="89">
        <v>42.265000000000001</v>
      </c>
      <c r="D67" s="89">
        <v>378.428</v>
      </c>
      <c r="E67" s="27"/>
      <c r="G67" s="180"/>
      <c r="H67" s="187"/>
      <c r="I67" s="180"/>
    </row>
    <row r="68" spans="1:10" ht="16.5" thickBot="1" x14ac:dyDescent="0.3">
      <c r="A68" s="37">
        <v>8</v>
      </c>
      <c r="B68" s="52" t="s">
        <v>56</v>
      </c>
      <c r="C68" s="159">
        <v>0.34</v>
      </c>
      <c r="D68" s="159">
        <f>+D67/D8</f>
        <v>0.31249215524360036</v>
      </c>
      <c r="E68" s="38"/>
      <c r="G68" s="180"/>
      <c r="H68" s="187"/>
      <c r="I68" s="180"/>
    </row>
    <row r="69" spans="1:10" ht="15.75" x14ac:dyDescent="0.25">
      <c r="H69" s="186"/>
      <c r="I69" s="180"/>
    </row>
    <row r="70" spans="1:10" ht="15.75" x14ac:dyDescent="0.25">
      <c r="I70" s="180"/>
    </row>
  </sheetData>
  <mergeCells count="29">
    <mergeCell ref="A1:E1"/>
    <mergeCell ref="A2:E2"/>
    <mergeCell ref="A3:E3"/>
    <mergeCell ref="A4:E5"/>
    <mergeCell ref="B6:B7"/>
    <mergeCell ref="C6:C7"/>
    <mergeCell ref="D6:D7"/>
    <mergeCell ref="E6:E7"/>
    <mergeCell ref="B49:B50"/>
    <mergeCell ref="C49:C50"/>
    <mergeCell ref="D49:D50"/>
    <mergeCell ref="A18:E19"/>
    <mergeCell ref="B20:B21"/>
    <mergeCell ref="E20:E21"/>
    <mergeCell ref="A27:E28"/>
    <mergeCell ref="B29:B30"/>
    <mergeCell ref="E29:E30"/>
    <mergeCell ref="A41:E42"/>
    <mergeCell ref="B43:B44"/>
    <mergeCell ref="C43:C44"/>
    <mergeCell ref="D43:D44"/>
    <mergeCell ref="E43:E44"/>
    <mergeCell ref="A52:E53"/>
    <mergeCell ref="B54:B55"/>
    <mergeCell ref="E54:E55"/>
    <mergeCell ref="B59:B60"/>
    <mergeCell ref="C59:C60"/>
    <mergeCell ref="D59:D60"/>
    <mergeCell ref="E59:E60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72"/>
  <sheetViews>
    <sheetView topLeftCell="A25" workbookViewId="0">
      <selection activeCell="A31" sqref="A31:E40"/>
    </sheetView>
  </sheetViews>
  <sheetFormatPr defaultRowHeight="15" x14ac:dyDescent="0.25"/>
  <cols>
    <col min="1" max="1" width="5.42578125" customWidth="1"/>
    <col min="2" max="2" width="35" customWidth="1"/>
    <col min="3" max="3" width="10.140625" customWidth="1"/>
    <col min="4" max="4" width="17.7109375" customWidth="1"/>
    <col min="5" max="5" width="56.5703125" bestFit="1" customWidth="1"/>
  </cols>
  <sheetData>
    <row r="1" spans="1:5" ht="23.25" thickBot="1" x14ac:dyDescent="0.5">
      <c r="A1" s="284" t="s">
        <v>205</v>
      </c>
      <c r="B1" s="285"/>
      <c r="C1" s="285"/>
      <c r="D1" s="285"/>
      <c r="E1" s="286"/>
    </row>
    <row r="2" spans="1:5" ht="23.25" thickBot="1" x14ac:dyDescent="0.5">
      <c r="A2" s="287" t="s">
        <v>30</v>
      </c>
      <c r="B2" s="288"/>
      <c r="C2" s="288"/>
      <c r="D2" s="288"/>
      <c r="E2" s="289"/>
    </row>
    <row r="3" spans="1:5" ht="25.5" thickBot="1" x14ac:dyDescent="0.3">
      <c r="A3" s="290" t="s">
        <v>0</v>
      </c>
      <c r="B3" s="291"/>
      <c r="C3" s="291"/>
      <c r="D3" s="291"/>
      <c r="E3" s="292"/>
    </row>
    <row r="4" spans="1:5" ht="15" customHeight="1" x14ac:dyDescent="0.25">
      <c r="A4" s="293" t="s">
        <v>32</v>
      </c>
      <c r="B4" s="294"/>
      <c r="C4" s="294"/>
      <c r="D4" s="294"/>
      <c r="E4" s="295"/>
    </row>
    <row r="5" spans="1:5" ht="15.75" customHeight="1" thickBot="1" x14ac:dyDescent="0.3">
      <c r="A5" s="296"/>
      <c r="B5" s="297"/>
      <c r="C5" s="297"/>
      <c r="D5" s="297"/>
      <c r="E5" s="298"/>
    </row>
    <row r="6" spans="1:5" ht="15.75" x14ac:dyDescent="0.25">
      <c r="A6" s="2" t="s">
        <v>1</v>
      </c>
      <c r="B6" s="254" t="s">
        <v>5</v>
      </c>
      <c r="C6" s="270" t="s">
        <v>3</v>
      </c>
      <c r="D6" s="270" t="s">
        <v>4</v>
      </c>
      <c r="E6" s="256" t="s">
        <v>13</v>
      </c>
    </row>
    <row r="7" spans="1:5" ht="16.5" thickBot="1" x14ac:dyDescent="0.3">
      <c r="A7" s="15" t="s">
        <v>2</v>
      </c>
      <c r="B7" s="282"/>
      <c r="C7" s="271"/>
      <c r="D7" s="271"/>
      <c r="E7" s="283"/>
    </row>
    <row r="8" spans="1:5" ht="15.75" x14ac:dyDescent="0.25">
      <c r="A8" s="35">
        <v>1</v>
      </c>
      <c r="B8" s="16" t="s">
        <v>6</v>
      </c>
      <c r="C8" s="78" t="s">
        <v>208</v>
      </c>
      <c r="D8" s="78">
        <v>1355</v>
      </c>
      <c r="E8" s="189" t="s">
        <v>209</v>
      </c>
    </row>
    <row r="9" spans="1:5" ht="15.75" x14ac:dyDescent="0.25">
      <c r="A9" s="32">
        <v>2</v>
      </c>
      <c r="B9" s="3" t="s">
        <v>7</v>
      </c>
      <c r="C9" s="79" t="s">
        <v>68</v>
      </c>
      <c r="D9" s="79">
        <v>123.182</v>
      </c>
      <c r="E9" s="27"/>
    </row>
    <row r="10" spans="1:5" ht="15.75" x14ac:dyDescent="0.25">
      <c r="A10" s="32">
        <v>3</v>
      </c>
      <c r="B10" s="3" t="s">
        <v>8</v>
      </c>
      <c r="C10" s="79" t="s">
        <v>207</v>
      </c>
      <c r="D10" s="79">
        <v>1350.04</v>
      </c>
      <c r="E10" s="190" t="s">
        <v>210</v>
      </c>
    </row>
    <row r="11" spans="1:5" ht="15.75" x14ac:dyDescent="0.25">
      <c r="A11" s="32">
        <v>4</v>
      </c>
      <c r="B11" s="3" t="s">
        <v>9</v>
      </c>
      <c r="C11" s="79"/>
      <c r="D11" s="79">
        <v>122.73099999999999</v>
      </c>
      <c r="E11" s="27"/>
    </row>
    <row r="12" spans="1:5" ht="15.75" x14ac:dyDescent="0.25">
      <c r="A12" s="32">
        <v>5</v>
      </c>
      <c r="B12" s="3" t="s">
        <v>12</v>
      </c>
      <c r="C12" s="79" t="s">
        <v>206</v>
      </c>
      <c r="D12" s="79" t="s">
        <v>211</v>
      </c>
      <c r="E12" s="27"/>
    </row>
    <row r="13" spans="1:5" ht="15.75" x14ac:dyDescent="0.3">
      <c r="A13" s="58">
        <v>6</v>
      </c>
      <c r="B13" s="5" t="s">
        <v>45</v>
      </c>
      <c r="C13" s="39"/>
      <c r="D13" s="39" t="s">
        <v>116</v>
      </c>
      <c r="E13" s="27"/>
    </row>
    <row r="14" spans="1:5" ht="15.75" x14ac:dyDescent="0.3">
      <c r="A14" s="58">
        <v>7</v>
      </c>
      <c r="B14" s="5" t="s">
        <v>44</v>
      </c>
      <c r="C14" s="39" t="s">
        <v>116</v>
      </c>
      <c r="D14" s="39" t="s">
        <v>116</v>
      </c>
      <c r="E14" s="27"/>
    </row>
    <row r="15" spans="1:5" ht="15.75" x14ac:dyDescent="0.3">
      <c r="A15" s="58">
        <v>8</v>
      </c>
      <c r="B15" s="5" t="s">
        <v>10</v>
      </c>
      <c r="C15" s="39" t="s">
        <v>116</v>
      </c>
      <c r="D15" s="39" t="s">
        <v>117</v>
      </c>
      <c r="E15" s="27"/>
    </row>
    <row r="16" spans="1:5" ht="15.75" x14ac:dyDescent="0.3">
      <c r="A16" s="58">
        <v>9</v>
      </c>
      <c r="B16" s="5" t="s">
        <v>11</v>
      </c>
      <c r="C16" s="39" t="s">
        <v>116</v>
      </c>
      <c r="D16" s="39" t="s">
        <v>117</v>
      </c>
      <c r="E16" s="27"/>
    </row>
    <row r="17" spans="1:5" ht="15.75" x14ac:dyDescent="0.3">
      <c r="A17" s="58">
        <v>10</v>
      </c>
      <c r="B17" s="4" t="s">
        <v>12</v>
      </c>
      <c r="C17" s="39" t="s">
        <v>118</v>
      </c>
      <c r="D17" s="40" t="s">
        <v>118</v>
      </c>
      <c r="E17" s="27"/>
    </row>
    <row r="18" spans="1:5" ht="15" customHeight="1" x14ac:dyDescent="0.25">
      <c r="A18" s="248" t="s">
        <v>104</v>
      </c>
      <c r="B18" s="249"/>
      <c r="C18" s="249"/>
      <c r="D18" s="249"/>
      <c r="E18" s="250"/>
    </row>
    <row r="19" spans="1:5" ht="15.75" customHeight="1" thickBot="1" x14ac:dyDescent="0.3">
      <c r="A19" s="251"/>
      <c r="B19" s="252"/>
      <c r="C19" s="252"/>
      <c r="D19" s="252"/>
      <c r="E19" s="253"/>
    </row>
    <row r="20" spans="1:5" ht="15.75" x14ac:dyDescent="0.25">
      <c r="A20" s="11" t="s">
        <v>1</v>
      </c>
      <c r="B20" s="275" t="s">
        <v>31</v>
      </c>
      <c r="C20" s="56" t="s">
        <v>34</v>
      </c>
      <c r="D20" s="41" t="s">
        <v>33</v>
      </c>
      <c r="E20" s="277" t="s">
        <v>13</v>
      </c>
    </row>
    <row r="21" spans="1:5" ht="16.5" thickBot="1" x14ac:dyDescent="0.3">
      <c r="A21" s="93" t="s">
        <v>2</v>
      </c>
      <c r="B21" s="276"/>
      <c r="C21" s="94" t="s">
        <v>35</v>
      </c>
      <c r="D21" s="95" t="s">
        <v>3</v>
      </c>
      <c r="E21" s="278"/>
    </row>
    <row r="22" spans="1:5" ht="15.75" x14ac:dyDescent="0.25">
      <c r="A22" s="160">
        <v>1</v>
      </c>
      <c r="B22" s="161" t="s">
        <v>188</v>
      </c>
      <c r="C22" s="162">
        <v>84</v>
      </c>
      <c r="D22" s="191">
        <v>144</v>
      </c>
      <c r="E22" s="26"/>
    </row>
    <row r="23" spans="1:5" ht="15.75" x14ac:dyDescent="0.25">
      <c r="A23" s="163"/>
      <c r="B23" s="164"/>
      <c r="C23" s="165"/>
      <c r="D23" s="192"/>
      <c r="E23" s="27"/>
    </row>
    <row r="24" spans="1:5" ht="15.75" x14ac:dyDescent="0.25">
      <c r="A24" s="163"/>
      <c r="B24" s="164"/>
      <c r="C24" s="166"/>
      <c r="D24" s="193"/>
      <c r="E24" s="27"/>
    </row>
    <row r="25" spans="1:5" ht="15.75" x14ac:dyDescent="0.25">
      <c r="A25" s="155"/>
      <c r="B25" s="156"/>
      <c r="C25" s="157"/>
      <c r="D25" s="158"/>
      <c r="E25" s="31"/>
    </row>
    <row r="26" spans="1:5" ht="16.5" thickBot="1" x14ac:dyDescent="0.3">
      <c r="A26" s="37">
        <v>5</v>
      </c>
      <c r="B26" s="99" t="s">
        <v>29</v>
      </c>
      <c r="C26" s="80">
        <f>SUM(C22:C25)</f>
        <v>84</v>
      </c>
      <c r="D26" s="100">
        <f>SUM(D22:D25)</f>
        <v>144</v>
      </c>
      <c r="E26" s="38"/>
    </row>
    <row r="27" spans="1:5" ht="15" customHeight="1" x14ac:dyDescent="0.25">
      <c r="A27" s="279" t="s">
        <v>105</v>
      </c>
      <c r="B27" s="280"/>
      <c r="C27" s="280"/>
      <c r="D27" s="280"/>
      <c r="E27" s="281"/>
    </row>
    <row r="28" spans="1:5" ht="15.75" customHeight="1" thickBot="1" x14ac:dyDescent="0.3">
      <c r="A28" s="251"/>
      <c r="B28" s="252"/>
      <c r="C28" s="252"/>
      <c r="D28" s="252"/>
      <c r="E28" s="253"/>
    </row>
    <row r="29" spans="1:5" ht="15.75" x14ac:dyDescent="0.25">
      <c r="A29" s="2" t="s">
        <v>1</v>
      </c>
      <c r="B29" s="254" t="s">
        <v>5</v>
      </c>
      <c r="C29" s="18" t="s">
        <v>3</v>
      </c>
      <c r="D29" s="18" t="s">
        <v>4</v>
      </c>
      <c r="E29" s="256" t="s">
        <v>13</v>
      </c>
    </row>
    <row r="30" spans="1:5" ht="16.5" thickBot="1" x14ac:dyDescent="0.3">
      <c r="A30" s="15" t="s">
        <v>2</v>
      </c>
      <c r="B30" s="282"/>
      <c r="C30" s="19" t="s">
        <v>40</v>
      </c>
      <c r="D30" s="19" t="s">
        <v>40</v>
      </c>
      <c r="E30" s="323"/>
    </row>
    <row r="31" spans="1:5" ht="19.5" x14ac:dyDescent="0.4">
      <c r="A31" s="128">
        <v>1</v>
      </c>
      <c r="B31" s="135" t="s">
        <v>14</v>
      </c>
      <c r="C31" s="130">
        <v>22.25</v>
      </c>
      <c r="D31" s="146">
        <v>200.2</v>
      </c>
      <c r="E31" s="27"/>
    </row>
    <row r="32" spans="1:5" ht="20.25" thickBot="1" x14ac:dyDescent="0.45">
      <c r="A32" s="129">
        <v>2</v>
      </c>
      <c r="B32" s="136" t="s">
        <v>99</v>
      </c>
      <c r="C32" s="132">
        <v>1.35</v>
      </c>
      <c r="D32" s="145">
        <v>63.4</v>
      </c>
      <c r="E32" s="31"/>
    </row>
    <row r="33" spans="1:5" ht="29.25" thickBot="1" x14ac:dyDescent="0.35">
      <c r="A33" s="44">
        <v>3</v>
      </c>
      <c r="B33" s="173" t="s">
        <v>15</v>
      </c>
      <c r="C33" s="174">
        <v>1.35</v>
      </c>
      <c r="D33" s="145">
        <v>14.4</v>
      </c>
      <c r="E33" s="176" t="s">
        <v>212</v>
      </c>
    </row>
    <row r="34" spans="1:5" ht="16.5" x14ac:dyDescent="0.3">
      <c r="A34" s="32">
        <v>4</v>
      </c>
      <c r="B34" s="54" t="s">
        <v>16</v>
      </c>
      <c r="C34" s="122" t="s">
        <v>64</v>
      </c>
      <c r="D34" s="123" t="s">
        <v>63</v>
      </c>
      <c r="E34" s="115"/>
    </row>
    <row r="35" spans="1:5" ht="16.5" x14ac:dyDescent="0.3">
      <c r="A35" s="32">
        <v>5</v>
      </c>
      <c r="B35" s="54" t="s">
        <v>17</v>
      </c>
      <c r="C35" s="124" t="s">
        <v>64</v>
      </c>
      <c r="D35" s="123">
        <v>22.05</v>
      </c>
      <c r="E35" s="177"/>
    </row>
    <row r="36" spans="1:5" ht="16.5" x14ac:dyDescent="0.3">
      <c r="A36" s="32">
        <v>6</v>
      </c>
      <c r="B36" s="54" t="s">
        <v>18</v>
      </c>
      <c r="C36" s="122" t="s">
        <v>64</v>
      </c>
      <c r="D36" s="123" t="s">
        <v>64</v>
      </c>
      <c r="E36" s="115"/>
    </row>
    <row r="37" spans="1:5" ht="16.5" x14ac:dyDescent="0.3">
      <c r="A37" s="32">
        <v>7</v>
      </c>
      <c r="B37" s="54" t="s">
        <v>19</v>
      </c>
      <c r="C37" s="124" t="s">
        <v>64</v>
      </c>
      <c r="D37" s="123">
        <v>15.15</v>
      </c>
      <c r="E37" s="177"/>
    </row>
    <row r="38" spans="1:5" ht="16.5" x14ac:dyDescent="0.3">
      <c r="A38" s="32">
        <v>8</v>
      </c>
      <c r="B38" s="54" t="s">
        <v>20</v>
      </c>
      <c r="C38" s="124" t="s">
        <v>64</v>
      </c>
      <c r="D38" s="123">
        <v>2.4</v>
      </c>
      <c r="E38" s="178"/>
    </row>
    <row r="39" spans="1:5" ht="16.5" x14ac:dyDescent="0.3">
      <c r="A39" s="32">
        <v>9</v>
      </c>
      <c r="B39" s="54" t="s">
        <v>21</v>
      </c>
      <c r="C39" s="122" t="s">
        <v>64</v>
      </c>
      <c r="D39" s="123" t="s">
        <v>116</v>
      </c>
      <c r="E39" s="115"/>
    </row>
    <row r="40" spans="1:5" ht="17.25" thickBot="1" x14ac:dyDescent="0.35">
      <c r="A40" s="37">
        <v>10</v>
      </c>
      <c r="B40" s="55" t="s">
        <v>22</v>
      </c>
      <c r="C40" s="126" t="s">
        <v>116</v>
      </c>
      <c r="D40" s="139">
        <v>9</v>
      </c>
      <c r="E40" s="108"/>
    </row>
    <row r="41" spans="1:5" ht="15" customHeight="1" x14ac:dyDescent="0.25">
      <c r="A41" s="262" t="s">
        <v>77</v>
      </c>
      <c r="B41" s="263"/>
      <c r="C41" s="263"/>
      <c r="D41" s="263"/>
      <c r="E41" s="264"/>
    </row>
    <row r="42" spans="1:5" ht="15.75" customHeight="1" thickBot="1" x14ac:dyDescent="0.3">
      <c r="A42" s="265"/>
      <c r="B42" s="266"/>
      <c r="C42" s="266"/>
      <c r="D42" s="266"/>
      <c r="E42" s="267"/>
    </row>
    <row r="43" spans="1:5" ht="15.75" x14ac:dyDescent="0.25">
      <c r="A43" s="9" t="s">
        <v>1</v>
      </c>
      <c r="B43" s="268" t="s">
        <v>27</v>
      </c>
      <c r="C43" s="270" t="s">
        <v>3</v>
      </c>
      <c r="D43" s="270" t="s">
        <v>4</v>
      </c>
      <c r="E43" s="272" t="s">
        <v>28</v>
      </c>
    </row>
    <row r="44" spans="1:5" ht="16.5" thickBot="1" x14ac:dyDescent="0.3">
      <c r="A44" s="17" t="s">
        <v>2</v>
      </c>
      <c r="B44" s="269"/>
      <c r="C44" s="271"/>
      <c r="D44" s="271"/>
      <c r="E44" s="273"/>
    </row>
    <row r="45" spans="1:5" x14ac:dyDescent="0.25">
      <c r="A45" s="35">
        <v>1</v>
      </c>
      <c r="B45" s="53" t="s">
        <v>58</v>
      </c>
      <c r="C45" s="47" t="s">
        <v>57</v>
      </c>
      <c r="D45" s="49" t="s">
        <v>57</v>
      </c>
      <c r="E45" s="26"/>
    </row>
    <row r="46" spans="1:5" x14ac:dyDescent="0.25">
      <c r="A46" s="32">
        <v>2</v>
      </c>
      <c r="B46" s="54" t="s">
        <v>59</v>
      </c>
      <c r="C46" s="48">
        <v>160</v>
      </c>
      <c r="D46" s="48">
        <v>1506</v>
      </c>
      <c r="E46" s="27"/>
    </row>
    <row r="47" spans="1:5" x14ac:dyDescent="0.25">
      <c r="A47" s="32">
        <v>3</v>
      </c>
      <c r="B47" s="54" t="s">
        <v>60</v>
      </c>
      <c r="C47" s="48">
        <v>160</v>
      </c>
      <c r="D47" s="48">
        <v>1506</v>
      </c>
      <c r="E47" s="27"/>
    </row>
    <row r="48" spans="1:5" ht="19.5" thickBot="1" x14ac:dyDescent="0.45">
      <c r="A48" s="28" t="s">
        <v>78</v>
      </c>
      <c r="E48" s="24"/>
    </row>
    <row r="49" spans="1:10" ht="15.75" x14ac:dyDescent="0.25">
      <c r="A49" s="9" t="s">
        <v>1</v>
      </c>
      <c r="B49" s="254" t="s">
        <v>5</v>
      </c>
      <c r="C49" s="270" t="s">
        <v>3</v>
      </c>
      <c r="D49" s="256" t="s">
        <v>4</v>
      </c>
      <c r="E49" s="183" t="s">
        <v>61</v>
      </c>
    </row>
    <row r="50" spans="1:10" ht="15.75" x14ac:dyDescent="0.25">
      <c r="A50" s="1" t="s">
        <v>2</v>
      </c>
      <c r="B50" s="255"/>
      <c r="C50" s="274"/>
      <c r="D50" s="257"/>
      <c r="E50" s="184" t="s">
        <v>42</v>
      </c>
    </row>
    <row r="51" spans="1:10" ht="15.75" x14ac:dyDescent="0.25">
      <c r="A51" s="29">
        <v>1</v>
      </c>
      <c r="B51" s="20" t="s">
        <v>43</v>
      </c>
      <c r="C51" s="50">
        <v>13.48</v>
      </c>
      <c r="D51" s="50">
        <v>134.06</v>
      </c>
      <c r="E51" s="185">
        <v>10.682</v>
      </c>
    </row>
    <row r="52" spans="1:10" ht="13.5" customHeight="1" x14ac:dyDescent="0.25">
      <c r="A52" s="248" t="s">
        <v>73</v>
      </c>
      <c r="B52" s="249"/>
      <c r="C52" s="249"/>
      <c r="D52" s="249"/>
      <c r="E52" s="250"/>
    </row>
    <row r="53" spans="1:10" ht="11.25" customHeight="1" thickBot="1" x14ac:dyDescent="0.3">
      <c r="A53" s="251"/>
      <c r="B53" s="252"/>
      <c r="C53" s="252"/>
      <c r="D53" s="252"/>
      <c r="E53" s="253"/>
    </row>
    <row r="54" spans="1:10" ht="15.75" x14ac:dyDescent="0.25">
      <c r="A54" s="2" t="s">
        <v>1</v>
      </c>
      <c r="B54" s="254" t="s">
        <v>5</v>
      </c>
      <c r="C54" s="18" t="s">
        <v>3</v>
      </c>
      <c r="D54" s="18" t="s">
        <v>4</v>
      </c>
      <c r="E54" s="256" t="s">
        <v>13</v>
      </c>
    </row>
    <row r="55" spans="1:10" ht="15.75" x14ac:dyDescent="0.25">
      <c r="A55" s="21" t="s">
        <v>2</v>
      </c>
      <c r="B55" s="255"/>
      <c r="C55" s="22" t="s">
        <v>46</v>
      </c>
      <c r="D55" s="22" t="s">
        <v>46</v>
      </c>
      <c r="E55" s="257"/>
    </row>
    <row r="56" spans="1:10" ht="15.75" x14ac:dyDescent="0.25">
      <c r="A56" s="32">
        <v>1</v>
      </c>
      <c r="B56" s="54" t="s">
        <v>213</v>
      </c>
      <c r="C56" s="76">
        <v>39210</v>
      </c>
      <c r="D56" s="76">
        <v>352432</v>
      </c>
      <c r="E56" s="75" t="s">
        <v>146</v>
      </c>
    </row>
    <row r="57" spans="1:10" ht="15.75" x14ac:dyDescent="0.25">
      <c r="A57" s="32">
        <v>2</v>
      </c>
      <c r="B57" s="54" t="s">
        <v>47</v>
      </c>
      <c r="C57" s="179">
        <v>272.29000000000002</v>
      </c>
      <c r="D57" s="76">
        <v>260.09699999999998</v>
      </c>
      <c r="E57" s="27"/>
    </row>
    <row r="58" spans="1:10" ht="20.25" thickBot="1" x14ac:dyDescent="0.45">
      <c r="A58" s="25" t="s">
        <v>48</v>
      </c>
      <c r="B58" s="36"/>
      <c r="E58" s="24"/>
      <c r="G58" s="195"/>
      <c r="H58" s="182"/>
    </row>
    <row r="59" spans="1:10" ht="15.75" x14ac:dyDescent="0.25">
      <c r="A59" s="196" t="s">
        <v>1</v>
      </c>
      <c r="B59" s="258" t="s">
        <v>5</v>
      </c>
      <c r="C59" s="258" t="s">
        <v>3</v>
      </c>
      <c r="D59" s="258" t="s">
        <v>4</v>
      </c>
      <c r="E59" s="260" t="s">
        <v>13</v>
      </c>
      <c r="G59" s="195"/>
      <c r="H59" s="187"/>
      <c r="J59" s="187"/>
    </row>
    <row r="60" spans="1:10" ht="15.75" x14ac:dyDescent="0.25">
      <c r="A60" s="197" t="s">
        <v>2</v>
      </c>
      <c r="B60" s="259"/>
      <c r="C60" s="259"/>
      <c r="D60" s="259"/>
      <c r="E60" s="261"/>
      <c r="G60" s="194"/>
      <c r="H60" s="187"/>
      <c r="J60" s="187"/>
    </row>
    <row r="61" spans="1:10" ht="15.75" x14ac:dyDescent="0.25">
      <c r="A61" s="32">
        <v>1</v>
      </c>
      <c r="B61" s="3" t="s">
        <v>49</v>
      </c>
      <c r="C61" s="76">
        <v>210</v>
      </c>
      <c r="D61" s="76">
        <v>2023</v>
      </c>
      <c r="E61" s="27"/>
      <c r="G61" s="180"/>
      <c r="H61" s="187"/>
      <c r="I61" s="180"/>
      <c r="J61" s="187"/>
    </row>
    <row r="62" spans="1:10" ht="15.75" x14ac:dyDescent="0.25">
      <c r="A62" s="32">
        <v>2</v>
      </c>
      <c r="B62" s="3" t="s">
        <v>52</v>
      </c>
      <c r="C62" s="76">
        <v>1.458</v>
      </c>
      <c r="D62" s="89">
        <f>+D61/D8</f>
        <v>1.4929889298892989</v>
      </c>
      <c r="E62" s="27"/>
      <c r="G62" s="187"/>
      <c r="H62" s="187"/>
      <c r="I62" s="180"/>
      <c r="J62" s="187"/>
    </row>
    <row r="63" spans="1:10" ht="15.75" x14ac:dyDescent="0.25">
      <c r="A63" s="32">
        <v>3</v>
      </c>
      <c r="B63" s="3" t="s">
        <v>50</v>
      </c>
      <c r="C63" s="76">
        <v>50</v>
      </c>
      <c r="D63" s="76">
        <v>573</v>
      </c>
      <c r="E63" s="27"/>
      <c r="G63" s="187"/>
      <c r="H63" s="187"/>
      <c r="I63" s="180"/>
      <c r="J63" s="187"/>
    </row>
    <row r="64" spans="1:10" ht="15.75" x14ac:dyDescent="0.25">
      <c r="A64" s="32">
        <v>4</v>
      </c>
      <c r="B64" s="3" t="s">
        <v>53</v>
      </c>
      <c r="C64" s="76">
        <v>0.34699999999999998</v>
      </c>
      <c r="D64" s="89">
        <f>+D63/D8</f>
        <v>0.42287822878228781</v>
      </c>
      <c r="E64" s="27"/>
      <c r="G64" s="187"/>
      <c r="H64" s="187"/>
      <c r="I64" s="180"/>
      <c r="J64" s="187"/>
    </row>
    <row r="65" spans="1:10" ht="15.75" x14ac:dyDescent="0.25">
      <c r="A65" s="32">
        <v>5</v>
      </c>
      <c r="B65" s="3" t="s">
        <v>51</v>
      </c>
      <c r="C65" s="152">
        <v>42.5</v>
      </c>
      <c r="D65" s="152">
        <v>438.9</v>
      </c>
      <c r="E65" s="27"/>
      <c r="G65" s="180"/>
      <c r="H65" s="187"/>
      <c r="I65" s="180"/>
      <c r="J65" s="187"/>
    </row>
    <row r="66" spans="1:10" ht="15.75" x14ac:dyDescent="0.25">
      <c r="A66" s="32">
        <v>6</v>
      </c>
      <c r="B66" s="3" t="s">
        <v>54</v>
      </c>
      <c r="C66" s="89">
        <v>0.29499999999999998</v>
      </c>
      <c r="D66" s="89">
        <f>+D65/D8</f>
        <v>0.32391143911439113</v>
      </c>
      <c r="E66" s="27"/>
      <c r="G66" s="180"/>
      <c r="H66" s="187"/>
      <c r="I66" s="180"/>
      <c r="J66" s="187"/>
    </row>
    <row r="67" spans="1:10" ht="15.75" x14ac:dyDescent="0.25">
      <c r="A67" s="32">
        <v>7</v>
      </c>
      <c r="B67" s="3" t="s">
        <v>55</v>
      </c>
      <c r="C67" s="89">
        <v>42.238999999999997</v>
      </c>
      <c r="D67" s="89">
        <v>420.66699999999997</v>
      </c>
      <c r="E67" s="27"/>
      <c r="G67" s="180"/>
      <c r="H67" s="187"/>
      <c r="I67" s="180"/>
    </row>
    <row r="68" spans="1:10" ht="15.75" x14ac:dyDescent="0.25">
      <c r="A68" s="32">
        <v>8</v>
      </c>
      <c r="B68" s="3" t="s">
        <v>56</v>
      </c>
      <c r="C68" s="89">
        <v>0.29299999999999998</v>
      </c>
      <c r="D68" s="89">
        <f>+D67/D8</f>
        <v>0.31045535055350554</v>
      </c>
      <c r="E68" s="27"/>
      <c r="G68" s="180"/>
      <c r="H68" s="187"/>
      <c r="I68" s="180"/>
    </row>
    <row r="69" spans="1:10" ht="17.25" x14ac:dyDescent="0.25">
      <c r="A69" s="32">
        <v>9</v>
      </c>
      <c r="B69" s="3" t="s">
        <v>214</v>
      </c>
      <c r="C69" s="89"/>
      <c r="D69" s="89"/>
      <c r="E69" s="27"/>
      <c r="G69" s="180"/>
      <c r="H69" s="187"/>
      <c r="I69" s="180"/>
    </row>
    <row r="70" spans="1:10" ht="18" thickBot="1" x14ac:dyDescent="0.3">
      <c r="A70" s="37">
        <v>10</v>
      </c>
      <c r="B70" s="52" t="s">
        <v>215</v>
      </c>
      <c r="C70" s="159"/>
      <c r="D70" s="159"/>
      <c r="E70" s="38"/>
      <c r="G70" s="180"/>
      <c r="H70" s="187"/>
      <c r="I70" s="180"/>
    </row>
    <row r="71" spans="1:10" ht="15.75" x14ac:dyDescent="0.25">
      <c r="H71" s="186"/>
      <c r="I71" s="180"/>
    </row>
    <row r="72" spans="1:10" ht="15.75" x14ac:dyDescent="0.25">
      <c r="I72" s="180"/>
    </row>
  </sheetData>
  <mergeCells count="29">
    <mergeCell ref="A1:E1"/>
    <mergeCell ref="A2:E2"/>
    <mergeCell ref="A3:E3"/>
    <mergeCell ref="A4:E5"/>
    <mergeCell ref="B6:B7"/>
    <mergeCell ref="C6:C7"/>
    <mergeCell ref="D6:D7"/>
    <mergeCell ref="E6:E7"/>
    <mergeCell ref="B49:B50"/>
    <mergeCell ref="C49:C50"/>
    <mergeCell ref="D49:D50"/>
    <mergeCell ref="A18:E19"/>
    <mergeCell ref="B20:B21"/>
    <mergeCell ref="E20:E21"/>
    <mergeCell ref="A27:E28"/>
    <mergeCell ref="B29:B30"/>
    <mergeCell ref="E29:E30"/>
    <mergeCell ref="A41:E42"/>
    <mergeCell ref="B43:B44"/>
    <mergeCell ref="C43:C44"/>
    <mergeCell ref="D43:D44"/>
    <mergeCell ref="E43:E44"/>
    <mergeCell ref="A52:E53"/>
    <mergeCell ref="B54:B55"/>
    <mergeCell ref="E54:E55"/>
    <mergeCell ref="B59:B60"/>
    <mergeCell ref="C59:C60"/>
    <mergeCell ref="D59:D60"/>
    <mergeCell ref="E59:E60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72"/>
  <sheetViews>
    <sheetView topLeftCell="A18" workbookViewId="0">
      <selection activeCell="A29" sqref="A29:E40"/>
    </sheetView>
  </sheetViews>
  <sheetFormatPr defaultRowHeight="15" x14ac:dyDescent="0.25"/>
  <cols>
    <col min="1" max="1" width="5.42578125" customWidth="1"/>
    <col min="2" max="2" width="35" customWidth="1"/>
    <col min="3" max="3" width="10.140625" customWidth="1"/>
    <col min="4" max="4" width="17.7109375" customWidth="1"/>
    <col min="5" max="5" width="56.5703125" bestFit="1" customWidth="1"/>
    <col min="8" max="8" width="12.7109375" customWidth="1"/>
  </cols>
  <sheetData>
    <row r="1" spans="1:5" ht="23.25" thickBot="1" x14ac:dyDescent="0.5">
      <c r="A1" s="284" t="s">
        <v>216</v>
      </c>
      <c r="B1" s="285"/>
      <c r="C1" s="285"/>
      <c r="D1" s="285"/>
      <c r="E1" s="286"/>
    </row>
    <row r="2" spans="1:5" ht="23.25" thickBot="1" x14ac:dyDescent="0.5">
      <c r="A2" s="287" t="s">
        <v>30</v>
      </c>
      <c r="B2" s="288"/>
      <c r="C2" s="288"/>
      <c r="D2" s="288"/>
      <c r="E2" s="289"/>
    </row>
    <row r="3" spans="1:5" ht="25.5" thickBot="1" x14ac:dyDescent="0.3">
      <c r="A3" s="290" t="s">
        <v>0</v>
      </c>
      <c r="B3" s="291"/>
      <c r="C3" s="291"/>
      <c r="D3" s="291"/>
      <c r="E3" s="292"/>
    </row>
    <row r="4" spans="1:5" x14ac:dyDescent="0.25">
      <c r="A4" s="293" t="s">
        <v>32</v>
      </c>
      <c r="B4" s="294"/>
      <c r="C4" s="294"/>
      <c r="D4" s="294"/>
      <c r="E4" s="295"/>
    </row>
    <row r="5" spans="1:5" ht="15.75" thickBot="1" x14ac:dyDescent="0.3">
      <c r="A5" s="296"/>
      <c r="B5" s="297"/>
      <c r="C5" s="297"/>
      <c r="D5" s="297"/>
      <c r="E5" s="298"/>
    </row>
    <row r="6" spans="1:5" ht="15.75" x14ac:dyDescent="0.25">
      <c r="A6" s="2" t="s">
        <v>1</v>
      </c>
      <c r="B6" s="254" t="s">
        <v>5</v>
      </c>
      <c r="C6" s="270" t="s">
        <v>3</v>
      </c>
      <c r="D6" s="270" t="s">
        <v>4</v>
      </c>
      <c r="E6" s="256" t="s">
        <v>13</v>
      </c>
    </row>
    <row r="7" spans="1:5" ht="16.5" thickBot="1" x14ac:dyDescent="0.3">
      <c r="A7" s="15" t="s">
        <v>2</v>
      </c>
      <c r="B7" s="282"/>
      <c r="C7" s="271"/>
      <c r="D7" s="271"/>
      <c r="E7" s="283"/>
    </row>
    <row r="8" spans="1:5" ht="15.75" x14ac:dyDescent="0.25">
      <c r="A8" s="35">
        <v>1</v>
      </c>
      <c r="B8" s="16" t="s">
        <v>6</v>
      </c>
      <c r="C8" s="78" t="s">
        <v>217</v>
      </c>
      <c r="D8" s="78">
        <v>1521</v>
      </c>
      <c r="E8" s="189" t="s">
        <v>218</v>
      </c>
    </row>
    <row r="9" spans="1:5" ht="15.75" x14ac:dyDescent="0.25">
      <c r="A9" s="32">
        <v>2</v>
      </c>
      <c r="B9" s="3" t="s">
        <v>7</v>
      </c>
      <c r="C9" s="79" t="s">
        <v>68</v>
      </c>
      <c r="D9" s="79">
        <v>126.75</v>
      </c>
      <c r="E9" s="27"/>
    </row>
    <row r="10" spans="1:5" ht="15.75" x14ac:dyDescent="0.25">
      <c r="A10" s="32">
        <v>3</v>
      </c>
      <c r="B10" s="3" t="s">
        <v>8</v>
      </c>
      <c r="C10" s="79" t="s">
        <v>220</v>
      </c>
      <c r="D10" s="79">
        <v>1516.44</v>
      </c>
      <c r="E10" s="190" t="s">
        <v>219</v>
      </c>
    </row>
    <row r="11" spans="1:5" ht="15.75" x14ac:dyDescent="0.25">
      <c r="A11" s="32">
        <v>4</v>
      </c>
      <c r="B11" s="3" t="s">
        <v>9</v>
      </c>
      <c r="C11" s="79"/>
      <c r="D11" s="79">
        <v>126.37</v>
      </c>
      <c r="E11" s="27"/>
    </row>
    <row r="12" spans="1:5" ht="15.75" x14ac:dyDescent="0.25">
      <c r="A12" s="32">
        <v>5</v>
      </c>
      <c r="B12" s="3" t="s">
        <v>12</v>
      </c>
      <c r="C12" s="79" t="s">
        <v>223</v>
      </c>
      <c r="D12" s="79" t="s">
        <v>221</v>
      </c>
      <c r="E12" s="27"/>
    </row>
    <row r="13" spans="1:5" ht="15.75" x14ac:dyDescent="0.3">
      <c r="A13" s="58">
        <v>6</v>
      </c>
      <c r="B13" s="5" t="s">
        <v>45</v>
      </c>
      <c r="C13" s="39"/>
      <c r="D13" s="39" t="s">
        <v>116</v>
      </c>
      <c r="E13" s="27"/>
    </row>
    <row r="14" spans="1:5" ht="15.75" x14ac:dyDescent="0.3">
      <c r="A14" s="58">
        <v>7</v>
      </c>
      <c r="B14" s="5" t="s">
        <v>44</v>
      </c>
      <c r="C14" s="39" t="s">
        <v>116</v>
      </c>
      <c r="D14" s="39" t="s">
        <v>116</v>
      </c>
      <c r="E14" s="27"/>
    </row>
    <row r="15" spans="1:5" ht="15.75" x14ac:dyDescent="0.3">
      <c r="A15" s="58">
        <v>8</v>
      </c>
      <c r="B15" s="5" t="s">
        <v>10</v>
      </c>
      <c r="C15" s="39" t="s">
        <v>116</v>
      </c>
      <c r="D15" s="39" t="s">
        <v>117</v>
      </c>
      <c r="E15" s="27"/>
    </row>
    <row r="16" spans="1:5" ht="15.75" x14ac:dyDescent="0.3">
      <c r="A16" s="58">
        <v>9</v>
      </c>
      <c r="B16" s="5" t="s">
        <v>11</v>
      </c>
      <c r="C16" s="39" t="s">
        <v>116</v>
      </c>
      <c r="D16" s="39" t="s">
        <v>117</v>
      </c>
      <c r="E16" s="27"/>
    </row>
    <row r="17" spans="1:5" ht="15.75" x14ac:dyDescent="0.3">
      <c r="A17" s="58">
        <v>10</v>
      </c>
      <c r="B17" s="4" t="s">
        <v>12</v>
      </c>
      <c r="C17" s="39" t="s">
        <v>118</v>
      </c>
      <c r="D17" s="40" t="s">
        <v>118</v>
      </c>
      <c r="E17" s="27"/>
    </row>
    <row r="18" spans="1:5" x14ac:dyDescent="0.25">
      <c r="A18" s="248" t="s">
        <v>104</v>
      </c>
      <c r="B18" s="249"/>
      <c r="C18" s="249"/>
      <c r="D18" s="249"/>
      <c r="E18" s="250"/>
    </row>
    <row r="19" spans="1:5" ht="15.75" thickBot="1" x14ac:dyDescent="0.3">
      <c r="A19" s="251"/>
      <c r="B19" s="252"/>
      <c r="C19" s="252"/>
      <c r="D19" s="252"/>
      <c r="E19" s="253"/>
    </row>
    <row r="20" spans="1:5" ht="15.75" x14ac:dyDescent="0.25">
      <c r="A20" s="11" t="s">
        <v>1</v>
      </c>
      <c r="B20" s="275" t="s">
        <v>31</v>
      </c>
      <c r="C20" s="56" t="s">
        <v>34</v>
      </c>
      <c r="D20" s="41" t="s">
        <v>33</v>
      </c>
      <c r="E20" s="277" t="s">
        <v>13</v>
      </c>
    </row>
    <row r="21" spans="1:5" ht="16.5" thickBot="1" x14ac:dyDescent="0.3">
      <c r="A21" s="93" t="s">
        <v>2</v>
      </c>
      <c r="B21" s="276"/>
      <c r="C21" s="94" t="s">
        <v>35</v>
      </c>
      <c r="D21" s="95" t="s">
        <v>3</v>
      </c>
      <c r="E21" s="278"/>
    </row>
    <row r="22" spans="1:5" ht="15.75" x14ac:dyDescent="0.25">
      <c r="A22" s="160">
        <v>1</v>
      </c>
      <c r="B22" s="161" t="s">
        <v>188</v>
      </c>
      <c r="C22" s="162">
        <v>29</v>
      </c>
      <c r="D22" s="191">
        <v>50</v>
      </c>
      <c r="E22" s="26"/>
    </row>
    <row r="23" spans="1:5" ht="15.75" x14ac:dyDescent="0.25">
      <c r="A23" s="163">
        <v>2</v>
      </c>
      <c r="B23" s="161" t="s">
        <v>180</v>
      </c>
      <c r="C23" s="165">
        <v>68</v>
      </c>
      <c r="D23" s="192">
        <v>116</v>
      </c>
      <c r="E23" s="27"/>
    </row>
    <row r="24" spans="1:5" ht="15.75" x14ac:dyDescent="0.25">
      <c r="A24" s="163"/>
      <c r="B24" s="164"/>
      <c r="C24" s="166"/>
      <c r="D24" s="193"/>
      <c r="E24" s="27"/>
    </row>
    <row r="25" spans="1:5" ht="15.75" x14ac:dyDescent="0.25">
      <c r="A25" s="155"/>
      <c r="B25" s="156"/>
      <c r="C25" s="157"/>
      <c r="D25" s="158"/>
      <c r="E25" s="31"/>
    </row>
    <row r="26" spans="1:5" ht="16.5" thickBot="1" x14ac:dyDescent="0.3">
      <c r="A26" s="37">
        <v>3</v>
      </c>
      <c r="B26" s="99" t="s">
        <v>29</v>
      </c>
      <c r="C26" s="80">
        <f>SUM(C22:C25)</f>
        <v>97</v>
      </c>
      <c r="D26" s="100">
        <f>SUM(D22:D25)</f>
        <v>166</v>
      </c>
      <c r="E26" s="38"/>
    </row>
    <row r="27" spans="1:5" x14ac:dyDescent="0.25">
      <c r="A27" s="279" t="s">
        <v>105</v>
      </c>
      <c r="B27" s="280"/>
      <c r="C27" s="280"/>
      <c r="D27" s="280"/>
      <c r="E27" s="281"/>
    </row>
    <row r="28" spans="1:5" ht="15.75" thickBot="1" x14ac:dyDescent="0.3">
      <c r="A28" s="251"/>
      <c r="B28" s="252"/>
      <c r="C28" s="252"/>
      <c r="D28" s="252"/>
      <c r="E28" s="253"/>
    </row>
    <row r="29" spans="1:5" ht="15.75" x14ac:dyDescent="0.25">
      <c r="A29" s="2" t="s">
        <v>1</v>
      </c>
      <c r="B29" s="254" t="s">
        <v>5</v>
      </c>
      <c r="C29" s="18" t="s">
        <v>3</v>
      </c>
      <c r="D29" s="18" t="s">
        <v>4</v>
      </c>
      <c r="E29" s="256" t="s">
        <v>13</v>
      </c>
    </row>
    <row r="30" spans="1:5" ht="16.5" thickBot="1" x14ac:dyDescent="0.3">
      <c r="A30" s="15" t="s">
        <v>2</v>
      </c>
      <c r="B30" s="282"/>
      <c r="C30" s="19" t="s">
        <v>40</v>
      </c>
      <c r="D30" s="19" t="s">
        <v>40</v>
      </c>
      <c r="E30" s="323"/>
    </row>
    <row r="31" spans="1:5" ht="19.5" x14ac:dyDescent="0.4">
      <c r="A31" s="128">
        <v>1</v>
      </c>
      <c r="B31" s="135" t="s">
        <v>14</v>
      </c>
      <c r="C31" s="130">
        <v>23.1</v>
      </c>
      <c r="D31" s="146">
        <v>223.3</v>
      </c>
      <c r="E31" s="27"/>
    </row>
    <row r="32" spans="1:5" ht="20.25" thickBot="1" x14ac:dyDescent="0.45">
      <c r="A32" s="129">
        <v>2</v>
      </c>
      <c r="B32" s="136" t="s">
        <v>99</v>
      </c>
      <c r="C32" s="132">
        <v>0.5</v>
      </c>
      <c r="D32" s="145">
        <v>64.3</v>
      </c>
      <c r="E32" s="31"/>
    </row>
    <row r="33" spans="1:5" ht="32.25" customHeight="1" thickBot="1" x14ac:dyDescent="0.35">
      <c r="A33" s="201">
        <v>3</v>
      </c>
      <c r="B33" s="202" t="s">
        <v>15</v>
      </c>
      <c r="C33" s="174">
        <v>0.5</v>
      </c>
      <c r="D33" s="203">
        <v>15.3</v>
      </c>
      <c r="E33" s="198" t="s">
        <v>222</v>
      </c>
    </row>
    <row r="34" spans="1:5" ht="16.5" x14ac:dyDescent="0.3">
      <c r="A34" s="35">
        <v>4</v>
      </c>
      <c r="B34" s="53" t="s">
        <v>16</v>
      </c>
      <c r="C34" s="199" t="s">
        <v>64</v>
      </c>
      <c r="D34" s="200" t="s">
        <v>63</v>
      </c>
      <c r="E34" s="115"/>
    </row>
    <row r="35" spans="1:5" ht="16.5" x14ac:dyDescent="0.3">
      <c r="A35" s="32">
        <v>5</v>
      </c>
      <c r="B35" s="54" t="s">
        <v>17</v>
      </c>
      <c r="C35" s="124" t="s">
        <v>64</v>
      </c>
      <c r="D35" s="123">
        <v>22.05</v>
      </c>
      <c r="E35" s="177"/>
    </row>
    <row r="36" spans="1:5" ht="16.5" x14ac:dyDescent="0.3">
      <c r="A36" s="32">
        <v>6</v>
      </c>
      <c r="B36" s="54" t="s">
        <v>18</v>
      </c>
      <c r="C36" s="122" t="s">
        <v>64</v>
      </c>
      <c r="D36" s="123" t="s">
        <v>64</v>
      </c>
      <c r="E36" s="115"/>
    </row>
    <row r="37" spans="1:5" ht="16.5" x14ac:dyDescent="0.3">
      <c r="A37" s="32">
        <v>7</v>
      </c>
      <c r="B37" s="54" t="s">
        <v>19</v>
      </c>
      <c r="C37" s="124" t="s">
        <v>64</v>
      </c>
      <c r="D37" s="123">
        <v>15.15</v>
      </c>
      <c r="E37" s="177"/>
    </row>
    <row r="38" spans="1:5" ht="16.5" x14ac:dyDescent="0.3">
      <c r="A38" s="32">
        <v>8</v>
      </c>
      <c r="B38" s="54" t="s">
        <v>20</v>
      </c>
      <c r="C38" s="124" t="s">
        <v>64</v>
      </c>
      <c r="D38" s="123">
        <v>2.4</v>
      </c>
      <c r="E38" s="178"/>
    </row>
    <row r="39" spans="1:5" ht="16.5" x14ac:dyDescent="0.3">
      <c r="A39" s="32">
        <v>9</v>
      </c>
      <c r="B39" s="54" t="s">
        <v>21</v>
      </c>
      <c r="C39" s="122" t="s">
        <v>64</v>
      </c>
      <c r="D39" s="123" t="s">
        <v>116</v>
      </c>
      <c r="E39" s="115"/>
    </row>
    <row r="40" spans="1:5" ht="17.25" thickBot="1" x14ac:dyDescent="0.35">
      <c r="A40" s="37">
        <v>10</v>
      </c>
      <c r="B40" s="55" t="s">
        <v>22</v>
      </c>
      <c r="C40" s="126" t="s">
        <v>116</v>
      </c>
      <c r="D40" s="139">
        <v>9</v>
      </c>
      <c r="E40" s="108"/>
    </row>
    <row r="41" spans="1:5" x14ac:dyDescent="0.25">
      <c r="A41" s="262" t="s">
        <v>77</v>
      </c>
      <c r="B41" s="263"/>
      <c r="C41" s="263"/>
      <c r="D41" s="263"/>
      <c r="E41" s="264"/>
    </row>
    <row r="42" spans="1:5" ht="15.75" thickBot="1" x14ac:dyDescent="0.3">
      <c r="A42" s="265"/>
      <c r="B42" s="266"/>
      <c r="C42" s="266"/>
      <c r="D42" s="266"/>
      <c r="E42" s="267"/>
    </row>
    <row r="43" spans="1:5" ht="15.75" x14ac:dyDescent="0.25">
      <c r="A43" s="9" t="s">
        <v>1</v>
      </c>
      <c r="B43" s="268" t="s">
        <v>27</v>
      </c>
      <c r="C43" s="270" t="s">
        <v>3</v>
      </c>
      <c r="D43" s="270" t="s">
        <v>4</v>
      </c>
      <c r="E43" s="272" t="s">
        <v>28</v>
      </c>
    </row>
    <row r="44" spans="1:5" ht="16.5" thickBot="1" x14ac:dyDescent="0.3">
      <c r="A44" s="17" t="s">
        <v>2</v>
      </c>
      <c r="B44" s="269"/>
      <c r="C44" s="271"/>
      <c r="D44" s="271"/>
      <c r="E44" s="273"/>
    </row>
    <row r="45" spans="1:5" x14ac:dyDescent="0.25">
      <c r="A45" s="35">
        <v>1</v>
      </c>
      <c r="B45" s="53" t="s">
        <v>58</v>
      </c>
      <c r="C45" s="47" t="s">
        <v>57</v>
      </c>
      <c r="D45" s="49" t="s">
        <v>57</v>
      </c>
      <c r="E45" s="26"/>
    </row>
    <row r="46" spans="1:5" x14ac:dyDescent="0.25">
      <c r="A46" s="32">
        <v>2</v>
      </c>
      <c r="B46" s="54" t="s">
        <v>59</v>
      </c>
      <c r="C46" s="48">
        <v>184</v>
      </c>
      <c r="D46" s="48">
        <v>1690</v>
      </c>
      <c r="E46" s="27"/>
    </row>
    <row r="47" spans="1:5" x14ac:dyDescent="0.25">
      <c r="A47" s="32">
        <v>3</v>
      </c>
      <c r="B47" s="54" t="s">
        <v>60</v>
      </c>
      <c r="C47" s="48">
        <v>184</v>
      </c>
      <c r="D47" s="48">
        <v>1690</v>
      </c>
      <c r="E47" s="27"/>
    </row>
    <row r="48" spans="1:5" ht="19.5" thickBot="1" x14ac:dyDescent="0.45">
      <c r="A48" s="28" t="s">
        <v>78</v>
      </c>
      <c r="E48" s="24"/>
    </row>
    <row r="49" spans="1:10" ht="15.75" x14ac:dyDescent="0.25">
      <c r="A49" s="9" t="s">
        <v>1</v>
      </c>
      <c r="B49" s="254" t="s">
        <v>5</v>
      </c>
      <c r="C49" s="270" t="s">
        <v>3</v>
      </c>
      <c r="D49" s="256" t="s">
        <v>4</v>
      </c>
      <c r="E49" s="183" t="s">
        <v>61</v>
      </c>
    </row>
    <row r="50" spans="1:10" ht="15.75" x14ac:dyDescent="0.25">
      <c r="A50" s="1" t="s">
        <v>2</v>
      </c>
      <c r="B50" s="255"/>
      <c r="C50" s="274"/>
      <c r="D50" s="257"/>
      <c r="E50" s="184" t="s">
        <v>42</v>
      </c>
    </row>
    <row r="51" spans="1:10" ht="15.75" x14ac:dyDescent="0.25">
      <c r="A51" s="29">
        <v>1</v>
      </c>
      <c r="B51" s="20" t="s">
        <v>43</v>
      </c>
      <c r="C51" s="50">
        <v>15.38</v>
      </c>
      <c r="D51" s="50">
        <v>138.44</v>
      </c>
      <c r="E51" s="185">
        <v>10.792999999999999</v>
      </c>
    </row>
    <row r="52" spans="1:10" ht="13.5" customHeight="1" x14ac:dyDescent="0.25">
      <c r="A52" s="248" t="s">
        <v>73</v>
      </c>
      <c r="B52" s="249"/>
      <c r="C52" s="249"/>
      <c r="D52" s="249"/>
      <c r="E52" s="250"/>
    </row>
    <row r="53" spans="1:10" ht="11.25" customHeight="1" thickBot="1" x14ac:dyDescent="0.3">
      <c r="A53" s="251"/>
      <c r="B53" s="252"/>
      <c r="C53" s="252"/>
      <c r="D53" s="252"/>
      <c r="E53" s="253"/>
    </row>
    <row r="54" spans="1:10" ht="15.75" x14ac:dyDescent="0.25">
      <c r="A54" s="2" t="s">
        <v>1</v>
      </c>
      <c r="B54" s="254" t="s">
        <v>5</v>
      </c>
      <c r="C54" s="18" t="s">
        <v>3</v>
      </c>
      <c r="D54" s="18" t="s">
        <v>4</v>
      </c>
      <c r="E54" s="256" t="s">
        <v>13</v>
      </c>
    </row>
    <row r="55" spans="1:10" ht="15.75" x14ac:dyDescent="0.25">
      <c r="A55" s="21" t="s">
        <v>2</v>
      </c>
      <c r="B55" s="255"/>
      <c r="C55" s="22" t="s">
        <v>46</v>
      </c>
      <c r="D55" s="22" t="s">
        <v>46</v>
      </c>
      <c r="E55" s="257"/>
    </row>
    <row r="56" spans="1:10" ht="15.75" x14ac:dyDescent="0.25">
      <c r="A56" s="32">
        <v>1</v>
      </c>
      <c r="B56" s="54" t="s">
        <v>224</v>
      </c>
      <c r="C56" s="76">
        <v>39009</v>
      </c>
      <c r="D56" s="76">
        <v>391441</v>
      </c>
      <c r="E56" s="75" t="s">
        <v>146</v>
      </c>
    </row>
    <row r="57" spans="1:10" ht="15.75" x14ac:dyDescent="0.25">
      <c r="A57" s="32">
        <v>2</v>
      </c>
      <c r="B57" s="54" t="s">
        <v>47</v>
      </c>
      <c r="C57" s="179">
        <v>234.99</v>
      </c>
      <c r="D57" s="76">
        <v>257.358</v>
      </c>
      <c r="E57" s="27"/>
    </row>
    <row r="58" spans="1:10" ht="20.25" thickBot="1" x14ac:dyDescent="0.45">
      <c r="A58" s="25" t="s">
        <v>48</v>
      </c>
      <c r="B58" s="36"/>
      <c r="E58" s="24"/>
      <c r="G58" s="195"/>
      <c r="H58" s="180"/>
    </row>
    <row r="59" spans="1:10" ht="15.75" x14ac:dyDescent="0.25">
      <c r="A59" s="196" t="s">
        <v>1</v>
      </c>
      <c r="B59" s="258" t="s">
        <v>5</v>
      </c>
      <c r="C59" s="258" t="s">
        <v>3</v>
      </c>
      <c r="D59" s="258" t="s">
        <v>4</v>
      </c>
      <c r="E59" s="260" t="s">
        <v>13</v>
      </c>
      <c r="G59" s="195"/>
      <c r="H59" s="195"/>
      <c r="J59" s="187"/>
    </row>
    <row r="60" spans="1:10" ht="15.75" x14ac:dyDescent="0.25">
      <c r="A60" s="197" t="s">
        <v>2</v>
      </c>
      <c r="B60" s="259"/>
      <c r="C60" s="259"/>
      <c r="D60" s="259"/>
      <c r="E60" s="261"/>
      <c r="G60" s="194"/>
      <c r="H60" s="187"/>
      <c r="J60" s="187"/>
    </row>
    <row r="61" spans="1:10" ht="15.75" x14ac:dyDescent="0.25">
      <c r="A61" s="32">
        <v>1</v>
      </c>
      <c r="B61" s="3" t="s">
        <v>49</v>
      </c>
      <c r="C61" s="76">
        <v>234</v>
      </c>
      <c r="D61" s="76">
        <v>2257</v>
      </c>
      <c r="E61" s="27"/>
      <c r="G61" s="180"/>
      <c r="H61" s="180"/>
      <c r="I61" s="180"/>
      <c r="J61" s="187"/>
    </row>
    <row r="62" spans="1:10" ht="15.75" x14ac:dyDescent="0.25">
      <c r="A62" s="32">
        <v>2</v>
      </c>
      <c r="B62" s="3" t="s">
        <v>52</v>
      </c>
      <c r="C62" s="89">
        <v>1.41</v>
      </c>
      <c r="D62" s="89">
        <f>+D61/D8</f>
        <v>1.4838921761998685</v>
      </c>
      <c r="E62" s="27"/>
      <c r="G62" s="180"/>
      <c r="H62" s="180"/>
      <c r="I62" s="180"/>
      <c r="J62" s="187"/>
    </row>
    <row r="63" spans="1:10" ht="15.75" x14ac:dyDescent="0.25">
      <c r="A63" s="32">
        <v>3</v>
      </c>
      <c r="B63" s="3" t="s">
        <v>50</v>
      </c>
      <c r="C63" s="76">
        <v>109</v>
      </c>
      <c r="D63" s="76">
        <v>682</v>
      </c>
      <c r="E63" s="27"/>
      <c r="G63" s="204"/>
      <c r="H63" s="187"/>
      <c r="I63" s="180"/>
      <c r="J63" s="187"/>
    </row>
    <row r="64" spans="1:10" ht="15.75" x14ac:dyDescent="0.25">
      <c r="A64" s="32">
        <v>4</v>
      </c>
      <c r="B64" s="3" t="s">
        <v>53</v>
      </c>
      <c r="C64" s="76">
        <v>0.65700000000000003</v>
      </c>
      <c r="D64" s="89">
        <f>+D63/D8</f>
        <v>0.44838921761998685</v>
      </c>
      <c r="E64" s="27"/>
      <c r="G64" s="187"/>
      <c r="H64" s="187"/>
      <c r="I64" s="180"/>
      <c r="J64" s="187"/>
    </row>
    <row r="65" spans="1:10" ht="15.75" x14ac:dyDescent="0.25">
      <c r="A65" s="32">
        <v>5</v>
      </c>
      <c r="B65" s="3" t="s">
        <v>51</v>
      </c>
      <c r="C65" s="152">
        <v>47.4</v>
      </c>
      <c r="D65" s="152">
        <v>486.3</v>
      </c>
      <c r="E65" s="27"/>
      <c r="G65" s="180"/>
      <c r="H65" s="187"/>
      <c r="I65" s="180"/>
      <c r="J65" s="187"/>
    </row>
    <row r="66" spans="1:10" ht="15.75" x14ac:dyDescent="0.25">
      <c r="A66" s="32">
        <v>6</v>
      </c>
      <c r="B66" s="3" t="s">
        <v>54</v>
      </c>
      <c r="C66" s="89">
        <v>0.28599999999999998</v>
      </c>
      <c r="D66" s="89">
        <f>+D65/D8</f>
        <v>0.31972386587771207</v>
      </c>
      <c r="E66" s="27"/>
      <c r="G66" s="195"/>
      <c r="H66" s="187"/>
      <c r="I66" s="180"/>
      <c r="J66" s="187"/>
    </row>
    <row r="67" spans="1:10" ht="15.75" x14ac:dyDescent="0.25">
      <c r="A67" s="32">
        <v>7</v>
      </c>
      <c r="B67" s="3" t="s">
        <v>55</v>
      </c>
      <c r="C67" s="89">
        <v>46.64</v>
      </c>
      <c r="D67" s="89">
        <v>467.30700000000002</v>
      </c>
      <c r="E67" s="27"/>
      <c r="G67" s="195"/>
      <c r="H67" s="187"/>
      <c r="I67" s="180"/>
    </row>
    <row r="68" spans="1:10" ht="15.75" x14ac:dyDescent="0.25">
      <c r="A68" s="32">
        <v>8</v>
      </c>
      <c r="B68" s="3" t="s">
        <v>56</v>
      </c>
      <c r="C68" s="89">
        <v>0.28100000000000003</v>
      </c>
      <c r="D68" s="89">
        <f>+D67/D8</f>
        <v>0.30723668639053253</v>
      </c>
      <c r="E68" s="27"/>
      <c r="G68" s="195"/>
      <c r="H68" s="187"/>
      <c r="I68" s="180"/>
    </row>
    <row r="69" spans="1:10" ht="17.25" x14ac:dyDescent="0.25">
      <c r="A69" s="32">
        <v>9</v>
      </c>
      <c r="B69" s="3" t="s">
        <v>214</v>
      </c>
      <c r="C69" s="89"/>
      <c r="D69" s="89"/>
      <c r="E69" s="27"/>
      <c r="G69" s="180"/>
      <c r="H69" s="187"/>
      <c r="I69" s="180"/>
    </row>
    <row r="70" spans="1:10" ht="18" thickBot="1" x14ac:dyDescent="0.3">
      <c r="A70" s="37">
        <v>10</v>
      </c>
      <c r="B70" s="52" t="s">
        <v>215</v>
      </c>
      <c r="C70" s="159"/>
      <c r="D70" s="159"/>
      <c r="E70" s="38"/>
      <c r="G70" s="180"/>
      <c r="H70" s="187"/>
      <c r="I70" s="180"/>
    </row>
    <row r="71" spans="1:10" ht="15.75" x14ac:dyDescent="0.25">
      <c r="H71" s="186"/>
      <c r="I71" s="180"/>
    </row>
    <row r="72" spans="1:10" ht="15.75" x14ac:dyDescent="0.25">
      <c r="I72" s="180"/>
    </row>
  </sheetData>
  <mergeCells count="29">
    <mergeCell ref="A1:E1"/>
    <mergeCell ref="A2:E2"/>
    <mergeCell ref="A3:E3"/>
    <mergeCell ref="A4:E5"/>
    <mergeCell ref="B6:B7"/>
    <mergeCell ref="C6:C7"/>
    <mergeCell ref="D6:D7"/>
    <mergeCell ref="E6:E7"/>
    <mergeCell ref="B49:B50"/>
    <mergeCell ref="C49:C50"/>
    <mergeCell ref="D49:D50"/>
    <mergeCell ref="A18:E19"/>
    <mergeCell ref="B20:B21"/>
    <mergeCell ref="E20:E21"/>
    <mergeCell ref="A27:E28"/>
    <mergeCell ref="B29:B30"/>
    <mergeCell ref="E29:E30"/>
    <mergeCell ref="A41:E42"/>
    <mergeCell ref="B43:B44"/>
    <mergeCell ref="C43:C44"/>
    <mergeCell ref="D43:D44"/>
    <mergeCell ref="E43:E44"/>
    <mergeCell ref="A52:E53"/>
    <mergeCell ref="B54:B55"/>
    <mergeCell ref="E54:E55"/>
    <mergeCell ref="B59:B60"/>
    <mergeCell ref="C59:C60"/>
    <mergeCell ref="D59:D60"/>
    <mergeCell ref="E59:E60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72"/>
  <sheetViews>
    <sheetView topLeftCell="A22" workbookViewId="0">
      <selection activeCell="E38" sqref="E38"/>
    </sheetView>
  </sheetViews>
  <sheetFormatPr defaultRowHeight="15" x14ac:dyDescent="0.25"/>
  <cols>
    <col min="1" max="1" width="5.42578125" customWidth="1"/>
    <col min="2" max="2" width="35" customWidth="1"/>
    <col min="3" max="3" width="10.140625" customWidth="1"/>
    <col min="4" max="4" width="17.7109375" customWidth="1"/>
    <col min="5" max="5" width="56.5703125" bestFit="1" customWidth="1"/>
    <col min="8" max="8" width="12.7109375" customWidth="1"/>
    <col min="10" max="10" width="11.42578125" bestFit="1" customWidth="1"/>
  </cols>
  <sheetData>
    <row r="1" spans="1:5" ht="23.25" thickBot="1" x14ac:dyDescent="0.5">
      <c r="A1" s="284" t="s">
        <v>225</v>
      </c>
      <c r="B1" s="285"/>
      <c r="C1" s="285"/>
      <c r="D1" s="285"/>
      <c r="E1" s="286"/>
    </row>
    <row r="2" spans="1:5" ht="23.25" thickBot="1" x14ac:dyDescent="0.5">
      <c r="A2" s="287" t="s">
        <v>30</v>
      </c>
      <c r="B2" s="288"/>
      <c r="C2" s="288"/>
      <c r="D2" s="288"/>
      <c r="E2" s="289"/>
    </row>
    <row r="3" spans="1:5" ht="25.5" thickBot="1" x14ac:dyDescent="0.3">
      <c r="A3" s="290" t="s">
        <v>0</v>
      </c>
      <c r="B3" s="291"/>
      <c r="C3" s="291"/>
      <c r="D3" s="291"/>
      <c r="E3" s="292"/>
    </row>
    <row r="4" spans="1:5" x14ac:dyDescent="0.25">
      <c r="A4" s="293" t="s">
        <v>32</v>
      </c>
      <c r="B4" s="294"/>
      <c r="C4" s="294"/>
      <c r="D4" s="294"/>
      <c r="E4" s="295"/>
    </row>
    <row r="5" spans="1:5" ht="15.75" thickBot="1" x14ac:dyDescent="0.3">
      <c r="A5" s="296"/>
      <c r="B5" s="297"/>
      <c r="C5" s="297"/>
      <c r="D5" s="297"/>
      <c r="E5" s="298"/>
    </row>
    <row r="6" spans="1:5" ht="15.75" x14ac:dyDescent="0.25">
      <c r="A6" s="2" t="s">
        <v>1</v>
      </c>
      <c r="B6" s="254" t="s">
        <v>5</v>
      </c>
      <c r="C6" s="270" t="s">
        <v>3</v>
      </c>
      <c r="D6" s="270" t="s">
        <v>4</v>
      </c>
      <c r="E6" s="256" t="s">
        <v>13</v>
      </c>
    </row>
    <row r="7" spans="1:5" ht="16.5" thickBot="1" x14ac:dyDescent="0.3">
      <c r="A7" s="15" t="s">
        <v>2</v>
      </c>
      <c r="B7" s="282"/>
      <c r="C7" s="271"/>
      <c r="D7" s="271"/>
      <c r="E7" s="283"/>
    </row>
    <row r="8" spans="1:5" ht="15.75" x14ac:dyDescent="0.25">
      <c r="A8" s="35">
        <v>1</v>
      </c>
      <c r="B8" s="16" t="s">
        <v>6</v>
      </c>
      <c r="C8" s="78" t="s">
        <v>226</v>
      </c>
      <c r="D8" s="78">
        <v>1663</v>
      </c>
      <c r="E8" s="189" t="s">
        <v>209</v>
      </c>
    </row>
    <row r="9" spans="1:5" ht="15.75" x14ac:dyDescent="0.25">
      <c r="A9" s="32">
        <v>2</v>
      </c>
      <c r="B9" s="3" t="s">
        <v>7</v>
      </c>
      <c r="C9" s="79" t="s">
        <v>68</v>
      </c>
      <c r="D9" s="79">
        <v>127.923</v>
      </c>
      <c r="E9" s="27"/>
    </row>
    <row r="10" spans="1:5" ht="15.75" x14ac:dyDescent="0.25">
      <c r="A10" s="32">
        <v>3</v>
      </c>
      <c r="B10" s="3" t="s">
        <v>8</v>
      </c>
      <c r="C10" s="79" t="s">
        <v>227</v>
      </c>
      <c r="D10" s="79">
        <v>1653.77</v>
      </c>
      <c r="E10" s="190" t="s">
        <v>228</v>
      </c>
    </row>
    <row r="11" spans="1:5" ht="15.75" x14ac:dyDescent="0.25">
      <c r="A11" s="32">
        <v>4</v>
      </c>
      <c r="B11" s="3" t="s">
        <v>9</v>
      </c>
      <c r="C11" s="79"/>
      <c r="D11" s="79">
        <v>126.37</v>
      </c>
      <c r="E11" s="27"/>
    </row>
    <row r="12" spans="1:5" ht="15.75" x14ac:dyDescent="0.25">
      <c r="A12" s="32">
        <v>5</v>
      </c>
      <c r="B12" s="3" t="s">
        <v>12</v>
      </c>
      <c r="C12" s="79" t="s">
        <v>229</v>
      </c>
      <c r="D12" s="79" t="s">
        <v>230</v>
      </c>
      <c r="E12" s="27"/>
    </row>
    <row r="13" spans="1:5" ht="15.75" x14ac:dyDescent="0.3">
      <c r="A13" s="58">
        <v>6</v>
      </c>
      <c r="B13" s="5" t="s">
        <v>45</v>
      </c>
      <c r="C13" s="39"/>
      <c r="D13" s="39" t="s">
        <v>116</v>
      </c>
      <c r="E13" s="27"/>
    </row>
    <row r="14" spans="1:5" ht="15.75" x14ac:dyDescent="0.3">
      <c r="A14" s="58">
        <v>7</v>
      </c>
      <c r="B14" s="5" t="s">
        <v>44</v>
      </c>
      <c r="C14" s="39" t="s">
        <v>116</v>
      </c>
      <c r="D14" s="39" t="s">
        <v>116</v>
      </c>
      <c r="E14" s="27"/>
    </row>
    <row r="15" spans="1:5" ht="15.75" x14ac:dyDescent="0.3">
      <c r="A15" s="58">
        <v>8</v>
      </c>
      <c r="B15" s="5" t="s">
        <v>10</v>
      </c>
      <c r="C15" s="39" t="s">
        <v>116</v>
      </c>
      <c r="D15" s="39" t="s">
        <v>117</v>
      </c>
      <c r="E15" s="27"/>
    </row>
    <row r="16" spans="1:5" ht="15.75" x14ac:dyDescent="0.3">
      <c r="A16" s="58">
        <v>9</v>
      </c>
      <c r="B16" s="5" t="s">
        <v>11</v>
      </c>
      <c r="C16" s="39" t="s">
        <v>116</v>
      </c>
      <c r="D16" s="39" t="s">
        <v>117</v>
      </c>
      <c r="E16" s="27"/>
    </row>
    <row r="17" spans="1:10" ht="15.75" x14ac:dyDescent="0.3">
      <c r="A17" s="58">
        <v>10</v>
      </c>
      <c r="B17" s="4" t="s">
        <v>12</v>
      </c>
      <c r="C17" s="39" t="s">
        <v>118</v>
      </c>
      <c r="D17" s="40" t="s">
        <v>118</v>
      </c>
      <c r="E17" s="27"/>
    </row>
    <row r="18" spans="1:10" x14ac:dyDescent="0.25">
      <c r="A18" s="248" t="s">
        <v>104</v>
      </c>
      <c r="B18" s="249"/>
      <c r="C18" s="249"/>
      <c r="D18" s="249"/>
      <c r="E18" s="250"/>
    </row>
    <row r="19" spans="1:10" ht="15.75" thickBot="1" x14ac:dyDescent="0.3">
      <c r="A19" s="251"/>
      <c r="B19" s="252"/>
      <c r="C19" s="252"/>
      <c r="D19" s="252"/>
      <c r="E19" s="253"/>
    </row>
    <row r="20" spans="1:10" ht="15.75" x14ac:dyDescent="0.25">
      <c r="A20" s="11" t="s">
        <v>1</v>
      </c>
      <c r="B20" s="275" t="s">
        <v>31</v>
      </c>
      <c r="C20" s="56" t="s">
        <v>34</v>
      </c>
      <c r="D20" s="41" t="s">
        <v>33</v>
      </c>
      <c r="E20" s="277" t="s">
        <v>13</v>
      </c>
    </row>
    <row r="21" spans="1:10" ht="16.5" thickBot="1" x14ac:dyDescent="0.3">
      <c r="A21" s="93" t="s">
        <v>2</v>
      </c>
      <c r="B21" s="276"/>
      <c r="C21" s="94" t="s">
        <v>35</v>
      </c>
      <c r="D21" s="95" t="s">
        <v>3</v>
      </c>
      <c r="E21" s="278"/>
    </row>
    <row r="22" spans="1:10" ht="15.75" x14ac:dyDescent="0.25">
      <c r="A22" s="160">
        <v>1</v>
      </c>
      <c r="B22" s="161" t="s">
        <v>180</v>
      </c>
      <c r="C22" s="162">
        <v>7</v>
      </c>
      <c r="D22" s="191">
        <v>12</v>
      </c>
      <c r="E22" s="26"/>
    </row>
    <row r="23" spans="1:10" ht="15.75" x14ac:dyDescent="0.25">
      <c r="A23" s="163">
        <v>2</v>
      </c>
      <c r="B23" s="161" t="s">
        <v>188</v>
      </c>
      <c r="C23" s="165">
        <v>77</v>
      </c>
      <c r="D23" s="192">
        <v>130</v>
      </c>
      <c r="E23" s="27"/>
    </row>
    <row r="24" spans="1:10" ht="19.5" x14ac:dyDescent="0.25">
      <c r="A24" s="163"/>
      <c r="B24" s="164"/>
      <c r="C24" s="166"/>
      <c r="D24" s="193"/>
      <c r="E24" s="27"/>
      <c r="H24" s="222"/>
    </row>
    <row r="25" spans="1:10" ht="19.5" x14ac:dyDescent="0.25">
      <c r="A25" s="155"/>
      <c r="B25" s="156"/>
      <c r="C25" s="157"/>
      <c r="D25" s="158"/>
      <c r="E25" s="31"/>
      <c r="H25" s="222"/>
    </row>
    <row r="26" spans="1:10" ht="16.5" thickBot="1" x14ac:dyDescent="0.3">
      <c r="A26" s="37">
        <v>3</v>
      </c>
      <c r="B26" s="99" t="s">
        <v>29</v>
      </c>
      <c r="C26" s="80">
        <f>SUM(C22:C25)</f>
        <v>84</v>
      </c>
      <c r="D26" s="100">
        <f>SUM(D22:D25)</f>
        <v>142</v>
      </c>
      <c r="E26" s="38"/>
      <c r="H26" s="181"/>
    </row>
    <row r="27" spans="1:10" ht="19.5" x14ac:dyDescent="0.25">
      <c r="A27" s="279" t="s">
        <v>105</v>
      </c>
      <c r="B27" s="280"/>
      <c r="C27" s="280"/>
      <c r="D27" s="280"/>
      <c r="E27" s="281"/>
      <c r="H27" s="222"/>
      <c r="I27" s="222"/>
    </row>
    <row r="28" spans="1:10" ht="20.25" thickBot="1" x14ac:dyDescent="0.3">
      <c r="A28" s="251"/>
      <c r="B28" s="252"/>
      <c r="C28" s="252"/>
      <c r="D28" s="252"/>
      <c r="E28" s="253"/>
      <c r="H28" s="181"/>
      <c r="I28" s="222"/>
      <c r="J28" s="222"/>
    </row>
    <row r="29" spans="1:10" ht="19.5" x14ac:dyDescent="0.25">
      <c r="A29" s="2" t="s">
        <v>1</v>
      </c>
      <c r="B29" s="254" t="s">
        <v>5</v>
      </c>
      <c r="C29" s="18" t="s">
        <v>3</v>
      </c>
      <c r="D29" s="18" t="s">
        <v>4</v>
      </c>
      <c r="E29" s="256" t="s">
        <v>13</v>
      </c>
      <c r="H29" s="222"/>
      <c r="I29" s="181"/>
    </row>
    <row r="30" spans="1:10" ht="20.25" thickBot="1" x14ac:dyDescent="0.3">
      <c r="A30" s="15" t="s">
        <v>2</v>
      </c>
      <c r="B30" s="282"/>
      <c r="C30" s="19" t="s">
        <v>40</v>
      </c>
      <c r="D30" s="19" t="s">
        <v>40</v>
      </c>
      <c r="E30" s="323"/>
      <c r="G30" s="222"/>
      <c r="H30" s="222"/>
    </row>
    <row r="31" spans="1:10" ht="19.5" x14ac:dyDescent="0.4">
      <c r="A31" s="128">
        <v>1</v>
      </c>
      <c r="B31" s="135" t="s">
        <v>14</v>
      </c>
      <c r="C31" s="130">
        <v>22.05</v>
      </c>
      <c r="D31" s="146">
        <v>245.35</v>
      </c>
      <c r="E31" s="27"/>
      <c r="G31" s="222"/>
      <c r="H31" s="223"/>
    </row>
    <row r="32" spans="1:10" ht="20.25" thickBot="1" x14ac:dyDescent="0.45">
      <c r="A32" s="129">
        <v>2</v>
      </c>
      <c r="B32" s="136" t="s">
        <v>99</v>
      </c>
      <c r="C32" s="132">
        <v>1.55</v>
      </c>
      <c r="D32" s="145">
        <v>66.25</v>
      </c>
      <c r="E32" s="31"/>
      <c r="H32" s="223"/>
    </row>
    <row r="33" spans="1:8" ht="30.75" thickBot="1" x14ac:dyDescent="0.35">
      <c r="A33" s="201">
        <v>3</v>
      </c>
      <c r="B33" s="202" t="s">
        <v>15</v>
      </c>
      <c r="C33" s="174">
        <v>1.55</v>
      </c>
      <c r="D33" s="203">
        <v>17.25</v>
      </c>
      <c r="E33" s="198" t="s">
        <v>231</v>
      </c>
      <c r="H33" s="223"/>
    </row>
    <row r="34" spans="1:8" ht="16.5" x14ac:dyDescent="0.3">
      <c r="A34" s="35">
        <v>4</v>
      </c>
      <c r="B34" s="53" t="s">
        <v>16</v>
      </c>
      <c r="C34" s="199" t="s">
        <v>64</v>
      </c>
      <c r="D34" s="200" t="s">
        <v>63</v>
      </c>
      <c r="E34" s="115"/>
      <c r="H34" s="223"/>
    </row>
    <row r="35" spans="1:8" ht="16.5" x14ac:dyDescent="0.3">
      <c r="A35" s="32">
        <v>5</v>
      </c>
      <c r="B35" s="54" t="s">
        <v>17</v>
      </c>
      <c r="C35" s="124" t="s">
        <v>64</v>
      </c>
      <c r="D35" s="123">
        <v>22.05</v>
      </c>
      <c r="E35" s="177"/>
      <c r="H35" s="181"/>
    </row>
    <row r="36" spans="1:8" ht="16.5" x14ac:dyDescent="0.3">
      <c r="A36" s="32">
        <v>6</v>
      </c>
      <c r="B36" s="54" t="s">
        <v>18</v>
      </c>
      <c r="C36" s="122" t="s">
        <v>64</v>
      </c>
      <c r="D36" s="123" t="s">
        <v>64</v>
      </c>
      <c r="E36" s="115"/>
    </row>
    <row r="37" spans="1:8" ht="16.5" x14ac:dyDescent="0.3">
      <c r="A37" s="32">
        <v>7</v>
      </c>
      <c r="B37" s="54" t="s">
        <v>19</v>
      </c>
      <c r="C37" s="124" t="s">
        <v>64</v>
      </c>
      <c r="D37" s="123">
        <v>15.15</v>
      </c>
      <c r="E37" s="177"/>
    </row>
    <row r="38" spans="1:8" ht="16.5" x14ac:dyDescent="0.3">
      <c r="A38" s="32">
        <v>8</v>
      </c>
      <c r="B38" s="54" t="s">
        <v>20</v>
      </c>
      <c r="C38" s="124" t="s">
        <v>64</v>
      </c>
      <c r="D38" s="123">
        <v>2.4</v>
      </c>
      <c r="E38" s="178"/>
    </row>
    <row r="39" spans="1:8" ht="16.5" x14ac:dyDescent="0.3">
      <c r="A39" s="32">
        <v>9</v>
      </c>
      <c r="B39" s="54" t="s">
        <v>21</v>
      </c>
      <c r="C39" s="122" t="s">
        <v>64</v>
      </c>
      <c r="D39" s="123" t="s">
        <v>116</v>
      </c>
      <c r="E39" s="115"/>
    </row>
    <row r="40" spans="1:8" ht="17.25" thickBot="1" x14ac:dyDescent="0.35">
      <c r="A40" s="37">
        <v>10</v>
      </c>
      <c r="B40" s="55" t="s">
        <v>22</v>
      </c>
      <c r="C40" s="126" t="s">
        <v>116</v>
      </c>
      <c r="D40" s="139">
        <v>9</v>
      </c>
      <c r="E40" s="108"/>
    </row>
    <row r="41" spans="1:8" x14ac:dyDescent="0.25">
      <c r="A41" s="262" t="s">
        <v>77</v>
      </c>
      <c r="B41" s="263"/>
      <c r="C41" s="263"/>
      <c r="D41" s="263"/>
      <c r="E41" s="264"/>
    </row>
    <row r="42" spans="1:8" ht="15.75" thickBot="1" x14ac:dyDescent="0.3">
      <c r="A42" s="265"/>
      <c r="B42" s="266"/>
      <c r="C42" s="266"/>
      <c r="D42" s="266"/>
      <c r="E42" s="267"/>
    </row>
    <row r="43" spans="1:8" ht="15.75" x14ac:dyDescent="0.25">
      <c r="A43" s="9" t="s">
        <v>1</v>
      </c>
      <c r="B43" s="268" t="s">
        <v>27</v>
      </c>
      <c r="C43" s="270" t="s">
        <v>3</v>
      </c>
      <c r="D43" s="270" t="s">
        <v>4</v>
      </c>
      <c r="E43" s="272" t="s">
        <v>28</v>
      </c>
    </row>
    <row r="44" spans="1:8" ht="16.5" thickBot="1" x14ac:dyDescent="0.3">
      <c r="A44" s="17" t="s">
        <v>2</v>
      </c>
      <c r="B44" s="269"/>
      <c r="C44" s="271"/>
      <c r="D44" s="271"/>
      <c r="E44" s="273"/>
    </row>
    <row r="45" spans="1:8" x14ac:dyDescent="0.25">
      <c r="A45" s="35">
        <v>1</v>
      </c>
      <c r="B45" s="53" t="s">
        <v>58</v>
      </c>
      <c r="C45" s="47" t="s">
        <v>57</v>
      </c>
      <c r="D45" s="49" t="s">
        <v>57</v>
      </c>
      <c r="E45" s="26"/>
    </row>
    <row r="46" spans="1:8" x14ac:dyDescent="0.25">
      <c r="A46" s="32">
        <v>2</v>
      </c>
      <c r="B46" s="54" t="s">
        <v>59</v>
      </c>
      <c r="C46" s="48">
        <v>158</v>
      </c>
      <c r="D46" s="48">
        <v>1848</v>
      </c>
      <c r="E46" s="27"/>
    </row>
    <row r="47" spans="1:8" x14ac:dyDescent="0.25">
      <c r="A47" s="32">
        <v>3</v>
      </c>
      <c r="B47" s="54" t="s">
        <v>60</v>
      </c>
      <c r="C47" s="48">
        <v>158</v>
      </c>
      <c r="D47" s="48">
        <v>1848</v>
      </c>
      <c r="E47" s="27"/>
    </row>
    <row r="48" spans="1:8" ht="19.5" thickBot="1" x14ac:dyDescent="0.45">
      <c r="A48" s="28" t="s">
        <v>78</v>
      </c>
      <c r="E48" s="24"/>
    </row>
    <row r="49" spans="1:10" ht="15.75" x14ac:dyDescent="0.25">
      <c r="A49" s="9" t="s">
        <v>1</v>
      </c>
      <c r="B49" s="254" t="s">
        <v>5</v>
      </c>
      <c r="C49" s="270" t="s">
        <v>3</v>
      </c>
      <c r="D49" s="256" t="s">
        <v>4</v>
      </c>
      <c r="E49" s="183" t="s">
        <v>61</v>
      </c>
    </row>
    <row r="50" spans="1:10" ht="15.75" x14ac:dyDescent="0.25">
      <c r="A50" s="1" t="s">
        <v>2</v>
      </c>
      <c r="B50" s="255"/>
      <c r="C50" s="274"/>
      <c r="D50" s="257"/>
      <c r="E50" s="184" t="s">
        <v>42</v>
      </c>
    </row>
    <row r="51" spans="1:10" ht="15.75" x14ac:dyDescent="0.25">
      <c r="A51" s="29">
        <v>1</v>
      </c>
      <c r="B51" s="20" t="s">
        <v>43</v>
      </c>
      <c r="C51" s="50">
        <v>15.12</v>
      </c>
      <c r="D51" s="50">
        <v>153.56</v>
      </c>
      <c r="E51" s="185">
        <v>9.3919999999999995</v>
      </c>
    </row>
    <row r="52" spans="1:10" ht="13.5" customHeight="1" x14ac:dyDescent="0.25">
      <c r="A52" s="248" t="s">
        <v>73</v>
      </c>
      <c r="B52" s="249"/>
      <c r="C52" s="249"/>
      <c r="D52" s="249"/>
      <c r="E52" s="250"/>
    </row>
    <row r="53" spans="1:10" ht="11.25" customHeight="1" thickBot="1" x14ac:dyDescent="0.3">
      <c r="A53" s="251"/>
      <c r="B53" s="252"/>
      <c r="C53" s="252"/>
      <c r="D53" s="252"/>
      <c r="E53" s="253"/>
    </row>
    <row r="54" spans="1:10" ht="15.75" x14ac:dyDescent="0.25">
      <c r="A54" s="2" t="s">
        <v>1</v>
      </c>
      <c r="B54" s="254" t="s">
        <v>5</v>
      </c>
      <c r="C54" s="18" t="s">
        <v>3</v>
      </c>
      <c r="D54" s="18" t="s">
        <v>4</v>
      </c>
      <c r="E54" s="256" t="s">
        <v>13</v>
      </c>
      <c r="H54" s="180"/>
    </row>
    <row r="55" spans="1:10" ht="15.75" x14ac:dyDescent="0.25">
      <c r="A55" s="21" t="s">
        <v>2</v>
      </c>
      <c r="B55" s="255"/>
      <c r="C55" s="22" t="s">
        <v>46</v>
      </c>
      <c r="D55" s="22" t="s">
        <v>46</v>
      </c>
      <c r="E55" s="257"/>
      <c r="H55" s="180"/>
    </row>
    <row r="56" spans="1:10" ht="15.75" x14ac:dyDescent="0.25">
      <c r="A56" s="32">
        <v>1</v>
      </c>
      <c r="B56" s="54" t="s">
        <v>232</v>
      </c>
      <c r="C56" s="76">
        <v>37755</v>
      </c>
      <c r="D56" s="76">
        <v>429196</v>
      </c>
      <c r="E56" s="75" t="s">
        <v>114</v>
      </c>
      <c r="H56" s="181"/>
    </row>
    <row r="57" spans="1:10" ht="15.75" x14ac:dyDescent="0.25">
      <c r="A57" s="32">
        <v>2</v>
      </c>
      <c r="B57" s="54" t="s">
        <v>47</v>
      </c>
      <c r="C57" s="179">
        <v>265.88</v>
      </c>
      <c r="D57" s="76">
        <v>258.08999999999997</v>
      </c>
      <c r="E57" s="27"/>
    </row>
    <row r="58" spans="1:10" ht="20.25" thickBot="1" x14ac:dyDescent="0.45">
      <c r="A58" s="25" t="s">
        <v>48</v>
      </c>
      <c r="B58" s="36"/>
      <c r="E58" s="24"/>
      <c r="G58" s="195"/>
      <c r="H58" s="180"/>
    </row>
    <row r="59" spans="1:10" ht="15.75" x14ac:dyDescent="0.25">
      <c r="A59" s="196" t="s">
        <v>1</v>
      </c>
      <c r="B59" s="258" t="s">
        <v>5</v>
      </c>
      <c r="C59" s="258" t="s">
        <v>3</v>
      </c>
      <c r="D59" s="258" t="s">
        <v>4</v>
      </c>
      <c r="E59" s="260" t="s">
        <v>13</v>
      </c>
      <c r="G59" s="180"/>
      <c r="H59" s="195"/>
      <c r="J59" s="187"/>
    </row>
    <row r="60" spans="1:10" ht="15.75" x14ac:dyDescent="0.25">
      <c r="A60" s="197" t="s">
        <v>2</v>
      </c>
      <c r="B60" s="259"/>
      <c r="C60" s="259"/>
      <c r="D60" s="259"/>
      <c r="E60" s="261"/>
      <c r="G60" s="180"/>
      <c r="H60" s="187"/>
      <c r="J60" s="187"/>
    </row>
    <row r="61" spans="1:10" ht="15.75" x14ac:dyDescent="0.25">
      <c r="A61" s="32">
        <v>1</v>
      </c>
      <c r="B61" s="3" t="s">
        <v>49</v>
      </c>
      <c r="C61" s="76">
        <v>205</v>
      </c>
      <c r="D61" s="76">
        <v>2462</v>
      </c>
      <c r="E61" s="27"/>
      <c r="G61" s="180"/>
      <c r="H61" s="180"/>
      <c r="I61" s="180"/>
      <c r="J61" s="187"/>
    </row>
    <row r="62" spans="1:10" ht="15.75" x14ac:dyDescent="0.25">
      <c r="A62" s="32">
        <v>2</v>
      </c>
      <c r="B62" s="3" t="s">
        <v>52</v>
      </c>
      <c r="C62" s="89">
        <v>1.444</v>
      </c>
      <c r="D62" s="89">
        <f>+D61/D8</f>
        <v>1.4804570054119062</v>
      </c>
      <c r="E62" s="27"/>
      <c r="G62" s="180"/>
      <c r="H62" s="180"/>
      <c r="I62" s="180"/>
      <c r="J62" s="187"/>
    </row>
    <row r="63" spans="1:10" ht="15.75" x14ac:dyDescent="0.25">
      <c r="A63" s="32">
        <v>3</v>
      </c>
      <c r="B63" s="3" t="s">
        <v>50</v>
      </c>
      <c r="C63" s="76">
        <v>94</v>
      </c>
      <c r="D63" s="76">
        <v>776</v>
      </c>
      <c r="E63" s="27"/>
      <c r="G63" s="204"/>
      <c r="H63" s="187"/>
      <c r="I63" s="180"/>
      <c r="J63" s="187"/>
    </row>
    <row r="64" spans="1:10" ht="15.75" x14ac:dyDescent="0.25">
      <c r="A64" s="32">
        <v>4</v>
      </c>
      <c r="B64" s="3" t="s">
        <v>53</v>
      </c>
      <c r="C64" s="76">
        <v>0.66200000000000003</v>
      </c>
      <c r="D64" s="89">
        <f>+D63/D8</f>
        <v>0.46662657847263983</v>
      </c>
      <c r="E64" s="27"/>
      <c r="G64" s="187"/>
      <c r="H64" s="195"/>
      <c r="I64" s="180"/>
      <c r="J64" s="187"/>
    </row>
    <row r="65" spans="1:10" ht="15.75" x14ac:dyDescent="0.25">
      <c r="A65" s="32">
        <v>5</v>
      </c>
      <c r="B65" s="3" t="s">
        <v>51</v>
      </c>
      <c r="C65" s="152">
        <v>27.7</v>
      </c>
      <c r="D65" s="152">
        <v>514</v>
      </c>
      <c r="E65" s="27"/>
      <c r="G65" s="180"/>
      <c r="H65" s="195"/>
      <c r="I65" s="180"/>
      <c r="J65" s="187"/>
    </row>
    <row r="66" spans="1:10" ht="15.75" x14ac:dyDescent="0.25">
      <c r="A66" s="32">
        <v>6</v>
      </c>
      <c r="B66" s="3" t="s">
        <v>54</v>
      </c>
      <c r="C66" s="89">
        <v>0.19500000000000001</v>
      </c>
      <c r="D66" s="89">
        <f>+D65/D8</f>
        <v>0.30907997594708359</v>
      </c>
      <c r="E66" s="27"/>
      <c r="G66" s="195"/>
      <c r="H66" s="187"/>
      <c r="I66" s="180"/>
      <c r="J66" s="187"/>
    </row>
    <row r="67" spans="1:10" ht="15.75" x14ac:dyDescent="0.25">
      <c r="A67" s="32">
        <v>7</v>
      </c>
      <c r="B67" s="3" t="s">
        <v>55</v>
      </c>
      <c r="C67" s="89">
        <v>40.334000000000003</v>
      </c>
      <c r="D67" s="89">
        <v>507.64100000000002</v>
      </c>
      <c r="E67" s="27"/>
    </row>
    <row r="68" spans="1:10" ht="15.75" x14ac:dyDescent="0.25">
      <c r="A68" s="32">
        <v>8</v>
      </c>
      <c r="B68" s="3" t="s">
        <v>56</v>
      </c>
      <c r="C68" s="89">
        <v>0.28399999999999997</v>
      </c>
      <c r="D68" s="89">
        <f>+D67/D8</f>
        <v>0.30525616355983165</v>
      </c>
      <c r="E68" s="27"/>
    </row>
    <row r="69" spans="1:10" ht="17.25" x14ac:dyDescent="0.25">
      <c r="A69" s="32">
        <v>9</v>
      </c>
      <c r="B69" s="3" t="s">
        <v>214</v>
      </c>
      <c r="C69" s="89">
        <v>214</v>
      </c>
      <c r="D69" s="89">
        <v>2702</v>
      </c>
      <c r="E69" s="27"/>
    </row>
    <row r="70" spans="1:10" ht="18" thickBot="1" x14ac:dyDescent="0.3">
      <c r="A70" s="37">
        <v>10</v>
      </c>
      <c r="B70" s="52" t="s">
        <v>215</v>
      </c>
      <c r="C70" s="159">
        <v>1.5069999999999999</v>
      </c>
      <c r="D70" s="159">
        <f>D69/D8</f>
        <v>1.624774503908599</v>
      </c>
      <c r="E70" s="38"/>
    </row>
    <row r="71" spans="1:10" ht="15.75" x14ac:dyDescent="0.25">
      <c r="H71" s="186"/>
      <c r="I71" s="180"/>
    </row>
    <row r="72" spans="1:10" ht="15.75" x14ac:dyDescent="0.25">
      <c r="I72" s="180"/>
    </row>
  </sheetData>
  <mergeCells count="29">
    <mergeCell ref="A52:E53"/>
    <mergeCell ref="B54:B55"/>
    <mergeCell ref="E54:E55"/>
    <mergeCell ref="B59:B60"/>
    <mergeCell ref="C59:C60"/>
    <mergeCell ref="D59:D60"/>
    <mergeCell ref="E59:E60"/>
    <mergeCell ref="B49:B50"/>
    <mergeCell ref="C49:C50"/>
    <mergeCell ref="D49:D50"/>
    <mergeCell ref="A18:E19"/>
    <mergeCell ref="B20:B21"/>
    <mergeCell ref="E20:E21"/>
    <mergeCell ref="A27:E28"/>
    <mergeCell ref="B29:B30"/>
    <mergeCell ref="E29:E30"/>
    <mergeCell ref="A41:E42"/>
    <mergeCell ref="B43:B44"/>
    <mergeCell ref="C43:C44"/>
    <mergeCell ref="D43:D44"/>
    <mergeCell ref="E43:E44"/>
    <mergeCell ref="A1:E1"/>
    <mergeCell ref="A2:E2"/>
    <mergeCell ref="A3:E3"/>
    <mergeCell ref="A4:E5"/>
    <mergeCell ref="B6:B7"/>
    <mergeCell ref="C6:C7"/>
    <mergeCell ref="D6:D7"/>
    <mergeCell ref="E6:E7"/>
  </mergeCells>
  <pageMargins left="1.1200000000000001" right="0.15748031496062992" top="0.15748031496062992" bottom="0.19685039370078741" header="0.11811023622047245" footer="0.15748031496062992"/>
  <pageSetup scale="6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72"/>
  <sheetViews>
    <sheetView topLeftCell="A32" workbookViewId="0">
      <selection activeCell="J23" sqref="J23"/>
    </sheetView>
  </sheetViews>
  <sheetFormatPr defaultRowHeight="15" x14ac:dyDescent="0.25"/>
  <cols>
    <col min="1" max="1" width="5.42578125" customWidth="1"/>
    <col min="2" max="2" width="35" customWidth="1"/>
    <col min="3" max="3" width="10.140625" customWidth="1"/>
    <col min="4" max="4" width="17.7109375" customWidth="1"/>
    <col min="5" max="5" width="56.5703125" bestFit="1" customWidth="1"/>
    <col min="8" max="8" width="12.7109375" customWidth="1"/>
    <col min="10" max="10" width="11.42578125" bestFit="1" customWidth="1"/>
  </cols>
  <sheetData>
    <row r="1" spans="1:8" ht="23.25" thickBot="1" x14ac:dyDescent="0.5">
      <c r="A1" s="284" t="s">
        <v>233</v>
      </c>
      <c r="B1" s="285"/>
      <c r="C1" s="285"/>
      <c r="D1" s="285"/>
      <c r="E1" s="286"/>
    </row>
    <row r="2" spans="1:8" ht="23.25" thickBot="1" x14ac:dyDescent="0.5">
      <c r="A2" s="287" t="s">
        <v>30</v>
      </c>
      <c r="B2" s="288"/>
      <c r="C2" s="288"/>
      <c r="D2" s="288"/>
      <c r="E2" s="289"/>
    </row>
    <row r="3" spans="1:8" ht="25.5" thickBot="1" x14ac:dyDescent="0.3">
      <c r="A3" s="290" t="s">
        <v>0</v>
      </c>
      <c r="B3" s="291"/>
      <c r="C3" s="291"/>
      <c r="D3" s="291"/>
      <c r="E3" s="292"/>
    </row>
    <row r="4" spans="1:8" x14ac:dyDescent="0.25">
      <c r="A4" s="293" t="s">
        <v>32</v>
      </c>
      <c r="B4" s="294"/>
      <c r="C4" s="294"/>
      <c r="D4" s="294"/>
      <c r="E4" s="295"/>
    </row>
    <row r="5" spans="1:8" ht="15.75" thickBot="1" x14ac:dyDescent="0.3">
      <c r="A5" s="296"/>
      <c r="B5" s="297"/>
      <c r="C5" s="297"/>
      <c r="D5" s="297"/>
      <c r="E5" s="298"/>
    </row>
    <row r="6" spans="1:8" ht="15.75" x14ac:dyDescent="0.25">
      <c r="A6" s="2" t="s">
        <v>1</v>
      </c>
      <c r="B6" s="254" t="s">
        <v>5</v>
      </c>
      <c r="C6" s="270" t="s">
        <v>3</v>
      </c>
      <c r="D6" s="270" t="s">
        <v>4</v>
      </c>
      <c r="E6" s="256" t="s">
        <v>13</v>
      </c>
    </row>
    <row r="7" spans="1:8" ht="16.5" thickBot="1" x14ac:dyDescent="0.3">
      <c r="A7" s="15" t="s">
        <v>2</v>
      </c>
      <c r="B7" s="282"/>
      <c r="C7" s="271"/>
      <c r="D7" s="271"/>
      <c r="E7" s="283"/>
      <c r="H7" s="206"/>
    </row>
    <row r="8" spans="1:8" ht="15.75" x14ac:dyDescent="0.25">
      <c r="A8" s="35">
        <v>1</v>
      </c>
      <c r="B8" s="16" t="s">
        <v>6</v>
      </c>
      <c r="C8" s="78" t="s">
        <v>234</v>
      </c>
      <c r="D8" s="78">
        <v>1824</v>
      </c>
      <c r="E8" s="189" t="s">
        <v>235</v>
      </c>
    </row>
    <row r="9" spans="1:8" ht="15.75" x14ac:dyDescent="0.25">
      <c r="A9" s="32">
        <v>2</v>
      </c>
      <c r="B9" s="3" t="s">
        <v>7</v>
      </c>
      <c r="C9" s="79" t="s">
        <v>68</v>
      </c>
      <c r="D9" s="79">
        <v>130.28899999999999</v>
      </c>
      <c r="E9" s="27"/>
      <c r="H9" s="186"/>
    </row>
    <row r="10" spans="1:8" ht="15.75" x14ac:dyDescent="0.25">
      <c r="A10" s="32">
        <v>3</v>
      </c>
      <c r="B10" s="3" t="s">
        <v>8</v>
      </c>
      <c r="C10" s="79" t="s">
        <v>236</v>
      </c>
      <c r="D10" s="79">
        <v>1813.71</v>
      </c>
      <c r="E10" s="190" t="s">
        <v>235</v>
      </c>
    </row>
    <row r="11" spans="1:8" ht="15.75" x14ac:dyDescent="0.25">
      <c r="A11" s="32">
        <v>4</v>
      </c>
      <c r="B11" s="3" t="s">
        <v>9</v>
      </c>
      <c r="C11" s="79"/>
      <c r="D11" s="79">
        <v>129.55099999999999</v>
      </c>
      <c r="E11" s="27"/>
    </row>
    <row r="12" spans="1:8" ht="15.75" x14ac:dyDescent="0.25">
      <c r="A12" s="32">
        <v>5</v>
      </c>
      <c r="B12" s="3" t="s">
        <v>12</v>
      </c>
      <c r="C12" s="79" t="s">
        <v>237</v>
      </c>
      <c r="D12" s="79" t="s">
        <v>230</v>
      </c>
      <c r="E12" s="27"/>
    </row>
    <row r="13" spans="1:8" ht="15.75" x14ac:dyDescent="0.3">
      <c r="A13" s="58">
        <v>6</v>
      </c>
      <c r="B13" s="5" t="s">
        <v>45</v>
      </c>
      <c r="C13" s="39"/>
      <c r="D13" s="39" t="s">
        <v>116</v>
      </c>
      <c r="E13" s="27"/>
    </row>
    <row r="14" spans="1:8" ht="15.75" x14ac:dyDescent="0.3">
      <c r="A14" s="58">
        <v>7</v>
      </c>
      <c r="B14" s="5" t="s">
        <v>44</v>
      </c>
      <c r="C14" s="39" t="s">
        <v>116</v>
      </c>
      <c r="D14" s="39" t="s">
        <v>116</v>
      </c>
      <c r="E14" s="27"/>
    </row>
    <row r="15" spans="1:8" ht="15.75" x14ac:dyDescent="0.3">
      <c r="A15" s="58">
        <v>8</v>
      </c>
      <c r="B15" s="5" t="s">
        <v>10</v>
      </c>
      <c r="C15" s="39" t="s">
        <v>116</v>
      </c>
      <c r="D15" s="39" t="s">
        <v>117</v>
      </c>
      <c r="E15" s="27"/>
    </row>
    <row r="16" spans="1:8" ht="15.75" x14ac:dyDescent="0.3">
      <c r="A16" s="58">
        <v>9</v>
      </c>
      <c r="B16" s="5" t="s">
        <v>11</v>
      </c>
      <c r="C16" s="39" t="s">
        <v>116</v>
      </c>
      <c r="D16" s="39" t="s">
        <v>117</v>
      </c>
      <c r="E16" s="27"/>
    </row>
    <row r="17" spans="1:10" ht="15.75" x14ac:dyDescent="0.3">
      <c r="A17" s="58">
        <v>10</v>
      </c>
      <c r="B17" s="4" t="s">
        <v>12</v>
      </c>
      <c r="C17" s="39" t="s">
        <v>118</v>
      </c>
      <c r="D17" s="40" t="s">
        <v>118</v>
      </c>
      <c r="E17" s="27"/>
    </row>
    <row r="18" spans="1:10" x14ac:dyDescent="0.25">
      <c r="A18" s="248" t="s">
        <v>104</v>
      </c>
      <c r="B18" s="249"/>
      <c r="C18" s="249"/>
      <c r="D18" s="249"/>
      <c r="E18" s="250"/>
    </row>
    <row r="19" spans="1:10" ht="15.75" thickBot="1" x14ac:dyDescent="0.3">
      <c r="A19" s="251"/>
      <c r="B19" s="252"/>
      <c r="C19" s="252"/>
      <c r="D19" s="252"/>
      <c r="E19" s="253"/>
    </row>
    <row r="20" spans="1:10" ht="15.75" x14ac:dyDescent="0.25">
      <c r="A20" s="11" t="s">
        <v>1</v>
      </c>
      <c r="B20" s="275" t="s">
        <v>31</v>
      </c>
      <c r="C20" s="56" t="s">
        <v>34</v>
      </c>
      <c r="D20" s="41" t="s">
        <v>33</v>
      </c>
      <c r="E20" s="277" t="s">
        <v>13</v>
      </c>
    </row>
    <row r="21" spans="1:10" ht="16.5" thickBot="1" x14ac:dyDescent="0.3">
      <c r="A21" s="93" t="s">
        <v>2</v>
      </c>
      <c r="B21" s="276"/>
      <c r="C21" s="94" t="s">
        <v>35</v>
      </c>
      <c r="D21" s="95" t="s">
        <v>3</v>
      </c>
      <c r="E21" s="278"/>
    </row>
    <row r="22" spans="1:10" ht="15.75" x14ac:dyDescent="0.25">
      <c r="A22" s="160">
        <v>1</v>
      </c>
      <c r="B22" s="161" t="s">
        <v>188</v>
      </c>
      <c r="C22" s="162">
        <v>23</v>
      </c>
      <c r="D22" s="191">
        <v>40</v>
      </c>
      <c r="E22" s="26"/>
    </row>
    <row r="23" spans="1:10" ht="15.75" x14ac:dyDescent="0.25">
      <c r="A23" s="163">
        <v>2</v>
      </c>
      <c r="B23" s="161" t="s">
        <v>180</v>
      </c>
      <c r="C23" s="165">
        <v>3</v>
      </c>
      <c r="D23" s="192">
        <v>5</v>
      </c>
      <c r="E23" s="27"/>
    </row>
    <row r="24" spans="1:10" ht="15.75" x14ac:dyDescent="0.25">
      <c r="A24" s="163">
        <v>3</v>
      </c>
      <c r="B24" s="161" t="s">
        <v>179</v>
      </c>
      <c r="C24" s="166">
        <v>3</v>
      </c>
      <c r="D24" s="193">
        <v>5</v>
      </c>
      <c r="E24" s="27"/>
    </row>
    <row r="25" spans="1:10" ht="15.75" x14ac:dyDescent="0.25">
      <c r="A25" s="163">
        <v>4</v>
      </c>
      <c r="B25" s="161" t="s">
        <v>181</v>
      </c>
      <c r="C25" s="205">
        <v>64</v>
      </c>
      <c r="D25" s="158">
        <v>111</v>
      </c>
      <c r="E25" s="31"/>
    </row>
    <row r="26" spans="1:10" ht="16.5" thickBot="1" x14ac:dyDescent="0.3">
      <c r="A26" s="37">
        <v>5</v>
      </c>
      <c r="B26" s="99" t="s">
        <v>29</v>
      </c>
      <c r="C26" s="80">
        <f>SUM(C22:C25)</f>
        <v>93</v>
      </c>
      <c r="D26" s="100">
        <f>SUM(D22:D25)</f>
        <v>161</v>
      </c>
      <c r="E26" s="38"/>
    </row>
    <row r="27" spans="1:10" x14ac:dyDescent="0.25">
      <c r="A27" s="279" t="s">
        <v>105</v>
      </c>
      <c r="B27" s="280"/>
      <c r="C27" s="280"/>
      <c r="D27" s="280"/>
      <c r="E27" s="281"/>
    </row>
    <row r="28" spans="1:10" ht="15.75" thickBot="1" x14ac:dyDescent="0.3">
      <c r="A28" s="251"/>
      <c r="B28" s="252"/>
      <c r="C28" s="252"/>
      <c r="D28" s="252"/>
      <c r="E28" s="253"/>
    </row>
    <row r="29" spans="1:10" ht="19.5" x14ac:dyDescent="0.25">
      <c r="A29" s="2" t="s">
        <v>1</v>
      </c>
      <c r="B29" s="254" t="s">
        <v>5</v>
      </c>
      <c r="C29" s="18" t="s">
        <v>3</v>
      </c>
      <c r="D29" s="18" t="s">
        <v>4</v>
      </c>
      <c r="E29" s="256" t="s">
        <v>13</v>
      </c>
      <c r="J29" s="222"/>
    </row>
    <row r="30" spans="1:10" ht="20.25" thickBot="1" x14ac:dyDescent="0.3">
      <c r="A30" s="15" t="s">
        <v>2</v>
      </c>
      <c r="B30" s="282"/>
      <c r="C30" s="19" t="s">
        <v>40</v>
      </c>
      <c r="D30" s="19" t="s">
        <v>40</v>
      </c>
      <c r="E30" s="323"/>
      <c r="G30" s="224"/>
      <c r="H30" s="222"/>
      <c r="J30" s="222"/>
    </row>
    <row r="31" spans="1:10" ht="19.5" x14ac:dyDescent="0.4">
      <c r="A31" s="128">
        <v>1</v>
      </c>
      <c r="B31" s="135" t="s">
        <v>14</v>
      </c>
      <c r="C31" s="130">
        <v>21.5</v>
      </c>
      <c r="D31" s="146">
        <v>267.25</v>
      </c>
      <c r="E31" s="27"/>
      <c r="G31" s="224"/>
      <c r="H31" s="222"/>
      <c r="J31" s="222"/>
    </row>
    <row r="32" spans="1:10" ht="20.25" thickBot="1" x14ac:dyDescent="0.45">
      <c r="A32" s="129">
        <v>2</v>
      </c>
      <c r="B32" s="136" t="s">
        <v>99</v>
      </c>
      <c r="C32" s="132">
        <v>2.1</v>
      </c>
      <c r="D32" s="145">
        <v>68.349999999999994</v>
      </c>
      <c r="E32" s="31"/>
      <c r="G32" s="225"/>
      <c r="H32" s="181"/>
      <c r="J32" s="181"/>
    </row>
    <row r="33" spans="1:8" ht="20.25" thickBot="1" x14ac:dyDescent="0.35">
      <c r="A33" s="201">
        <v>3</v>
      </c>
      <c r="B33" s="202" t="s">
        <v>15</v>
      </c>
      <c r="C33" s="174">
        <v>0.4</v>
      </c>
      <c r="D33" s="203">
        <v>18.05</v>
      </c>
      <c r="E33" s="198" t="s">
        <v>238</v>
      </c>
      <c r="G33" s="224"/>
      <c r="H33" s="222"/>
    </row>
    <row r="34" spans="1:8" ht="16.5" x14ac:dyDescent="0.3">
      <c r="A34" s="35">
        <v>4</v>
      </c>
      <c r="B34" s="53" t="s">
        <v>16</v>
      </c>
      <c r="C34" s="199" t="s">
        <v>64</v>
      </c>
      <c r="D34" s="200" t="s">
        <v>63</v>
      </c>
      <c r="E34" s="115"/>
      <c r="G34" s="224"/>
      <c r="H34" s="181"/>
    </row>
    <row r="35" spans="1:8" ht="16.5" x14ac:dyDescent="0.3">
      <c r="A35" s="32">
        <v>5</v>
      </c>
      <c r="B35" s="54" t="s">
        <v>17</v>
      </c>
      <c r="C35" s="124" t="s">
        <v>64</v>
      </c>
      <c r="D35" s="123">
        <v>22.05</v>
      </c>
      <c r="E35" s="177"/>
      <c r="G35" s="181"/>
    </row>
    <row r="36" spans="1:8" ht="16.5" x14ac:dyDescent="0.3">
      <c r="A36" s="32">
        <v>6</v>
      </c>
      <c r="B36" s="54" t="s">
        <v>18</v>
      </c>
      <c r="C36" s="122" t="s">
        <v>64</v>
      </c>
      <c r="D36" s="123" t="s">
        <v>64</v>
      </c>
      <c r="E36" s="115"/>
    </row>
    <row r="37" spans="1:8" ht="16.5" x14ac:dyDescent="0.3">
      <c r="A37" s="32">
        <v>7</v>
      </c>
      <c r="B37" s="54" t="s">
        <v>19</v>
      </c>
      <c r="C37" s="124">
        <v>1.3</v>
      </c>
      <c r="D37" s="123">
        <v>16.45</v>
      </c>
      <c r="E37" s="177" t="s">
        <v>239</v>
      </c>
    </row>
    <row r="38" spans="1:8" ht="16.5" x14ac:dyDescent="0.3">
      <c r="A38" s="32">
        <v>8</v>
      </c>
      <c r="B38" s="54" t="s">
        <v>20</v>
      </c>
      <c r="C38" s="124" t="s">
        <v>64</v>
      </c>
      <c r="D38" s="123">
        <v>2.4</v>
      </c>
      <c r="E38" s="178"/>
    </row>
    <row r="39" spans="1:8" ht="16.5" x14ac:dyDescent="0.3">
      <c r="A39" s="32">
        <v>9</v>
      </c>
      <c r="B39" s="54" t="s">
        <v>21</v>
      </c>
      <c r="C39" s="122" t="s">
        <v>64</v>
      </c>
      <c r="D39" s="123" t="s">
        <v>116</v>
      </c>
      <c r="E39" s="115"/>
    </row>
    <row r="40" spans="1:8" ht="17.25" thickBot="1" x14ac:dyDescent="0.35">
      <c r="A40" s="37">
        <v>10</v>
      </c>
      <c r="B40" s="55" t="s">
        <v>22</v>
      </c>
      <c r="C40" s="126" t="s">
        <v>116</v>
      </c>
      <c r="D40" s="139">
        <v>9</v>
      </c>
      <c r="E40" s="108"/>
    </row>
    <row r="41" spans="1:8" x14ac:dyDescent="0.25">
      <c r="A41" s="262" t="s">
        <v>77</v>
      </c>
      <c r="B41" s="263"/>
      <c r="C41" s="263"/>
      <c r="D41" s="263"/>
      <c r="E41" s="264"/>
    </row>
    <row r="42" spans="1:8" ht="15.75" thickBot="1" x14ac:dyDescent="0.3">
      <c r="A42" s="265"/>
      <c r="B42" s="266"/>
      <c r="C42" s="266"/>
      <c r="D42" s="266"/>
      <c r="E42" s="267"/>
    </row>
    <row r="43" spans="1:8" ht="15.75" x14ac:dyDescent="0.25">
      <c r="A43" s="9" t="s">
        <v>1</v>
      </c>
      <c r="B43" s="268" t="s">
        <v>27</v>
      </c>
      <c r="C43" s="270" t="s">
        <v>3</v>
      </c>
      <c r="D43" s="270" t="s">
        <v>4</v>
      </c>
      <c r="E43" s="272" t="s">
        <v>28</v>
      </c>
    </row>
    <row r="44" spans="1:8" ht="16.5" thickBot="1" x14ac:dyDescent="0.3">
      <c r="A44" s="17" t="s">
        <v>2</v>
      </c>
      <c r="B44" s="269"/>
      <c r="C44" s="271"/>
      <c r="D44" s="271"/>
      <c r="E44" s="273"/>
    </row>
    <row r="45" spans="1:8" x14ac:dyDescent="0.25">
      <c r="A45" s="35">
        <v>1</v>
      </c>
      <c r="B45" s="53" t="s">
        <v>58</v>
      </c>
      <c r="C45" s="47" t="s">
        <v>57</v>
      </c>
      <c r="D45" s="49" t="s">
        <v>57</v>
      </c>
      <c r="E45" s="26"/>
    </row>
    <row r="46" spans="1:8" x14ac:dyDescent="0.25">
      <c r="A46" s="32">
        <v>2</v>
      </c>
      <c r="B46" s="54" t="s">
        <v>59</v>
      </c>
      <c r="C46" s="48">
        <v>179</v>
      </c>
      <c r="D46" s="48">
        <v>2027</v>
      </c>
      <c r="E46" s="27"/>
    </row>
    <row r="47" spans="1:8" x14ac:dyDescent="0.25">
      <c r="A47" s="32">
        <v>3</v>
      </c>
      <c r="B47" s="54" t="s">
        <v>60</v>
      </c>
      <c r="C47" s="48">
        <v>179</v>
      </c>
      <c r="D47" s="48">
        <v>2027</v>
      </c>
      <c r="E47" s="27"/>
    </row>
    <row r="48" spans="1:8" ht="19.5" thickBot="1" x14ac:dyDescent="0.45">
      <c r="A48" s="28" t="s">
        <v>78</v>
      </c>
      <c r="E48" s="24"/>
    </row>
    <row r="49" spans="1:10" ht="15.75" x14ac:dyDescent="0.25">
      <c r="A49" s="9" t="s">
        <v>1</v>
      </c>
      <c r="B49" s="254" t="s">
        <v>5</v>
      </c>
      <c r="C49" s="270" t="s">
        <v>3</v>
      </c>
      <c r="D49" s="256" t="s">
        <v>4</v>
      </c>
      <c r="E49" s="183" t="s">
        <v>61</v>
      </c>
    </row>
    <row r="50" spans="1:10" ht="15.75" x14ac:dyDescent="0.25">
      <c r="A50" s="1" t="s">
        <v>2</v>
      </c>
      <c r="B50" s="255"/>
      <c r="C50" s="274"/>
      <c r="D50" s="257"/>
      <c r="E50" s="184" t="s">
        <v>42</v>
      </c>
    </row>
    <row r="51" spans="1:10" ht="15.75" x14ac:dyDescent="0.25">
      <c r="A51" s="29">
        <v>1</v>
      </c>
      <c r="B51" s="20" t="s">
        <v>43</v>
      </c>
      <c r="C51" s="50">
        <v>15.12</v>
      </c>
      <c r="D51" s="50">
        <v>169.08</v>
      </c>
      <c r="E51" s="185">
        <v>10.648</v>
      </c>
    </row>
    <row r="52" spans="1:10" ht="13.5" customHeight="1" x14ac:dyDescent="0.25">
      <c r="A52" s="248" t="s">
        <v>73</v>
      </c>
      <c r="B52" s="249"/>
      <c r="C52" s="249"/>
      <c r="D52" s="249"/>
      <c r="E52" s="250"/>
    </row>
    <row r="53" spans="1:10" ht="11.25" customHeight="1" thickBot="1" x14ac:dyDescent="0.3">
      <c r="A53" s="251"/>
      <c r="B53" s="252"/>
      <c r="C53" s="252"/>
      <c r="D53" s="252"/>
      <c r="E53" s="253"/>
    </row>
    <row r="54" spans="1:10" ht="15.75" x14ac:dyDescent="0.25">
      <c r="A54" s="2" t="s">
        <v>1</v>
      </c>
      <c r="B54" s="254" t="s">
        <v>5</v>
      </c>
      <c r="C54" s="18" t="s">
        <v>3</v>
      </c>
      <c r="D54" s="18" t="s">
        <v>4</v>
      </c>
      <c r="E54" s="256" t="s">
        <v>13</v>
      </c>
      <c r="H54" s="180"/>
    </row>
    <row r="55" spans="1:10" ht="15.75" x14ac:dyDescent="0.25">
      <c r="A55" s="21" t="s">
        <v>2</v>
      </c>
      <c r="B55" s="255"/>
      <c r="C55" s="22" t="s">
        <v>46</v>
      </c>
      <c r="D55" s="22" t="s">
        <v>46</v>
      </c>
      <c r="E55" s="257"/>
      <c r="H55" s="180"/>
    </row>
    <row r="56" spans="1:10" ht="15.75" x14ac:dyDescent="0.25">
      <c r="A56" s="32">
        <v>1</v>
      </c>
      <c r="B56" s="54" t="s">
        <v>240</v>
      </c>
      <c r="C56" s="76">
        <v>36062</v>
      </c>
      <c r="D56" s="76">
        <v>465258</v>
      </c>
      <c r="E56" s="75" t="s">
        <v>114</v>
      </c>
      <c r="H56" s="180"/>
    </row>
    <row r="57" spans="1:10" ht="15.75" x14ac:dyDescent="0.25">
      <c r="A57" s="32">
        <v>2</v>
      </c>
      <c r="B57" s="54" t="s">
        <v>47</v>
      </c>
      <c r="C57" s="179">
        <v>223.99</v>
      </c>
      <c r="D57" s="76">
        <v>255.08</v>
      </c>
      <c r="E57" s="27"/>
      <c r="H57" s="180"/>
    </row>
    <row r="58" spans="1:10" ht="20.25" thickBot="1" x14ac:dyDescent="0.45">
      <c r="A58" s="25" t="s">
        <v>48</v>
      </c>
      <c r="B58" s="36"/>
      <c r="E58" s="24"/>
      <c r="G58" s="195"/>
      <c r="H58" s="180"/>
      <c r="J58" s="195"/>
    </row>
    <row r="59" spans="1:10" ht="15.75" x14ac:dyDescent="0.25">
      <c r="A59" s="196" t="s">
        <v>1</v>
      </c>
      <c r="B59" s="258" t="s">
        <v>5</v>
      </c>
      <c r="C59" s="258" t="s">
        <v>3</v>
      </c>
      <c r="D59" s="258" t="s">
        <v>4</v>
      </c>
      <c r="E59" s="260" t="s">
        <v>13</v>
      </c>
      <c r="G59" s="180"/>
      <c r="H59" s="195"/>
      <c r="J59" s="195"/>
    </row>
    <row r="60" spans="1:10" ht="15.75" x14ac:dyDescent="0.25">
      <c r="A60" s="197" t="s">
        <v>2</v>
      </c>
      <c r="B60" s="259"/>
      <c r="C60" s="259"/>
      <c r="D60" s="259"/>
      <c r="E60" s="261"/>
      <c r="G60" s="180"/>
      <c r="H60" s="187"/>
      <c r="J60" s="187"/>
    </row>
    <row r="61" spans="1:10" ht="15.75" x14ac:dyDescent="0.25">
      <c r="A61" s="32">
        <v>1</v>
      </c>
      <c r="B61" s="3" t="s">
        <v>49</v>
      </c>
      <c r="C61" s="76">
        <v>216</v>
      </c>
      <c r="D61" s="76">
        <v>2678</v>
      </c>
      <c r="E61" s="27"/>
      <c r="G61" s="180"/>
      <c r="H61" s="180"/>
      <c r="I61" s="180"/>
      <c r="J61" s="187"/>
    </row>
    <row r="62" spans="1:10" ht="15.75" x14ac:dyDescent="0.25">
      <c r="A62" s="32">
        <v>2</v>
      </c>
      <c r="B62" s="3" t="s">
        <v>52</v>
      </c>
      <c r="C62" s="89">
        <v>1.3420000000000001</v>
      </c>
      <c r="D62" s="89">
        <f>+D61/D8</f>
        <v>1.4682017543859649</v>
      </c>
      <c r="E62" s="27"/>
      <c r="G62" s="180"/>
      <c r="H62" s="180"/>
      <c r="I62" s="180"/>
      <c r="J62" s="187"/>
    </row>
    <row r="63" spans="1:10" ht="15.75" x14ac:dyDescent="0.25">
      <c r="A63" s="32">
        <v>3</v>
      </c>
      <c r="B63" s="3" t="s">
        <v>50</v>
      </c>
      <c r="C63" s="76">
        <v>51</v>
      </c>
      <c r="D63" s="76">
        <v>827</v>
      </c>
      <c r="E63" s="27"/>
      <c r="G63" s="204"/>
      <c r="H63" s="187"/>
      <c r="I63" s="180"/>
      <c r="J63" s="187"/>
    </row>
    <row r="64" spans="1:10" ht="15.75" x14ac:dyDescent="0.25">
      <c r="A64" s="32">
        <v>4</v>
      </c>
      <c r="B64" s="3" t="s">
        <v>53</v>
      </c>
      <c r="C64" s="76">
        <v>0.317</v>
      </c>
      <c r="D64" s="89">
        <f>+D63/D8</f>
        <v>0.45339912280701755</v>
      </c>
      <c r="E64" s="27"/>
      <c r="G64" s="187"/>
      <c r="H64" s="180"/>
      <c r="I64" s="180"/>
      <c r="J64" s="187"/>
    </row>
    <row r="65" spans="1:10" ht="15.75" x14ac:dyDescent="0.25">
      <c r="A65" s="32">
        <v>5</v>
      </c>
      <c r="B65" s="3" t="s">
        <v>51</v>
      </c>
      <c r="C65" s="152">
        <v>46.7</v>
      </c>
      <c r="D65" s="152">
        <v>560.70000000000005</v>
      </c>
      <c r="E65" s="27"/>
      <c r="G65" s="180"/>
      <c r="H65" s="180"/>
      <c r="I65" s="180"/>
      <c r="J65" s="187"/>
    </row>
    <row r="66" spans="1:10" ht="15.75" x14ac:dyDescent="0.25">
      <c r="A66" s="32">
        <v>6</v>
      </c>
      <c r="B66" s="3" t="s">
        <v>54</v>
      </c>
      <c r="C66" s="89">
        <v>0.28999999999999998</v>
      </c>
      <c r="D66" s="89">
        <f>+D65/D8</f>
        <v>0.30740131578947372</v>
      </c>
      <c r="E66" s="27"/>
      <c r="G66" s="195"/>
      <c r="H66" s="187"/>
      <c r="I66" s="180"/>
      <c r="J66" s="187"/>
    </row>
    <row r="67" spans="1:10" ht="15.75" x14ac:dyDescent="0.25">
      <c r="A67" s="32">
        <v>7</v>
      </c>
      <c r="B67" s="3" t="s">
        <v>55</v>
      </c>
      <c r="C67" s="89">
        <v>42.811</v>
      </c>
      <c r="D67" s="89">
        <v>550.452</v>
      </c>
      <c r="E67" s="27"/>
      <c r="J67" s="187"/>
    </row>
    <row r="68" spans="1:10" ht="15.75" x14ac:dyDescent="0.25">
      <c r="A68" s="32">
        <v>8</v>
      </c>
      <c r="B68" s="3" t="s">
        <v>56</v>
      </c>
      <c r="C68" s="89">
        <v>0.26600000000000001</v>
      </c>
      <c r="D68" s="89">
        <f>+D67/D8</f>
        <v>0.30178289473684211</v>
      </c>
      <c r="E68" s="27"/>
      <c r="J68" s="186"/>
    </row>
    <row r="69" spans="1:10" ht="17.25" x14ac:dyDescent="0.25">
      <c r="A69" s="32">
        <v>9</v>
      </c>
      <c r="B69" s="3" t="s">
        <v>214</v>
      </c>
      <c r="C69" s="89">
        <v>241</v>
      </c>
      <c r="D69" s="89">
        <v>2943</v>
      </c>
      <c r="E69" s="27"/>
    </row>
    <row r="70" spans="1:10" ht="18" thickBot="1" x14ac:dyDescent="0.3">
      <c r="A70" s="37">
        <v>10</v>
      </c>
      <c r="B70" s="52" t="s">
        <v>215</v>
      </c>
      <c r="C70" s="159">
        <v>1.4970000000000001</v>
      </c>
      <c r="D70" s="159">
        <f>D69/D8</f>
        <v>1.6134868421052631</v>
      </c>
      <c r="E70" s="38"/>
    </row>
    <row r="71" spans="1:10" ht="15.75" x14ac:dyDescent="0.25">
      <c r="H71" s="186"/>
      <c r="I71" s="180"/>
    </row>
    <row r="72" spans="1:10" ht="15.75" x14ac:dyDescent="0.25">
      <c r="I72" s="180"/>
    </row>
  </sheetData>
  <mergeCells count="29">
    <mergeCell ref="A52:E53"/>
    <mergeCell ref="B54:B55"/>
    <mergeCell ref="E54:E55"/>
    <mergeCell ref="B59:B60"/>
    <mergeCell ref="C59:C60"/>
    <mergeCell ref="D59:D60"/>
    <mergeCell ref="E59:E60"/>
    <mergeCell ref="B49:B50"/>
    <mergeCell ref="C49:C50"/>
    <mergeCell ref="D49:D50"/>
    <mergeCell ref="A18:E19"/>
    <mergeCell ref="B20:B21"/>
    <mergeCell ref="E20:E21"/>
    <mergeCell ref="A27:E28"/>
    <mergeCell ref="B29:B30"/>
    <mergeCell ref="E29:E30"/>
    <mergeCell ref="A41:E42"/>
    <mergeCell ref="B43:B44"/>
    <mergeCell ref="C43:C44"/>
    <mergeCell ref="D43:D44"/>
    <mergeCell ref="E43:E44"/>
    <mergeCell ref="A1:E1"/>
    <mergeCell ref="A2:E2"/>
    <mergeCell ref="A3:E3"/>
    <mergeCell ref="A4:E5"/>
    <mergeCell ref="B6:B7"/>
    <mergeCell ref="C6:C7"/>
    <mergeCell ref="D6:D7"/>
    <mergeCell ref="E6:E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72"/>
  <sheetViews>
    <sheetView topLeftCell="A37" workbookViewId="0">
      <selection activeCell="A30" sqref="A30:E41"/>
    </sheetView>
  </sheetViews>
  <sheetFormatPr defaultRowHeight="15" x14ac:dyDescent="0.25"/>
  <cols>
    <col min="1" max="1" width="5.42578125" customWidth="1"/>
    <col min="2" max="2" width="35" customWidth="1"/>
    <col min="3" max="3" width="10.140625" customWidth="1"/>
    <col min="4" max="4" width="17.7109375" customWidth="1"/>
    <col min="5" max="5" width="52.42578125" customWidth="1"/>
    <col min="8" max="8" width="12.7109375" customWidth="1"/>
    <col min="10" max="10" width="11.42578125" bestFit="1" customWidth="1"/>
  </cols>
  <sheetData>
    <row r="1" spans="1:8" ht="23.25" thickBot="1" x14ac:dyDescent="0.5">
      <c r="A1" s="284" t="s">
        <v>241</v>
      </c>
      <c r="B1" s="285"/>
      <c r="C1" s="285"/>
      <c r="D1" s="285"/>
      <c r="E1" s="286"/>
    </row>
    <row r="2" spans="1:8" ht="23.25" thickBot="1" x14ac:dyDescent="0.5">
      <c r="A2" s="287" t="s">
        <v>30</v>
      </c>
      <c r="B2" s="288"/>
      <c r="C2" s="288"/>
      <c r="D2" s="288"/>
      <c r="E2" s="289"/>
    </row>
    <row r="3" spans="1:8" ht="25.5" thickBot="1" x14ac:dyDescent="0.3">
      <c r="A3" s="290" t="s">
        <v>0</v>
      </c>
      <c r="B3" s="291"/>
      <c r="C3" s="291"/>
      <c r="D3" s="291"/>
      <c r="E3" s="292"/>
    </row>
    <row r="4" spans="1:8" x14ac:dyDescent="0.25">
      <c r="A4" s="293" t="s">
        <v>32</v>
      </c>
      <c r="B4" s="294"/>
      <c r="C4" s="294"/>
      <c r="D4" s="294"/>
      <c r="E4" s="295"/>
    </row>
    <row r="5" spans="1:8" ht="15.75" thickBot="1" x14ac:dyDescent="0.3">
      <c r="A5" s="296"/>
      <c r="B5" s="297"/>
      <c r="C5" s="297"/>
      <c r="D5" s="297"/>
      <c r="E5" s="298"/>
    </row>
    <row r="6" spans="1:8" ht="15.75" x14ac:dyDescent="0.25">
      <c r="A6" s="2" t="s">
        <v>1</v>
      </c>
      <c r="B6" s="254" t="s">
        <v>5</v>
      </c>
      <c r="C6" s="270" t="s">
        <v>3</v>
      </c>
      <c r="D6" s="270" t="s">
        <v>4</v>
      </c>
      <c r="E6" s="256" t="s">
        <v>13</v>
      </c>
    </row>
    <row r="7" spans="1:8" ht="16.5" thickBot="1" x14ac:dyDescent="0.3">
      <c r="A7" s="15" t="s">
        <v>2</v>
      </c>
      <c r="B7" s="282"/>
      <c r="C7" s="271"/>
      <c r="D7" s="271"/>
      <c r="E7" s="283"/>
      <c r="H7" s="206"/>
    </row>
    <row r="8" spans="1:8" ht="15.75" x14ac:dyDescent="0.25">
      <c r="A8" s="35">
        <v>1</v>
      </c>
      <c r="B8" s="16" t="s">
        <v>6</v>
      </c>
      <c r="C8" s="78" t="s">
        <v>254</v>
      </c>
      <c r="D8" s="78">
        <v>2002</v>
      </c>
      <c r="E8" s="189" t="s">
        <v>242</v>
      </c>
      <c r="H8" s="206"/>
    </row>
    <row r="9" spans="1:8" ht="15.75" x14ac:dyDescent="0.25">
      <c r="A9" s="32">
        <v>2</v>
      </c>
      <c r="B9" s="3" t="s">
        <v>7</v>
      </c>
      <c r="C9" s="79" t="s">
        <v>68</v>
      </c>
      <c r="D9" s="79">
        <v>133.46700000000001</v>
      </c>
      <c r="E9" s="27"/>
      <c r="H9" s="186"/>
    </row>
    <row r="10" spans="1:8" ht="15.75" x14ac:dyDescent="0.25">
      <c r="A10" s="32">
        <v>3</v>
      </c>
      <c r="B10" s="3" t="s">
        <v>8</v>
      </c>
      <c r="C10" s="79" t="s">
        <v>243</v>
      </c>
      <c r="D10" s="79">
        <v>2000.81</v>
      </c>
      <c r="E10" s="190" t="s">
        <v>245</v>
      </c>
      <c r="H10" s="186"/>
    </row>
    <row r="11" spans="1:8" ht="15.75" x14ac:dyDescent="0.25">
      <c r="A11" s="32">
        <v>4</v>
      </c>
      <c r="B11" s="3" t="s">
        <v>9</v>
      </c>
      <c r="C11" s="79"/>
      <c r="D11" s="79">
        <v>129.55099999999999</v>
      </c>
      <c r="E11" s="27"/>
    </row>
    <row r="12" spans="1:8" ht="15.75" x14ac:dyDescent="0.25">
      <c r="A12" s="32">
        <v>5</v>
      </c>
      <c r="B12" s="3" t="s">
        <v>12</v>
      </c>
      <c r="C12" s="79" t="s">
        <v>244</v>
      </c>
      <c r="D12" s="79" t="s">
        <v>246</v>
      </c>
      <c r="E12" s="27"/>
    </row>
    <row r="13" spans="1:8" ht="15.75" x14ac:dyDescent="0.3">
      <c r="A13" s="58">
        <v>6</v>
      </c>
      <c r="B13" s="5" t="s">
        <v>45</v>
      </c>
      <c r="C13" s="39"/>
      <c r="D13" s="39" t="s">
        <v>116</v>
      </c>
      <c r="E13" s="27"/>
    </row>
    <row r="14" spans="1:8" ht="15.75" x14ac:dyDescent="0.3">
      <c r="A14" s="58">
        <v>7</v>
      </c>
      <c r="B14" s="5" t="s">
        <v>44</v>
      </c>
      <c r="C14" s="39" t="s">
        <v>116</v>
      </c>
      <c r="D14" s="39" t="s">
        <v>116</v>
      </c>
      <c r="E14" s="27"/>
    </row>
    <row r="15" spans="1:8" ht="15.75" x14ac:dyDescent="0.3">
      <c r="A15" s="58">
        <v>8</v>
      </c>
      <c r="B15" s="5" t="s">
        <v>10</v>
      </c>
      <c r="C15" s="39" t="s">
        <v>116</v>
      </c>
      <c r="D15" s="39" t="s">
        <v>117</v>
      </c>
      <c r="E15" s="27"/>
    </row>
    <row r="16" spans="1:8" ht="15.75" x14ac:dyDescent="0.3">
      <c r="A16" s="58">
        <v>9</v>
      </c>
      <c r="B16" s="5" t="s">
        <v>11</v>
      </c>
      <c r="C16" s="39" t="s">
        <v>116</v>
      </c>
      <c r="D16" s="39" t="s">
        <v>117</v>
      </c>
      <c r="E16" s="27"/>
    </row>
    <row r="17" spans="1:8" ht="15.75" x14ac:dyDescent="0.3">
      <c r="A17" s="58">
        <v>10</v>
      </c>
      <c r="B17" s="4" t="s">
        <v>12</v>
      </c>
      <c r="C17" s="39" t="s">
        <v>118</v>
      </c>
      <c r="D17" s="40" t="s">
        <v>118</v>
      </c>
      <c r="E17" s="27"/>
    </row>
    <row r="18" spans="1:8" x14ac:dyDescent="0.25">
      <c r="A18" s="248" t="s">
        <v>104</v>
      </c>
      <c r="B18" s="249"/>
      <c r="C18" s="249"/>
      <c r="D18" s="249"/>
      <c r="E18" s="250"/>
    </row>
    <row r="19" spans="1:8" ht="15.75" thickBot="1" x14ac:dyDescent="0.3">
      <c r="A19" s="251"/>
      <c r="B19" s="252"/>
      <c r="C19" s="252"/>
      <c r="D19" s="252"/>
      <c r="E19" s="253"/>
    </row>
    <row r="20" spans="1:8" ht="15.75" x14ac:dyDescent="0.25">
      <c r="A20" s="11" t="s">
        <v>1</v>
      </c>
      <c r="B20" s="275" t="s">
        <v>31</v>
      </c>
      <c r="C20" s="56" t="s">
        <v>34</v>
      </c>
      <c r="D20" s="41" t="s">
        <v>33</v>
      </c>
      <c r="E20" s="277" t="s">
        <v>13</v>
      </c>
    </row>
    <row r="21" spans="1:8" ht="16.5" thickBot="1" x14ac:dyDescent="0.3">
      <c r="A21" s="93" t="s">
        <v>2</v>
      </c>
      <c r="B21" s="276"/>
      <c r="C21" s="94" t="s">
        <v>35</v>
      </c>
      <c r="D21" s="95" t="s">
        <v>3</v>
      </c>
      <c r="E21" s="278"/>
    </row>
    <row r="22" spans="1:8" ht="19.5" x14ac:dyDescent="0.25">
      <c r="A22" s="160">
        <v>1</v>
      </c>
      <c r="B22" s="161" t="s">
        <v>247</v>
      </c>
      <c r="C22" s="215">
        <v>10</v>
      </c>
      <c r="D22" s="216">
        <v>17</v>
      </c>
      <c r="E22" s="26"/>
    </row>
    <row r="23" spans="1:8" ht="19.5" x14ac:dyDescent="0.25">
      <c r="A23" s="163">
        <v>2</v>
      </c>
      <c r="B23" s="161" t="s">
        <v>181</v>
      </c>
      <c r="C23" s="217">
        <v>15</v>
      </c>
      <c r="D23" s="218">
        <v>25</v>
      </c>
      <c r="E23" s="27"/>
    </row>
    <row r="24" spans="1:8" ht="19.5" x14ac:dyDescent="0.25">
      <c r="A24" s="163">
        <v>3</v>
      </c>
      <c r="B24" s="161" t="s">
        <v>248</v>
      </c>
      <c r="C24" s="219">
        <v>19</v>
      </c>
      <c r="D24" s="220">
        <v>33</v>
      </c>
      <c r="E24" s="27"/>
    </row>
    <row r="25" spans="1:8" ht="19.5" x14ac:dyDescent="0.25">
      <c r="A25" s="163">
        <v>4</v>
      </c>
      <c r="B25" s="161" t="s">
        <v>249</v>
      </c>
      <c r="C25" s="221">
        <v>19</v>
      </c>
      <c r="D25" s="218">
        <v>33</v>
      </c>
      <c r="E25" s="31"/>
    </row>
    <row r="26" spans="1:8" ht="20.25" thickBot="1" x14ac:dyDescent="0.3">
      <c r="A26" s="207">
        <v>5</v>
      </c>
      <c r="B26" s="210" t="s">
        <v>250</v>
      </c>
      <c r="C26" s="209">
        <v>41</v>
      </c>
      <c r="D26" s="214">
        <v>70</v>
      </c>
      <c r="E26" s="38"/>
      <c r="H26" s="229"/>
    </row>
    <row r="27" spans="1:8" ht="20.25" thickBot="1" x14ac:dyDescent="0.45">
      <c r="A27" s="211">
        <v>6</v>
      </c>
      <c r="B27" s="208" t="s">
        <v>251</v>
      </c>
      <c r="C27" s="212">
        <f>SUM(C22:C26)</f>
        <v>104</v>
      </c>
      <c r="D27" s="213">
        <f>SUM(D22:D26)</f>
        <v>178</v>
      </c>
      <c r="E27" s="24"/>
      <c r="H27" s="229"/>
    </row>
    <row r="28" spans="1:8" ht="19.5" x14ac:dyDescent="0.25">
      <c r="A28" s="279" t="s">
        <v>105</v>
      </c>
      <c r="B28" s="280"/>
      <c r="C28" s="280"/>
      <c r="D28" s="280"/>
      <c r="E28" s="281"/>
      <c r="H28" s="230"/>
    </row>
    <row r="29" spans="1:8" ht="20.25" thickBot="1" x14ac:dyDescent="0.3">
      <c r="A29" s="251"/>
      <c r="B29" s="252"/>
      <c r="C29" s="252"/>
      <c r="D29" s="252"/>
      <c r="E29" s="253"/>
      <c r="H29" s="229"/>
    </row>
    <row r="30" spans="1:8" ht="15.75" x14ac:dyDescent="0.25">
      <c r="A30" s="2" t="s">
        <v>1</v>
      </c>
      <c r="B30" s="254" t="s">
        <v>5</v>
      </c>
      <c r="C30" s="18" t="s">
        <v>3</v>
      </c>
      <c r="D30" s="18" t="s">
        <v>4</v>
      </c>
      <c r="E30" s="256" t="s">
        <v>13</v>
      </c>
      <c r="H30" s="186"/>
    </row>
    <row r="31" spans="1:8" ht="20.25" thickBot="1" x14ac:dyDescent="0.3">
      <c r="A31" s="15" t="s">
        <v>2</v>
      </c>
      <c r="B31" s="282"/>
      <c r="C31" s="19" t="s">
        <v>40</v>
      </c>
      <c r="D31" s="19" t="s">
        <v>40</v>
      </c>
      <c r="E31" s="283"/>
      <c r="H31" s="222"/>
    </row>
    <row r="32" spans="1:8" ht="19.5" x14ac:dyDescent="0.4">
      <c r="A32" s="128">
        <v>1</v>
      </c>
      <c r="B32" s="135" t="s">
        <v>14</v>
      </c>
      <c r="C32" s="130">
        <v>22.55</v>
      </c>
      <c r="D32" s="131">
        <v>290.2</v>
      </c>
      <c r="E32" s="227"/>
      <c r="H32" s="222"/>
    </row>
    <row r="33" spans="1:10" ht="20.25" thickBot="1" x14ac:dyDescent="0.45">
      <c r="A33" s="129">
        <v>2</v>
      </c>
      <c r="B33" s="136" t="s">
        <v>99</v>
      </c>
      <c r="C33" s="132">
        <v>1.05</v>
      </c>
      <c r="D33" s="133">
        <v>69.400000000000006</v>
      </c>
      <c r="E33" s="86"/>
      <c r="H33" s="181"/>
    </row>
    <row r="34" spans="1:10" ht="16.5" x14ac:dyDescent="0.3">
      <c r="A34" s="35">
        <v>3</v>
      </c>
      <c r="B34" s="53" t="s">
        <v>15</v>
      </c>
      <c r="C34" s="122" t="s">
        <v>64</v>
      </c>
      <c r="D34" s="226">
        <v>18.05</v>
      </c>
      <c r="E34" s="228"/>
    </row>
    <row r="35" spans="1:10" ht="16.5" x14ac:dyDescent="0.3">
      <c r="A35" s="32">
        <v>4</v>
      </c>
      <c r="B35" s="54" t="s">
        <v>16</v>
      </c>
      <c r="C35" s="122" t="s">
        <v>64</v>
      </c>
      <c r="D35" s="123" t="s">
        <v>63</v>
      </c>
      <c r="E35" s="115"/>
    </row>
    <row r="36" spans="1:10" ht="19.5" x14ac:dyDescent="0.3">
      <c r="A36" s="32">
        <v>5</v>
      </c>
      <c r="B36" s="54" t="s">
        <v>17</v>
      </c>
      <c r="C36" s="124" t="s">
        <v>64</v>
      </c>
      <c r="D36" s="123">
        <v>22.05</v>
      </c>
      <c r="E36" s="177"/>
      <c r="H36" s="222"/>
    </row>
    <row r="37" spans="1:10" ht="20.25" thickBot="1" x14ac:dyDescent="0.35">
      <c r="A37" s="32">
        <v>6</v>
      </c>
      <c r="B37" s="54" t="s">
        <v>18</v>
      </c>
      <c r="C37" s="122" t="s">
        <v>64</v>
      </c>
      <c r="D37" s="123" t="s">
        <v>64</v>
      </c>
      <c r="E37" s="115"/>
      <c r="H37" s="222"/>
    </row>
    <row r="38" spans="1:10" ht="30.75" thickBot="1" x14ac:dyDescent="0.3">
      <c r="A38" s="32">
        <v>7</v>
      </c>
      <c r="B38" s="54" t="s">
        <v>19</v>
      </c>
      <c r="C38" s="124">
        <v>1.05</v>
      </c>
      <c r="D38" s="123">
        <v>17.5</v>
      </c>
      <c r="E38" s="232" t="s">
        <v>252</v>
      </c>
      <c r="H38" s="181"/>
      <c r="J38" s="222"/>
    </row>
    <row r="39" spans="1:10" ht="16.5" x14ac:dyDescent="0.3">
      <c r="A39" s="32">
        <v>8</v>
      </c>
      <c r="B39" s="54" t="s">
        <v>20</v>
      </c>
      <c r="C39" s="124" t="s">
        <v>64</v>
      </c>
      <c r="D39" s="123">
        <v>2.4</v>
      </c>
      <c r="E39" s="178"/>
    </row>
    <row r="40" spans="1:10" ht="16.5" x14ac:dyDescent="0.3">
      <c r="A40" s="32">
        <v>9</v>
      </c>
      <c r="B40" s="54" t="s">
        <v>21</v>
      </c>
      <c r="C40" s="122" t="s">
        <v>64</v>
      </c>
      <c r="D40" s="123" t="s">
        <v>116</v>
      </c>
      <c r="E40" s="115"/>
    </row>
    <row r="41" spans="1:10" ht="17.25" thickBot="1" x14ac:dyDescent="0.35">
      <c r="A41" s="37">
        <v>10</v>
      </c>
      <c r="B41" s="55" t="s">
        <v>22</v>
      </c>
      <c r="C41" s="126" t="s">
        <v>116</v>
      </c>
      <c r="D41" s="139">
        <v>9</v>
      </c>
      <c r="E41" s="108"/>
    </row>
    <row r="42" spans="1:10" x14ac:dyDescent="0.25">
      <c r="A42" s="262" t="s">
        <v>77</v>
      </c>
      <c r="B42" s="263"/>
      <c r="C42" s="263"/>
      <c r="D42" s="263"/>
      <c r="E42" s="264"/>
    </row>
    <row r="43" spans="1:10" ht="15.75" thickBot="1" x14ac:dyDescent="0.3">
      <c r="A43" s="265"/>
      <c r="B43" s="266"/>
      <c r="C43" s="266"/>
      <c r="D43" s="266"/>
      <c r="E43" s="267"/>
    </row>
    <row r="44" spans="1:10" ht="15.75" x14ac:dyDescent="0.25">
      <c r="A44" s="9" t="s">
        <v>1</v>
      </c>
      <c r="B44" s="268" t="s">
        <v>27</v>
      </c>
      <c r="C44" s="270" t="s">
        <v>3</v>
      </c>
      <c r="D44" s="270" t="s">
        <v>4</v>
      </c>
      <c r="E44" s="272" t="s">
        <v>28</v>
      </c>
      <c r="H44" s="181"/>
    </row>
    <row r="45" spans="1:10" ht="16.5" thickBot="1" x14ac:dyDescent="0.3">
      <c r="A45" s="17" t="s">
        <v>2</v>
      </c>
      <c r="B45" s="269"/>
      <c r="C45" s="271"/>
      <c r="D45" s="271"/>
      <c r="E45" s="273"/>
    </row>
    <row r="46" spans="1:10" x14ac:dyDescent="0.25">
      <c r="A46" s="35">
        <v>1</v>
      </c>
      <c r="B46" s="53" t="s">
        <v>58</v>
      </c>
      <c r="C46" s="49">
        <v>13.6</v>
      </c>
      <c r="D46" s="49">
        <v>13.6</v>
      </c>
      <c r="E46" s="233" t="s">
        <v>255</v>
      </c>
      <c r="H46" s="231"/>
    </row>
    <row r="47" spans="1:10" x14ac:dyDescent="0.25">
      <c r="A47" s="32">
        <v>2</v>
      </c>
      <c r="B47" s="54" t="s">
        <v>59</v>
      </c>
      <c r="C47" s="48">
        <v>184.4</v>
      </c>
      <c r="D47" s="48">
        <v>2211.4</v>
      </c>
      <c r="E47" s="27"/>
      <c r="H47" s="231"/>
    </row>
    <row r="48" spans="1:10" x14ac:dyDescent="0.25">
      <c r="A48" s="32">
        <v>3</v>
      </c>
      <c r="B48" s="54" t="s">
        <v>60</v>
      </c>
      <c r="C48" s="48">
        <v>198</v>
      </c>
      <c r="D48" s="48">
        <v>2225</v>
      </c>
      <c r="E48" s="27"/>
      <c r="H48" s="186"/>
    </row>
    <row r="49" spans="1:10" ht="19.5" thickBot="1" x14ac:dyDescent="0.45">
      <c r="A49" s="28" t="s">
        <v>78</v>
      </c>
      <c r="E49" s="24"/>
    </row>
    <row r="50" spans="1:10" ht="15.75" x14ac:dyDescent="0.25">
      <c r="A50" s="9" t="s">
        <v>1</v>
      </c>
      <c r="B50" s="254" t="s">
        <v>5</v>
      </c>
      <c r="C50" s="270" t="s">
        <v>3</v>
      </c>
      <c r="D50" s="256" t="s">
        <v>4</v>
      </c>
      <c r="E50" s="183" t="s">
        <v>61</v>
      </c>
    </row>
    <row r="51" spans="1:10" ht="15.75" x14ac:dyDescent="0.25">
      <c r="A51" s="1" t="s">
        <v>2</v>
      </c>
      <c r="B51" s="255"/>
      <c r="C51" s="274"/>
      <c r="D51" s="257"/>
      <c r="E51" s="184" t="s">
        <v>42</v>
      </c>
      <c r="H51" s="182"/>
    </row>
    <row r="52" spans="1:10" ht="13.5" customHeight="1" x14ac:dyDescent="0.25">
      <c r="A52" s="29">
        <v>1</v>
      </c>
      <c r="B52" s="20" t="s">
        <v>43</v>
      </c>
      <c r="C52" s="50">
        <v>18.36</v>
      </c>
      <c r="D52" s="50">
        <v>187.44</v>
      </c>
      <c r="E52" s="185">
        <v>9.6950000000000003</v>
      </c>
      <c r="H52" s="182"/>
    </row>
    <row r="53" spans="1:10" ht="11.25" customHeight="1" x14ac:dyDescent="0.25">
      <c r="A53" s="248" t="s">
        <v>73</v>
      </c>
      <c r="B53" s="249"/>
      <c r="C53" s="249"/>
      <c r="D53" s="249"/>
      <c r="E53" s="250"/>
      <c r="H53" s="181"/>
    </row>
    <row r="54" spans="1:10" ht="15.75" thickBot="1" x14ac:dyDescent="0.3">
      <c r="A54" s="251"/>
      <c r="B54" s="252"/>
      <c r="C54" s="252"/>
      <c r="D54" s="252"/>
      <c r="E54" s="253"/>
    </row>
    <row r="55" spans="1:10" ht="15.75" x14ac:dyDescent="0.25">
      <c r="A55" s="2" t="s">
        <v>1</v>
      </c>
      <c r="B55" s="254" t="s">
        <v>5</v>
      </c>
      <c r="C55" s="18" t="s">
        <v>3</v>
      </c>
      <c r="D55" s="18" t="s">
        <v>4</v>
      </c>
      <c r="E55" s="256" t="s">
        <v>13</v>
      </c>
      <c r="I55" s="180"/>
    </row>
    <row r="56" spans="1:10" ht="15.75" x14ac:dyDescent="0.25">
      <c r="A56" s="21" t="s">
        <v>2</v>
      </c>
      <c r="B56" s="255"/>
      <c r="C56" s="22" t="s">
        <v>46</v>
      </c>
      <c r="D56" s="22" t="s">
        <v>46</v>
      </c>
      <c r="E56" s="257"/>
      <c r="I56" s="180"/>
    </row>
    <row r="57" spans="1:10" ht="15.75" x14ac:dyDescent="0.25">
      <c r="A57" s="32">
        <v>1</v>
      </c>
      <c r="B57" s="54" t="s">
        <v>253</v>
      </c>
      <c r="C57" s="76">
        <v>41019</v>
      </c>
      <c r="D57" s="76">
        <v>506277</v>
      </c>
      <c r="E57" s="75" t="s">
        <v>256</v>
      </c>
    </row>
    <row r="58" spans="1:10" ht="15.75" x14ac:dyDescent="0.25">
      <c r="A58" s="32">
        <v>2</v>
      </c>
      <c r="B58" s="54" t="s">
        <v>47</v>
      </c>
      <c r="C58" s="179">
        <v>230.44</v>
      </c>
      <c r="D58" s="179">
        <f>D57/D8</f>
        <v>252.88561438561439</v>
      </c>
      <c r="E58" s="27"/>
      <c r="G58" s="195"/>
    </row>
    <row r="59" spans="1:10" ht="20.25" thickBot="1" x14ac:dyDescent="0.45">
      <c r="A59" s="25" t="s">
        <v>48</v>
      </c>
      <c r="B59" s="36"/>
      <c r="E59" s="24"/>
      <c r="G59" s="180"/>
    </row>
    <row r="60" spans="1:10" ht="15.75" x14ac:dyDescent="0.25">
      <c r="A60" s="196" t="s">
        <v>1</v>
      </c>
      <c r="B60" s="258" t="s">
        <v>5</v>
      </c>
      <c r="C60" s="258" t="s">
        <v>3</v>
      </c>
      <c r="D60" s="258" t="s">
        <v>4</v>
      </c>
      <c r="E60" s="260" t="s">
        <v>13</v>
      </c>
      <c r="G60" s="180"/>
      <c r="H60" s="180"/>
      <c r="J60" s="195"/>
    </row>
    <row r="61" spans="1:10" ht="15.75" x14ac:dyDescent="0.25">
      <c r="A61" s="197" t="s">
        <v>2</v>
      </c>
      <c r="B61" s="259"/>
      <c r="C61" s="259"/>
      <c r="D61" s="259"/>
      <c r="E61" s="261"/>
      <c r="G61" s="180"/>
      <c r="H61" s="180"/>
      <c r="J61" s="195"/>
    </row>
    <row r="62" spans="1:10" ht="15.75" x14ac:dyDescent="0.25">
      <c r="A62" s="32">
        <v>1</v>
      </c>
      <c r="B62" s="3" t="s">
        <v>49</v>
      </c>
      <c r="C62" s="76">
        <v>237</v>
      </c>
      <c r="D62" s="76">
        <v>2915</v>
      </c>
      <c r="E62" s="27"/>
      <c r="G62" s="180"/>
      <c r="J62" s="194"/>
    </row>
    <row r="63" spans="1:10" ht="15.75" x14ac:dyDescent="0.25">
      <c r="A63" s="32">
        <v>2</v>
      </c>
      <c r="B63" s="3" t="s">
        <v>52</v>
      </c>
      <c r="C63" s="89">
        <v>1.331</v>
      </c>
      <c r="D63" s="89">
        <f>+D62/D8</f>
        <v>1.456043956043956</v>
      </c>
      <c r="E63" s="27"/>
      <c r="G63" s="204"/>
    </row>
    <row r="64" spans="1:10" ht="15.75" x14ac:dyDescent="0.25">
      <c r="A64" s="32">
        <v>3</v>
      </c>
      <c r="B64" s="3" t="s">
        <v>50</v>
      </c>
      <c r="C64" s="76">
        <v>23</v>
      </c>
      <c r="D64" s="76">
        <v>850</v>
      </c>
      <c r="E64" s="27"/>
      <c r="G64" s="187"/>
      <c r="H64" s="180"/>
      <c r="J64" s="187"/>
    </row>
    <row r="65" spans="1:10" ht="15.75" x14ac:dyDescent="0.25">
      <c r="A65" s="32">
        <v>4</v>
      </c>
      <c r="B65" s="3" t="s">
        <v>53</v>
      </c>
      <c r="C65" s="76">
        <v>0.129</v>
      </c>
      <c r="D65" s="89">
        <f>+D64/D8</f>
        <v>0.42457542457542458</v>
      </c>
      <c r="E65" s="27"/>
      <c r="G65" s="180"/>
      <c r="H65" s="180"/>
      <c r="J65" s="187"/>
    </row>
    <row r="66" spans="1:10" ht="15.75" x14ac:dyDescent="0.25">
      <c r="A66" s="32">
        <v>5</v>
      </c>
      <c r="B66" s="3" t="s">
        <v>51</v>
      </c>
      <c r="C66" s="152">
        <v>51.6</v>
      </c>
      <c r="D66" s="152">
        <v>612.30000000000007</v>
      </c>
      <c r="E66" s="27"/>
      <c r="G66" s="195"/>
      <c r="J66" s="186"/>
    </row>
    <row r="67" spans="1:10" ht="15.75" x14ac:dyDescent="0.25">
      <c r="A67" s="32">
        <v>6</v>
      </c>
      <c r="B67" s="3" t="s">
        <v>54</v>
      </c>
      <c r="C67" s="89">
        <v>0.28999999999999998</v>
      </c>
      <c r="D67" s="89">
        <f>+D66/D8</f>
        <v>0.30584415584415586</v>
      </c>
      <c r="E67" s="27"/>
      <c r="J67" s="187"/>
    </row>
    <row r="68" spans="1:10" ht="15.75" x14ac:dyDescent="0.25">
      <c r="A68" s="32">
        <v>7</v>
      </c>
      <c r="B68" s="3" t="s">
        <v>55</v>
      </c>
      <c r="C68" s="89">
        <v>42.225999999999999</v>
      </c>
      <c r="D68" s="89">
        <v>592.678</v>
      </c>
      <c r="E68" s="27"/>
      <c r="J68" s="187"/>
    </row>
    <row r="69" spans="1:10" ht="15.75" x14ac:dyDescent="0.25">
      <c r="A69" s="32">
        <v>8</v>
      </c>
      <c r="B69" s="3" t="s">
        <v>56</v>
      </c>
      <c r="C69" s="89">
        <v>0.23699999999999999</v>
      </c>
      <c r="D69" s="89">
        <f>+D68/D8</f>
        <v>0.29604295704295702</v>
      </c>
      <c r="E69" s="27"/>
      <c r="J69" s="186"/>
    </row>
    <row r="70" spans="1:10" ht="17.25" x14ac:dyDescent="0.25">
      <c r="A70" s="32">
        <v>9</v>
      </c>
      <c r="B70" s="3" t="s">
        <v>214</v>
      </c>
      <c r="C70" s="89">
        <v>251</v>
      </c>
      <c r="D70" s="89">
        <v>3194</v>
      </c>
      <c r="E70" s="27"/>
    </row>
    <row r="71" spans="1:10" ht="18" thickBot="1" x14ac:dyDescent="0.3">
      <c r="A71" s="37">
        <v>10</v>
      </c>
      <c r="B71" s="52" t="s">
        <v>215</v>
      </c>
      <c r="C71" s="159">
        <v>1.41</v>
      </c>
      <c r="D71" s="159">
        <f>D70/D8</f>
        <v>1.5954045954045954</v>
      </c>
      <c r="E71" s="38"/>
      <c r="H71" s="186"/>
      <c r="I71" s="180"/>
    </row>
    <row r="72" spans="1:10" ht="15.75" x14ac:dyDescent="0.25">
      <c r="I72" s="180"/>
    </row>
  </sheetData>
  <mergeCells count="29">
    <mergeCell ref="A53:E54"/>
    <mergeCell ref="B55:B56"/>
    <mergeCell ref="E55:E56"/>
    <mergeCell ref="B60:B61"/>
    <mergeCell ref="C60:C61"/>
    <mergeCell ref="D60:D61"/>
    <mergeCell ref="E60:E61"/>
    <mergeCell ref="B50:B51"/>
    <mergeCell ref="C50:C51"/>
    <mergeCell ref="D50:D51"/>
    <mergeCell ref="A18:E19"/>
    <mergeCell ref="B20:B21"/>
    <mergeCell ref="E20:E21"/>
    <mergeCell ref="A28:E29"/>
    <mergeCell ref="B30:B31"/>
    <mergeCell ref="E30:E31"/>
    <mergeCell ref="A42:E43"/>
    <mergeCell ref="B44:B45"/>
    <mergeCell ref="C44:C45"/>
    <mergeCell ref="D44:D45"/>
    <mergeCell ref="E44:E45"/>
    <mergeCell ref="A1:E1"/>
    <mergeCell ref="A2:E2"/>
    <mergeCell ref="A3:E3"/>
    <mergeCell ref="A4:E5"/>
    <mergeCell ref="B6:B7"/>
    <mergeCell ref="C6:C7"/>
    <mergeCell ref="D6:D7"/>
    <mergeCell ref="E6:E7"/>
  </mergeCells>
  <pageMargins left="1.36" right="7.874015748031496E-2" top="0.14000000000000001" bottom="0.15748031496062992" header="0.11811023622047245" footer="0.11811023622047245"/>
  <pageSetup scale="65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72"/>
  <sheetViews>
    <sheetView topLeftCell="A39" workbookViewId="0">
      <selection activeCell="H38" sqref="H38"/>
    </sheetView>
  </sheetViews>
  <sheetFormatPr defaultRowHeight="15" x14ac:dyDescent="0.25"/>
  <cols>
    <col min="1" max="1" width="5.42578125" customWidth="1"/>
    <col min="2" max="2" width="35" customWidth="1"/>
    <col min="3" max="3" width="10.140625" customWidth="1"/>
    <col min="4" max="4" width="17.7109375" customWidth="1"/>
    <col min="5" max="5" width="52.42578125" customWidth="1"/>
    <col min="8" max="8" width="12.7109375" customWidth="1"/>
    <col min="10" max="10" width="11.42578125" bestFit="1" customWidth="1"/>
  </cols>
  <sheetData>
    <row r="1" spans="1:8" ht="23.25" thickBot="1" x14ac:dyDescent="0.5">
      <c r="A1" s="284" t="s">
        <v>257</v>
      </c>
      <c r="B1" s="285"/>
      <c r="C1" s="285"/>
      <c r="D1" s="285"/>
      <c r="E1" s="286"/>
    </row>
    <row r="2" spans="1:8" ht="23.25" thickBot="1" x14ac:dyDescent="0.5">
      <c r="A2" s="287" t="s">
        <v>30</v>
      </c>
      <c r="B2" s="288"/>
      <c r="C2" s="288"/>
      <c r="D2" s="288"/>
      <c r="E2" s="289"/>
    </row>
    <row r="3" spans="1:8" ht="25.5" thickBot="1" x14ac:dyDescent="0.3">
      <c r="A3" s="290" t="s">
        <v>0</v>
      </c>
      <c r="B3" s="291"/>
      <c r="C3" s="291"/>
      <c r="D3" s="291"/>
      <c r="E3" s="292"/>
    </row>
    <row r="4" spans="1:8" x14ac:dyDescent="0.25">
      <c r="A4" s="293" t="s">
        <v>32</v>
      </c>
      <c r="B4" s="294"/>
      <c r="C4" s="294"/>
      <c r="D4" s="294"/>
      <c r="E4" s="295"/>
    </row>
    <row r="5" spans="1:8" ht="15.75" thickBot="1" x14ac:dyDescent="0.3">
      <c r="A5" s="296"/>
      <c r="B5" s="297"/>
      <c r="C5" s="297"/>
      <c r="D5" s="297"/>
      <c r="E5" s="298"/>
    </row>
    <row r="6" spans="1:8" ht="15.75" x14ac:dyDescent="0.25">
      <c r="A6" s="2" t="s">
        <v>1</v>
      </c>
      <c r="B6" s="254" t="s">
        <v>5</v>
      </c>
      <c r="C6" s="270" t="s">
        <v>3</v>
      </c>
      <c r="D6" s="270" t="s">
        <v>4</v>
      </c>
      <c r="E6" s="256" t="s">
        <v>13</v>
      </c>
    </row>
    <row r="7" spans="1:8" ht="16.5" thickBot="1" x14ac:dyDescent="0.3">
      <c r="A7" s="15" t="s">
        <v>2</v>
      </c>
      <c r="B7" s="282"/>
      <c r="C7" s="271"/>
      <c r="D7" s="271"/>
      <c r="E7" s="283"/>
      <c r="H7" s="206"/>
    </row>
    <row r="8" spans="1:8" ht="15.75" x14ac:dyDescent="0.25">
      <c r="A8" s="35">
        <v>1</v>
      </c>
      <c r="B8" s="16" t="s">
        <v>6</v>
      </c>
      <c r="C8" s="78" t="s">
        <v>258</v>
      </c>
      <c r="D8" s="78">
        <v>2173</v>
      </c>
      <c r="E8" s="189" t="s">
        <v>260</v>
      </c>
      <c r="H8" s="206"/>
    </row>
    <row r="9" spans="1:8" ht="15.75" x14ac:dyDescent="0.25">
      <c r="A9" s="32">
        <v>2</v>
      </c>
      <c r="B9" s="3" t="s">
        <v>7</v>
      </c>
      <c r="C9" s="79" t="s">
        <v>68</v>
      </c>
      <c r="D9" s="79">
        <v>135.81299999999999</v>
      </c>
      <c r="E9" s="27"/>
      <c r="H9" s="186"/>
    </row>
    <row r="10" spans="1:8" ht="15.75" x14ac:dyDescent="0.25">
      <c r="A10" s="32">
        <v>3</v>
      </c>
      <c r="B10" s="3" t="s">
        <v>8</v>
      </c>
      <c r="C10" s="79" t="s">
        <v>259</v>
      </c>
      <c r="D10" s="79">
        <v>2149.33</v>
      </c>
      <c r="E10" s="190" t="s">
        <v>261</v>
      </c>
      <c r="H10" s="186"/>
    </row>
    <row r="11" spans="1:8" ht="15.75" x14ac:dyDescent="0.25">
      <c r="A11" s="32">
        <v>4</v>
      </c>
      <c r="B11" s="3" t="s">
        <v>9</v>
      </c>
      <c r="C11" s="79"/>
      <c r="D11" s="79">
        <v>134.333</v>
      </c>
      <c r="E11" s="27"/>
    </row>
    <row r="12" spans="1:8" ht="15.75" x14ac:dyDescent="0.25">
      <c r="A12" s="32">
        <v>5</v>
      </c>
      <c r="B12" s="3" t="s">
        <v>12</v>
      </c>
      <c r="C12" s="79" t="s">
        <v>262</v>
      </c>
      <c r="D12" s="79" t="s">
        <v>263</v>
      </c>
      <c r="E12" s="27"/>
    </row>
    <row r="13" spans="1:8" ht="15.75" x14ac:dyDescent="0.3">
      <c r="A13" s="58">
        <v>6</v>
      </c>
      <c r="B13" s="5" t="s">
        <v>45</v>
      </c>
      <c r="C13" s="39"/>
      <c r="D13" s="39" t="s">
        <v>116</v>
      </c>
      <c r="E13" s="27"/>
    </row>
    <row r="14" spans="1:8" ht="15.75" x14ac:dyDescent="0.3">
      <c r="A14" s="58">
        <v>7</v>
      </c>
      <c r="B14" s="5" t="s">
        <v>44</v>
      </c>
      <c r="C14" s="39" t="s">
        <v>116</v>
      </c>
      <c r="D14" s="39" t="s">
        <v>116</v>
      </c>
      <c r="E14" s="27"/>
    </row>
    <row r="15" spans="1:8" ht="15.75" x14ac:dyDescent="0.3">
      <c r="A15" s="58">
        <v>8</v>
      </c>
      <c r="B15" s="5" t="s">
        <v>10</v>
      </c>
      <c r="C15" s="39" t="s">
        <v>116</v>
      </c>
      <c r="D15" s="39" t="s">
        <v>117</v>
      </c>
      <c r="E15" s="27"/>
    </row>
    <row r="16" spans="1:8" ht="15.75" x14ac:dyDescent="0.3">
      <c r="A16" s="58">
        <v>9</v>
      </c>
      <c r="B16" s="5" t="s">
        <v>11</v>
      </c>
      <c r="C16" s="39" t="s">
        <v>116</v>
      </c>
      <c r="D16" s="39" t="s">
        <v>117</v>
      </c>
      <c r="E16" s="27"/>
    </row>
    <row r="17" spans="1:10" ht="15.75" x14ac:dyDescent="0.3">
      <c r="A17" s="58">
        <v>10</v>
      </c>
      <c r="B17" s="4" t="s">
        <v>12</v>
      </c>
      <c r="C17" s="39" t="s">
        <v>118</v>
      </c>
      <c r="D17" s="40" t="s">
        <v>118</v>
      </c>
      <c r="E17" s="27"/>
    </row>
    <row r="18" spans="1:10" x14ac:dyDescent="0.25">
      <c r="A18" s="248" t="s">
        <v>104</v>
      </c>
      <c r="B18" s="249"/>
      <c r="C18" s="249"/>
      <c r="D18" s="249"/>
      <c r="E18" s="250"/>
    </row>
    <row r="19" spans="1:10" ht="15.75" thickBot="1" x14ac:dyDescent="0.3">
      <c r="A19" s="251"/>
      <c r="B19" s="252"/>
      <c r="C19" s="252"/>
      <c r="D19" s="252"/>
      <c r="E19" s="253"/>
    </row>
    <row r="20" spans="1:10" ht="15.75" x14ac:dyDescent="0.25">
      <c r="A20" s="11" t="s">
        <v>1</v>
      </c>
      <c r="B20" s="275" t="s">
        <v>31</v>
      </c>
      <c r="C20" s="56" t="s">
        <v>34</v>
      </c>
      <c r="D20" s="41" t="s">
        <v>33</v>
      </c>
      <c r="E20" s="277" t="s">
        <v>13</v>
      </c>
    </row>
    <row r="21" spans="1:10" ht="16.5" thickBot="1" x14ac:dyDescent="0.3">
      <c r="A21" s="93" t="s">
        <v>2</v>
      </c>
      <c r="B21" s="276"/>
      <c r="C21" s="94" t="s">
        <v>35</v>
      </c>
      <c r="D21" s="95" t="s">
        <v>3</v>
      </c>
      <c r="E21" s="278"/>
    </row>
    <row r="22" spans="1:10" ht="19.5" x14ac:dyDescent="0.25">
      <c r="A22" s="160">
        <v>1</v>
      </c>
      <c r="B22" s="161" t="s">
        <v>264</v>
      </c>
      <c r="C22" s="162">
        <v>18</v>
      </c>
      <c r="D22" s="216">
        <v>30.78</v>
      </c>
      <c r="E22" s="26"/>
    </row>
    <row r="23" spans="1:10" ht="19.5" x14ac:dyDescent="0.25">
      <c r="A23" s="163">
        <v>2</v>
      </c>
      <c r="B23" s="161" t="s">
        <v>250</v>
      </c>
      <c r="C23" s="165">
        <v>12</v>
      </c>
      <c r="D23" s="218">
        <v>20.52</v>
      </c>
      <c r="E23" s="27"/>
    </row>
    <row r="24" spans="1:10" ht="19.5" x14ac:dyDescent="0.25">
      <c r="A24" s="163">
        <v>3</v>
      </c>
      <c r="B24" s="161" t="s">
        <v>265</v>
      </c>
      <c r="C24" s="166">
        <v>37</v>
      </c>
      <c r="D24" s="220">
        <v>63.27</v>
      </c>
      <c r="E24" s="27"/>
    </row>
    <row r="25" spans="1:10" ht="19.5" x14ac:dyDescent="0.25">
      <c r="A25" s="163">
        <v>4</v>
      </c>
      <c r="B25" s="161" t="s">
        <v>266</v>
      </c>
      <c r="C25" s="205">
        <v>4</v>
      </c>
      <c r="D25" s="218">
        <v>6.84</v>
      </c>
      <c r="E25" s="31"/>
    </row>
    <row r="26" spans="1:10" ht="20.25" thickBot="1" x14ac:dyDescent="0.3">
      <c r="A26" s="207">
        <v>5</v>
      </c>
      <c r="B26" s="161" t="s">
        <v>267</v>
      </c>
      <c r="C26" s="234">
        <v>29</v>
      </c>
      <c r="D26" s="214">
        <v>49.59</v>
      </c>
      <c r="E26" s="38"/>
      <c r="H26" s="229"/>
    </row>
    <row r="27" spans="1:10" ht="20.25" thickBot="1" x14ac:dyDescent="0.45">
      <c r="A27" s="211">
        <v>6</v>
      </c>
      <c r="B27" s="208" t="s">
        <v>251</v>
      </c>
      <c r="C27" s="212">
        <f>SUM(C22:C26)</f>
        <v>100</v>
      </c>
      <c r="D27" s="213">
        <f>SUM(D22:D26)</f>
        <v>171</v>
      </c>
      <c r="E27" s="24"/>
      <c r="H27" s="229"/>
      <c r="J27" s="186"/>
    </row>
    <row r="28" spans="1:10" ht="19.5" x14ac:dyDescent="0.25">
      <c r="A28" s="279" t="s">
        <v>105</v>
      </c>
      <c r="B28" s="280"/>
      <c r="C28" s="280"/>
      <c r="D28" s="280"/>
      <c r="E28" s="281"/>
      <c r="H28" s="230"/>
    </row>
    <row r="29" spans="1:10" ht="20.25" thickBot="1" x14ac:dyDescent="0.3">
      <c r="A29" s="251"/>
      <c r="B29" s="252"/>
      <c r="C29" s="252"/>
      <c r="D29" s="252"/>
      <c r="E29" s="253"/>
      <c r="H29" s="229"/>
    </row>
    <row r="30" spans="1:10" ht="15.75" x14ac:dyDescent="0.25">
      <c r="A30" s="2" t="s">
        <v>1</v>
      </c>
      <c r="B30" s="254" t="s">
        <v>5</v>
      </c>
      <c r="C30" s="18" t="s">
        <v>3</v>
      </c>
      <c r="D30" s="18" t="s">
        <v>4</v>
      </c>
      <c r="E30" s="256" t="s">
        <v>13</v>
      </c>
      <c r="H30" s="186"/>
    </row>
    <row r="31" spans="1:10" ht="20.25" thickBot="1" x14ac:dyDescent="0.3">
      <c r="A31" s="15" t="s">
        <v>2</v>
      </c>
      <c r="B31" s="282"/>
      <c r="C31" s="19" t="s">
        <v>40</v>
      </c>
      <c r="D31" s="19" t="s">
        <v>40</v>
      </c>
      <c r="E31" s="283"/>
      <c r="H31" s="222"/>
    </row>
    <row r="32" spans="1:10" ht="19.5" x14ac:dyDescent="0.4">
      <c r="A32" s="128">
        <v>1</v>
      </c>
      <c r="B32" s="135" t="s">
        <v>14</v>
      </c>
      <c r="C32" s="130">
        <v>22.2</v>
      </c>
      <c r="D32" s="131">
        <v>312.39999999999998</v>
      </c>
      <c r="E32" s="227"/>
      <c r="H32" s="222"/>
      <c r="J32" s="181"/>
    </row>
    <row r="33" spans="1:10" ht="20.25" thickBot="1" x14ac:dyDescent="0.45">
      <c r="A33" s="129">
        <v>2</v>
      </c>
      <c r="B33" s="136" t="s">
        <v>99</v>
      </c>
      <c r="C33" s="132">
        <v>1.4</v>
      </c>
      <c r="D33" s="133">
        <v>71.2</v>
      </c>
      <c r="E33" s="86"/>
      <c r="H33" s="181"/>
      <c r="J33" s="181"/>
    </row>
    <row r="34" spans="1:10" ht="30.75" thickBot="1" x14ac:dyDescent="0.35">
      <c r="A34" s="35">
        <v>3</v>
      </c>
      <c r="B34" s="53" t="s">
        <v>15</v>
      </c>
      <c r="C34" s="124">
        <v>1.4</v>
      </c>
      <c r="D34" s="226">
        <v>19.45</v>
      </c>
      <c r="E34" s="198" t="s">
        <v>268</v>
      </c>
      <c r="J34" s="222"/>
    </row>
    <row r="35" spans="1:10" ht="16.5" x14ac:dyDescent="0.3">
      <c r="A35" s="32">
        <v>4</v>
      </c>
      <c r="B35" s="54" t="s">
        <v>16</v>
      </c>
      <c r="C35" s="122" t="s">
        <v>64</v>
      </c>
      <c r="D35" s="123" t="s">
        <v>63</v>
      </c>
      <c r="E35" s="115"/>
    </row>
    <row r="36" spans="1:10" ht="19.5" x14ac:dyDescent="0.3">
      <c r="A36" s="32">
        <v>5</v>
      </c>
      <c r="B36" s="54" t="s">
        <v>17</v>
      </c>
      <c r="C36" s="124" t="s">
        <v>64</v>
      </c>
      <c r="D36" s="123">
        <v>22.05</v>
      </c>
      <c r="E36" s="177"/>
      <c r="H36" s="222"/>
      <c r="J36" s="181"/>
    </row>
    <row r="37" spans="1:10" ht="19.5" x14ac:dyDescent="0.3">
      <c r="A37" s="32">
        <v>6</v>
      </c>
      <c r="B37" s="54" t="s">
        <v>18</v>
      </c>
      <c r="C37" s="122" t="s">
        <v>64</v>
      </c>
      <c r="D37" s="123" t="s">
        <v>64</v>
      </c>
      <c r="E37" s="115"/>
      <c r="H37" s="222"/>
    </row>
    <row r="38" spans="1:10" ht="19.5" x14ac:dyDescent="0.25">
      <c r="A38" s="32">
        <v>7</v>
      </c>
      <c r="B38" s="54" t="s">
        <v>19</v>
      </c>
      <c r="C38" s="124" t="s">
        <v>115</v>
      </c>
      <c r="D38" s="123">
        <v>17.5</v>
      </c>
      <c r="E38" s="235"/>
      <c r="H38" s="181"/>
      <c r="J38" s="222"/>
    </row>
    <row r="39" spans="1:10" ht="16.5" x14ac:dyDescent="0.3">
      <c r="A39" s="32">
        <v>8</v>
      </c>
      <c r="B39" s="54" t="s">
        <v>20</v>
      </c>
      <c r="C39" s="124" t="s">
        <v>64</v>
      </c>
      <c r="D39" s="123">
        <v>2.4</v>
      </c>
      <c r="E39" s="178"/>
    </row>
    <row r="40" spans="1:10" ht="16.5" x14ac:dyDescent="0.3">
      <c r="A40" s="32">
        <v>9</v>
      </c>
      <c r="B40" s="54" t="s">
        <v>21</v>
      </c>
      <c r="C40" s="122" t="s">
        <v>64</v>
      </c>
      <c r="D40" s="123" t="s">
        <v>116</v>
      </c>
      <c r="E40" s="115"/>
      <c r="G40" s="181"/>
    </row>
    <row r="41" spans="1:10" ht="17.25" thickBot="1" x14ac:dyDescent="0.35">
      <c r="A41" s="37">
        <v>10</v>
      </c>
      <c r="B41" s="55" t="s">
        <v>22</v>
      </c>
      <c r="C41" s="126" t="s">
        <v>116</v>
      </c>
      <c r="D41" s="139">
        <v>9</v>
      </c>
      <c r="E41" s="108"/>
    </row>
    <row r="42" spans="1:10" x14ac:dyDescent="0.25">
      <c r="A42" s="262" t="s">
        <v>77</v>
      </c>
      <c r="B42" s="263"/>
      <c r="C42" s="263"/>
      <c r="D42" s="263"/>
      <c r="E42" s="264"/>
      <c r="G42" s="181"/>
    </row>
    <row r="43" spans="1:10" ht="15.75" thickBot="1" x14ac:dyDescent="0.3">
      <c r="A43" s="265"/>
      <c r="B43" s="266"/>
      <c r="C43" s="266"/>
      <c r="D43" s="266"/>
      <c r="E43" s="267"/>
    </row>
    <row r="44" spans="1:10" ht="15.75" x14ac:dyDescent="0.25">
      <c r="A44" s="9" t="s">
        <v>1</v>
      </c>
      <c r="B44" s="268" t="s">
        <v>27</v>
      </c>
      <c r="C44" s="270" t="s">
        <v>3</v>
      </c>
      <c r="D44" s="270" t="s">
        <v>4</v>
      </c>
      <c r="E44" s="272" t="s">
        <v>28</v>
      </c>
      <c r="H44" s="181"/>
    </row>
    <row r="45" spans="1:10" ht="16.5" thickBot="1" x14ac:dyDescent="0.3">
      <c r="A45" s="17" t="s">
        <v>2</v>
      </c>
      <c r="B45" s="269"/>
      <c r="C45" s="271"/>
      <c r="D45" s="271"/>
      <c r="E45" s="273"/>
    </row>
    <row r="46" spans="1:10" x14ac:dyDescent="0.25">
      <c r="A46" s="35">
        <v>1</v>
      </c>
      <c r="B46" s="53" t="s">
        <v>58</v>
      </c>
      <c r="C46" s="49">
        <v>13.6</v>
      </c>
      <c r="D46" s="49">
        <v>27.2</v>
      </c>
      <c r="E46" s="233" t="s">
        <v>269</v>
      </c>
      <c r="H46" s="231"/>
    </row>
    <row r="47" spans="1:10" x14ac:dyDescent="0.25">
      <c r="A47" s="32">
        <v>2</v>
      </c>
      <c r="B47" s="54" t="s">
        <v>59</v>
      </c>
      <c r="C47" s="48">
        <v>176.4</v>
      </c>
      <c r="D47" s="48">
        <v>2387.8000000000002</v>
      </c>
      <c r="E47" s="27"/>
      <c r="H47" s="231"/>
    </row>
    <row r="48" spans="1:10" x14ac:dyDescent="0.25">
      <c r="A48" s="32">
        <v>3</v>
      </c>
      <c r="B48" s="54" t="s">
        <v>60</v>
      </c>
      <c r="C48" s="48">
        <v>190</v>
      </c>
      <c r="D48" s="48">
        <v>2415</v>
      </c>
      <c r="E48" s="27"/>
      <c r="H48" s="186"/>
    </row>
    <row r="49" spans="1:10" ht="19.5" thickBot="1" x14ac:dyDescent="0.45">
      <c r="A49" s="28" t="s">
        <v>78</v>
      </c>
      <c r="E49" s="24"/>
    </row>
    <row r="50" spans="1:10" ht="15.75" x14ac:dyDescent="0.25">
      <c r="A50" s="9" t="s">
        <v>1</v>
      </c>
      <c r="B50" s="254" t="s">
        <v>5</v>
      </c>
      <c r="C50" s="270" t="s">
        <v>3</v>
      </c>
      <c r="D50" s="256" t="s">
        <v>4</v>
      </c>
      <c r="E50" s="183" t="s">
        <v>61</v>
      </c>
    </row>
    <row r="51" spans="1:10" ht="15.75" x14ac:dyDescent="0.25">
      <c r="A51" s="1" t="s">
        <v>2</v>
      </c>
      <c r="B51" s="255"/>
      <c r="C51" s="274"/>
      <c r="D51" s="257"/>
      <c r="E51" s="184" t="s">
        <v>42</v>
      </c>
      <c r="H51" s="182"/>
    </row>
    <row r="52" spans="1:10" ht="13.5" customHeight="1" x14ac:dyDescent="0.25">
      <c r="A52" s="29">
        <v>1</v>
      </c>
      <c r="B52" s="20" t="s">
        <v>43</v>
      </c>
      <c r="C52" s="50">
        <v>18.54</v>
      </c>
      <c r="D52" s="50">
        <v>206.38</v>
      </c>
      <c r="E52" s="185">
        <v>9.2230000000000008</v>
      </c>
      <c r="H52" s="182"/>
    </row>
    <row r="53" spans="1:10" ht="11.25" customHeight="1" x14ac:dyDescent="0.25">
      <c r="A53" s="248" t="s">
        <v>73</v>
      </c>
      <c r="B53" s="249"/>
      <c r="C53" s="249"/>
      <c r="D53" s="249"/>
      <c r="E53" s="250"/>
      <c r="H53" s="181"/>
    </row>
    <row r="54" spans="1:10" ht="15.75" thickBot="1" x14ac:dyDescent="0.3">
      <c r="A54" s="251"/>
      <c r="B54" s="252"/>
      <c r="C54" s="252"/>
      <c r="D54" s="252"/>
      <c r="E54" s="253"/>
    </row>
    <row r="55" spans="1:10" ht="15.75" x14ac:dyDescent="0.25">
      <c r="A55" s="2" t="s">
        <v>1</v>
      </c>
      <c r="B55" s="254" t="s">
        <v>5</v>
      </c>
      <c r="C55" s="18" t="s">
        <v>3</v>
      </c>
      <c r="D55" s="18" t="s">
        <v>4</v>
      </c>
      <c r="E55" s="256" t="s">
        <v>13</v>
      </c>
      <c r="I55" s="180"/>
    </row>
    <row r="56" spans="1:10" ht="15.75" x14ac:dyDescent="0.25">
      <c r="A56" s="21" t="s">
        <v>2</v>
      </c>
      <c r="B56" s="255"/>
      <c r="C56" s="22" t="s">
        <v>46</v>
      </c>
      <c r="D56" s="22" t="s">
        <v>46</v>
      </c>
      <c r="E56" s="257"/>
      <c r="I56" s="180"/>
    </row>
    <row r="57" spans="1:10" ht="15.75" x14ac:dyDescent="0.25">
      <c r="A57" s="32">
        <v>1</v>
      </c>
      <c r="B57" s="54" t="s">
        <v>270</v>
      </c>
      <c r="C57" s="76">
        <v>39752</v>
      </c>
      <c r="D57" s="76">
        <v>546029</v>
      </c>
      <c r="E57" s="75" t="s">
        <v>114</v>
      </c>
    </row>
    <row r="58" spans="1:10" ht="15.75" x14ac:dyDescent="0.25">
      <c r="A58" s="32">
        <v>2</v>
      </c>
      <c r="B58" s="54" t="s">
        <v>47</v>
      </c>
      <c r="C58" s="179">
        <v>232.47</v>
      </c>
      <c r="D58" s="179">
        <f>D57/D8</f>
        <v>251.27887712839393</v>
      </c>
      <c r="E58" s="27"/>
      <c r="G58" s="195"/>
    </row>
    <row r="59" spans="1:10" ht="20.25" thickBot="1" x14ac:dyDescent="0.45">
      <c r="A59" s="25" t="s">
        <v>48</v>
      </c>
      <c r="B59" s="36"/>
      <c r="E59" s="24"/>
      <c r="G59" s="180"/>
    </row>
    <row r="60" spans="1:10" ht="15.75" x14ac:dyDescent="0.25">
      <c r="A60" s="196" t="s">
        <v>1</v>
      </c>
      <c r="B60" s="258" t="s">
        <v>5</v>
      </c>
      <c r="C60" s="258" t="s">
        <v>3</v>
      </c>
      <c r="D60" s="258" t="s">
        <v>4</v>
      </c>
      <c r="E60" s="260" t="s">
        <v>13</v>
      </c>
      <c r="G60" s="180"/>
      <c r="H60" s="180"/>
      <c r="J60" s="195"/>
    </row>
    <row r="61" spans="1:10" ht="15.75" x14ac:dyDescent="0.25">
      <c r="A61" s="197" t="s">
        <v>2</v>
      </c>
      <c r="B61" s="259"/>
      <c r="C61" s="259"/>
      <c r="D61" s="259"/>
      <c r="E61" s="261"/>
      <c r="G61" s="180"/>
      <c r="H61" s="180"/>
      <c r="J61" s="195"/>
    </row>
    <row r="62" spans="1:10" ht="15.75" x14ac:dyDescent="0.25">
      <c r="A62" s="32">
        <v>1</v>
      </c>
      <c r="B62" s="3" t="s">
        <v>49</v>
      </c>
      <c r="C62" s="76">
        <v>233</v>
      </c>
      <c r="D62" s="76">
        <v>3148</v>
      </c>
      <c r="E62" s="27"/>
      <c r="G62" s="180"/>
      <c r="J62" s="194"/>
    </row>
    <row r="63" spans="1:10" ht="15.75" x14ac:dyDescent="0.25">
      <c r="A63" s="32">
        <v>2</v>
      </c>
      <c r="B63" s="3" t="s">
        <v>52</v>
      </c>
      <c r="C63" s="89">
        <v>1.363</v>
      </c>
      <c r="D63" s="89">
        <f>+D62/D8</f>
        <v>1.4486884491486425</v>
      </c>
      <c r="E63" s="27"/>
      <c r="G63" s="204"/>
    </row>
    <row r="64" spans="1:10" ht="15.75" x14ac:dyDescent="0.25">
      <c r="A64" s="32">
        <v>3</v>
      </c>
      <c r="B64" s="3" t="s">
        <v>50</v>
      </c>
      <c r="C64" s="76">
        <v>43</v>
      </c>
      <c r="D64" s="76">
        <v>893</v>
      </c>
      <c r="E64" s="27"/>
      <c r="G64" s="187"/>
      <c r="H64" s="180"/>
      <c r="I64" s="186"/>
      <c r="J64" s="187"/>
    </row>
    <row r="65" spans="1:10" ht="15.75" x14ac:dyDescent="0.25">
      <c r="A65" s="32">
        <v>4</v>
      </c>
      <c r="B65" s="3" t="s">
        <v>53</v>
      </c>
      <c r="C65" s="76">
        <v>0.252</v>
      </c>
      <c r="D65" s="89">
        <f>+D64/D8</f>
        <v>0.41095260009203866</v>
      </c>
      <c r="E65" s="27"/>
      <c r="G65" s="180"/>
      <c r="H65" s="180"/>
      <c r="J65" s="187"/>
    </row>
    <row r="66" spans="1:10" ht="15.75" x14ac:dyDescent="0.25">
      <c r="A66" s="32">
        <v>5</v>
      </c>
      <c r="B66" s="3" t="s">
        <v>51</v>
      </c>
      <c r="C66" s="152">
        <v>52</v>
      </c>
      <c r="D66" s="152">
        <v>664.30000000000007</v>
      </c>
      <c r="E66" s="27"/>
      <c r="G66" s="195"/>
      <c r="I66" s="194"/>
      <c r="J66" s="186"/>
    </row>
    <row r="67" spans="1:10" ht="15.75" x14ac:dyDescent="0.25">
      <c r="A67" s="32">
        <v>6</v>
      </c>
      <c r="B67" s="3" t="s">
        <v>54</v>
      </c>
      <c r="C67" s="89">
        <v>0.30399999999999999</v>
      </c>
      <c r="D67" s="89">
        <f>+D66/D8</f>
        <v>0.30570639668660843</v>
      </c>
      <c r="E67" s="27"/>
      <c r="J67" s="187"/>
    </row>
    <row r="68" spans="1:10" ht="15.75" x14ac:dyDescent="0.25">
      <c r="A68" s="32">
        <v>7</v>
      </c>
      <c r="B68" s="3" t="s">
        <v>55</v>
      </c>
      <c r="C68" s="89">
        <v>48.152000000000001</v>
      </c>
      <c r="D68" s="89">
        <v>640.83000000000004</v>
      </c>
      <c r="E68" s="27"/>
      <c r="J68" s="187"/>
    </row>
    <row r="69" spans="1:10" ht="15.75" x14ac:dyDescent="0.25">
      <c r="A69" s="32">
        <v>8</v>
      </c>
      <c r="B69" s="3" t="s">
        <v>56</v>
      </c>
      <c r="C69" s="89">
        <v>0.28199999999999997</v>
      </c>
      <c r="D69" s="89">
        <f>+D68/D8</f>
        <v>0.29490566037735849</v>
      </c>
      <c r="E69" s="27"/>
      <c r="J69" s="186"/>
    </row>
    <row r="70" spans="1:10" ht="17.25" x14ac:dyDescent="0.25">
      <c r="A70" s="32">
        <v>9</v>
      </c>
      <c r="B70" s="3" t="s">
        <v>214</v>
      </c>
      <c r="C70" s="89">
        <v>267</v>
      </c>
      <c r="D70" s="89">
        <v>3461</v>
      </c>
      <c r="E70" s="27"/>
    </row>
    <row r="71" spans="1:10" ht="18" thickBot="1" x14ac:dyDescent="0.3">
      <c r="A71" s="37">
        <v>10</v>
      </c>
      <c r="B71" s="52" t="s">
        <v>215</v>
      </c>
      <c r="C71" s="159">
        <v>1.5609999999999999</v>
      </c>
      <c r="D71" s="159">
        <f>D70/D8</f>
        <v>1.5927289461573861</v>
      </c>
      <c r="E71" s="38"/>
      <c r="H71" s="186"/>
      <c r="I71" s="180"/>
    </row>
    <row r="72" spans="1:10" ht="15.75" x14ac:dyDescent="0.25">
      <c r="I72" s="180"/>
    </row>
  </sheetData>
  <mergeCells count="29">
    <mergeCell ref="A1:E1"/>
    <mergeCell ref="A2:E2"/>
    <mergeCell ref="A3:E3"/>
    <mergeCell ref="A4:E5"/>
    <mergeCell ref="B6:B7"/>
    <mergeCell ref="C6:C7"/>
    <mergeCell ref="D6:D7"/>
    <mergeCell ref="E6:E7"/>
    <mergeCell ref="B50:B51"/>
    <mergeCell ref="C50:C51"/>
    <mergeCell ref="D50:D51"/>
    <mergeCell ref="A18:E19"/>
    <mergeCell ref="B20:B21"/>
    <mergeCell ref="E20:E21"/>
    <mergeCell ref="A28:E29"/>
    <mergeCell ref="B30:B31"/>
    <mergeCell ref="E30:E31"/>
    <mergeCell ref="A42:E43"/>
    <mergeCell ref="B44:B45"/>
    <mergeCell ref="C44:C45"/>
    <mergeCell ref="D44:D45"/>
    <mergeCell ref="E44:E45"/>
    <mergeCell ref="A53:E54"/>
    <mergeCell ref="B55:B56"/>
    <mergeCell ref="E55:E56"/>
    <mergeCell ref="B60:B61"/>
    <mergeCell ref="C60:C61"/>
    <mergeCell ref="D60:D61"/>
    <mergeCell ref="E60:E61"/>
  </mergeCells>
  <pageMargins left="1.24" right="0.11811023622047245" top="0.12" bottom="0.18" header="0.08" footer="0.16"/>
  <pageSetup scale="6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72"/>
  <sheetViews>
    <sheetView topLeftCell="A43" workbookViewId="0">
      <selection activeCell="C66" sqref="C66"/>
    </sheetView>
  </sheetViews>
  <sheetFormatPr defaultRowHeight="15" x14ac:dyDescent="0.25"/>
  <cols>
    <col min="1" max="1" width="5.42578125" customWidth="1"/>
    <col min="2" max="2" width="35" customWidth="1"/>
    <col min="3" max="3" width="10.140625" customWidth="1"/>
    <col min="4" max="4" width="17.7109375" customWidth="1"/>
    <col min="5" max="5" width="52.42578125" customWidth="1"/>
    <col min="8" max="8" width="12.7109375" customWidth="1"/>
    <col min="10" max="10" width="11.42578125" bestFit="1" customWidth="1"/>
  </cols>
  <sheetData>
    <row r="1" spans="1:8" ht="23.25" thickBot="1" x14ac:dyDescent="0.5">
      <c r="A1" s="284" t="s">
        <v>271</v>
      </c>
      <c r="B1" s="285"/>
      <c r="C1" s="285"/>
      <c r="D1" s="285"/>
      <c r="E1" s="286"/>
    </row>
    <row r="2" spans="1:8" ht="23.25" thickBot="1" x14ac:dyDescent="0.5">
      <c r="A2" s="287" t="s">
        <v>30</v>
      </c>
      <c r="B2" s="288"/>
      <c r="C2" s="288"/>
      <c r="D2" s="288"/>
      <c r="E2" s="289"/>
    </row>
    <row r="3" spans="1:8" ht="25.5" thickBot="1" x14ac:dyDescent="0.3">
      <c r="A3" s="290" t="s">
        <v>0</v>
      </c>
      <c r="B3" s="291"/>
      <c r="C3" s="291"/>
      <c r="D3" s="291"/>
      <c r="E3" s="292"/>
    </row>
    <row r="4" spans="1:8" x14ac:dyDescent="0.25">
      <c r="A4" s="293" t="s">
        <v>32</v>
      </c>
      <c r="B4" s="294"/>
      <c r="C4" s="294"/>
      <c r="D4" s="294"/>
      <c r="E4" s="295"/>
    </row>
    <row r="5" spans="1:8" ht="15.75" thickBot="1" x14ac:dyDescent="0.3">
      <c r="A5" s="296"/>
      <c r="B5" s="297"/>
      <c r="C5" s="297"/>
      <c r="D5" s="297"/>
      <c r="E5" s="298"/>
    </row>
    <row r="6" spans="1:8" ht="15.75" x14ac:dyDescent="0.25">
      <c r="A6" s="2" t="s">
        <v>1</v>
      </c>
      <c r="B6" s="254" t="s">
        <v>5</v>
      </c>
      <c r="C6" s="270" t="s">
        <v>3</v>
      </c>
      <c r="D6" s="270" t="s">
        <v>4</v>
      </c>
      <c r="E6" s="256" t="s">
        <v>13</v>
      </c>
    </row>
    <row r="7" spans="1:8" ht="16.5" thickBot="1" x14ac:dyDescent="0.3">
      <c r="A7" s="15" t="s">
        <v>2</v>
      </c>
      <c r="B7" s="282"/>
      <c r="C7" s="271"/>
      <c r="D7" s="271"/>
      <c r="E7" s="283"/>
      <c r="H7" s="206"/>
    </row>
    <row r="8" spans="1:8" ht="15.75" x14ac:dyDescent="0.25">
      <c r="A8" s="35">
        <v>1</v>
      </c>
      <c r="B8" s="16" t="s">
        <v>6</v>
      </c>
      <c r="C8" s="78" t="s">
        <v>272</v>
      </c>
      <c r="D8" s="78">
        <v>2332</v>
      </c>
      <c r="E8" s="189" t="s">
        <v>274</v>
      </c>
      <c r="H8" s="206"/>
    </row>
    <row r="9" spans="1:8" ht="15.75" x14ac:dyDescent="0.25">
      <c r="A9" s="32">
        <v>2</v>
      </c>
      <c r="B9" s="3" t="s">
        <v>7</v>
      </c>
      <c r="C9" s="79" t="s">
        <v>68</v>
      </c>
      <c r="D9" s="79">
        <f>+D8/17</f>
        <v>137.1764705882353</v>
      </c>
      <c r="E9" s="27"/>
      <c r="H9" s="186"/>
    </row>
    <row r="10" spans="1:8" ht="15.75" x14ac:dyDescent="0.25">
      <c r="A10" s="32">
        <v>3</v>
      </c>
      <c r="B10" s="3" t="s">
        <v>8</v>
      </c>
      <c r="C10" s="79" t="s">
        <v>273</v>
      </c>
      <c r="D10" s="79">
        <v>2300.2800000000002</v>
      </c>
      <c r="E10" s="190" t="s">
        <v>275</v>
      </c>
      <c r="H10" s="186"/>
    </row>
    <row r="11" spans="1:8" ht="15.75" x14ac:dyDescent="0.25">
      <c r="A11" s="32">
        <v>4</v>
      </c>
      <c r="B11" s="3" t="s">
        <v>9</v>
      </c>
      <c r="C11" s="79"/>
      <c r="D11" s="79">
        <f>+D10/17</f>
        <v>135.31058823529412</v>
      </c>
      <c r="E11" s="27"/>
    </row>
    <row r="12" spans="1:8" ht="15.75" x14ac:dyDescent="0.25">
      <c r="A12" s="32">
        <v>5</v>
      </c>
      <c r="B12" s="3" t="s">
        <v>12</v>
      </c>
      <c r="C12" s="79" t="s">
        <v>276</v>
      </c>
      <c r="D12" s="79" t="s">
        <v>277</v>
      </c>
      <c r="E12" s="27"/>
    </row>
    <row r="13" spans="1:8" ht="15.75" x14ac:dyDescent="0.3">
      <c r="A13" s="58">
        <v>6</v>
      </c>
      <c r="B13" s="5" t="s">
        <v>45</v>
      </c>
      <c r="C13" s="39"/>
      <c r="D13" s="39" t="s">
        <v>116</v>
      </c>
      <c r="E13" s="27"/>
    </row>
    <row r="14" spans="1:8" ht="15.75" x14ac:dyDescent="0.3">
      <c r="A14" s="58">
        <v>7</v>
      </c>
      <c r="B14" s="5" t="s">
        <v>44</v>
      </c>
      <c r="C14" s="39" t="s">
        <v>116</v>
      </c>
      <c r="D14" s="39" t="s">
        <v>116</v>
      </c>
      <c r="E14" s="27"/>
    </row>
    <row r="15" spans="1:8" ht="15.75" x14ac:dyDescent="0.3">
      <c r="A15" s="58">
        <v>8</v>
      </c>
      <c r="B15" s="5" t="s">
        <v>10</v>
      </c>
      <c r="C15" s="39" t="s">
        <v>116</v>
      </c>
      <c r="D15" s="39" t="s">
        <v>117</v>
      </c>
      <c r="E15" s="27"/>
    </row>
    <row r="16" spans="1:8" ht="15.75" x14ac:dyDescent="0.3">
      <c r="A16" s="58">
        <v>9</v>
      </c>
      <c r="B16" s="5" t="s">
        <v>11</v>
      </c>
      <c r="C16" s="39" t="s">
        <v>116</v>
      </c>
      <c r="D16" s="39" t="s">
        <v>117</v>
      </c>
      <c r="E16" s="27"/>
    </row>
    <row r="17" spans="1:10" ht="15.75" x14ac:dyDescent="0.3">
      <c r="A17" s="58">
        <v>10</v>
      </c>
      <c r="B17" s="4" t="s">
        <v>12</v>
      </c>
      <c r="C17" s="39" t="s">
        <v>118</v>
      </c>
      <c r="D17" s="40" t="s">
        <v>118</v>
      </c>
      <c r="E17" s="27"/>
    </row>
    <row r="18" spans="1:10" x14ac:dyDescent="0.25">
      <c r="A18" s="248" t="s">
        <v>104</v>
      </c>
      <c r="B18" s="249"/>
      <c r="C18" s="249"/>
      <c r="D18" s="249"/>
      <c r="E18" s="250"/>
    </row>
    <row r="19" spans="1:10" ht="15.75" thickBot="1" x14ac:dyDescent="0.3">
      <c r="A19" s="251"/>
      <c r="B19" s="252"/>
      <c r="C19" s="252"/>
      <c r="D19" s="252"/>
      <c r="E19" s="253"/>
    </row>
    <row r="20" spans="1:10" ht="15.75" x14ac:dyDescent="0.25">
      <c r="A20" s="11" t="s">
        <v>1</v>
      </c>
      <c r="B20" s="275" t="s">
        <v>31</v>
      </c>
      <c r="C20" s="56" t="s">
        <v>34</v>
      </c>
      <c r="D20" s="41" t="s">
        <v>33</v>
      </c>
      <c r="E20" s="277" t="s">
        <v>13</v>
      </c>
    </row>
    <row r="21" spans="1:10" ht="16.5" thickBot="1" x14ac:dyDescent="0.3">
      <c r="A21" s="93" t="s">
        <v>2</v>
      </c>
      <c r="B21" s="276"/>
      <c r="C21" s="94" t="s">
        <v>35</v>
      </c>
      <c r="D21" s="95" t="s">
        <v>3</v>
      </c>
      <c r="E21" s="278"/>
    </row>
    <row r="22" spans="1:10" ht="19.5" x14ac:dyDescent="0.25">
      <c r="A22" s="160">
        <v>1</v>
      </c>
      <c r="B22" s="161" t="s">
        <v>264</v>
      </c>
      <c r="C22" s="162">
        <v>67</v>
      </c>
      <c r="D22" s="216">
        <v>121</v>
      </c>
      <c r="E22" s="26"/>
    </row>
    <row r="23" spans="1:10" ht="19.5" x14ac:dyDescent="0.25">
      <c r="A23" s="163">
        <v>2</v>
      </c>
      <c r="B23" s="161" t="s">
        <v>278</v>
      </c>
      <c r="C23" s="165">
        <v>21</v>
      </c>
      <c r="D23" s="218">
        <v>38</v>
      </c>
      <c r="E23" s="27"/>
    </row>
    <row r="24" spans="1:10" ht="19.5" x14ac:dyDescent="0.25">
      <c r="A24" s="163"/>
      <c r="B24" s="161"/>
      <c r="C24" s="166"/>
      <c r="D24" s="220"/>
      <c r="E24" s="27"/>
    </row>
    <row r="25" spans="1:10" ht="19.5" x14ac:dyDescent="0.25">
      <c r="A25" s="163"/>
      <c r="B25" s="161"/>
      <c r="C25" s="205"/>
      <c r="D25" s="218"/>
      <c r="E25" s="31"/>
    </row>
    <row r="26" spans="1:10" ht="20.25" thickBot="1" x14ac:dyDescent="0.3">
      <c r="A26" s="207"/>
      <c r="B26" s="161"/>
      <c r="C26" s="234"/>
      <c r="D26" s="214"/>
      <c r="E26" s="38"/>
      <c r="H26" s="229"/>
    </row>
    <row r="27" spans="1:10" ht="20.25" thickBot="1" x14ac:dyDescent="0.45">
      <c r="A27" s="211">
        <v>6</v>
      </c>
      <c r="B27" s="208" t="s">
        <v>251</v>
      </c>
      <c r="C27" s="212">
        <f>SUM(C22:C26)</f>
        <v>88</v>
      </c>
      <c r="D27" s="213">
        <f>SUM(D22:D26)</f>
        <v>159</v>
      </c>
      <c r="E27" s="24"/>
      <c r="H27" s="229"/>
      <c r="J27" s="186"/>
    </row>
    <row r="28" spans="1:10" ht="19.5" x14ac:dyDescent="0.25">
      <c r="A28" s="279" t="s">
        <v>105</v>
      </c>
      <c r="B28" s="280"/>
      <c r="C28" s="280"/>
      <c r="D28" s="280"/>
      <c r="E28" s="281"/>
      <c r="H28" s="230"/>
    </row>
    <row r="29" spans="1:10" ht="20.25" thickBot="1" x14ac:dyDescent="0.3">
      <c r="A29" s="251"/>
      <c r="B29" s="252"/>
      <c r="C29" s="252"/>
      <c r="D29" s="252"/>
      <c r="E29" s="253"/>
      <c r="H29" s="229"/>
    </row>
    <row r="30" spans="1:10" ht="15.75" x14ac:dyDescent="0.25">
      <c r="A30" s="2" t="s">
        <v>1</v>
      </c>
      <c r="B30" s="254" t="s">
        <v>5</v>
      </c>
      <c r="C30" s="18" t="s">
        <v>3</v>
      </c>
      <c r="D30" s="18" t="s">
        <v>4</v>
      </c>
      <c r="E30" s="256" t="s">
        <v>13</v>
      </c>
      <c r="H30" s="186"/>
    </row>
    <row r="31" spans="1:10" ht="20.25" thickBot="1" x14ac:dyDescent="0.3">
      <c r="A31" s="15" t="s">
        <v>2</v>
      </c>
      <c r="B31" s="282"/>
      <c r="C31" s="19" t="s">
        <v>40</v>
      </c>
      <c r="D31" s="19" t="s">
        <v>40</v>
      </c>
      <c r="E31" s="283"/>
      <c r="H31" s="222"/>
    </row>
    <row r="32" spans="1:10" ht="19.5" x14ac:dyDescent="0.4">
      <c r="A32" s="128">
        <v>1</v>
      </c>
      <c r="B32" s="135" t="s">
        <v>14</v>
      </c>
      <c r="C32" s="130">
        <v>20</v>
      </c>
      <c r="D32" s="131">
        <f>312.4+C32</f>
        <v>332.4</v>
      </c>
      <c r="E32" s="227"/>
      <c r="H32" s="222"/>
      <c r="J32" s="181"/>
    </row>
    <row r="33" spans="1:10" ht="20.25" thickBot="1" x14ac:dyDescent="0.45">
      <c r="A33" s="129">
        <v>2</v>
      </c>
      <c r="B33" s="136" t="s">
        <v>99</v>
      </c>
      <c r="C33" s="132">
        <v>4</v>
      </c>
      <c r="D33" s="133">
        <v>75.2</v>
      </c>
      <c r="E33" s="86"/>
      <c r="H33" s="181"/>
      <c r="J33" s="181"/>
    </row>
    <row r="34" spans="1:10" ht="30.75" thickBot="1" x14ac:dyDescent="0.35">
      <c r="A34" s="35">
        <v>3</v>
      </c>
      <c r="B34" s="53" t="s">
        <v>15</v>
      </c>
      <c r="C34" s="124">
        <v>0.2</v>
      </c>
      <c r="D34" s="226">
        <v>20.05</v>
      </c>
      <c r="E34" s="198" t="s">
        <v>279</v>
      </c>
      <c r="J34" s="222"/>
    </row>
    <row r="35" spans="1:10" ht="16.5" x14ac:dyDescent="0.3">
      <c r="A35" s="32">
        <v>4</v>
      </c>
      <c r="B35" s="54" t="s">
        <v>16</v>
      </c>
      <c r="C35" s="122" t="s">
        <v>64</v>
      </c>
      <c r="D35" s="123" t="s">
        <v>63</v>
      </c>
      <c r="E35" s="115"/>
    </row>
    <row r="36" spans="1:10" ht="19.5" x14ac:dyDescent="0.3">
      <c r="A36" s="32">
        <v>5</v>
      </c>
      <c r="B36" s="54" t="s">
        <v>17</v>
      </c>
      <c r="C36" s="124" t="s">
        <v>64</v>
      </c>
      <c r="D36" s="123">
        <v>22.05</v>
      </c>
      <c r="E36" s="177"/>
      <c r="H36" s="222"/>
      <c r="J36" s="181"/>
    </row>
    <row r="37" spans="1:10" ht="19.5" x14ac:dyDescent="0.3">
      <c r="A37" s="32">
        <v>6</v>
      </c>
      <c r="B37" s="54" t="s">
        <v>18</v>
      </c>
      <c r="C37" s="122" t="s">
        <v>64</v>
      </c>
      <c r="D37" s="123" t="s">
        <v>64</v>
      </c>
      <c r="E37" s="115"/>
      <c r="H37" s="222"/>
    </row>
    <row r="38" spans="1:10" ht="30" x14ac:dyDescent="0.25">
      <c r="A38" s="32">
        <v>7</v>
      </c>
      <c r="B38" s="54" t="s">
        <v>19</v>
      </c>
      <c r="C38" s="124">
        <v>3</v>
      </c>
      <c r="D38" s="123">
        <v>20.5</v>
      </c>
      <c r="E38" s="235" t="s">
        <v>280</v>
      </c>
      <c r="H38" s="181"/>
      <c r="J38" s="222"/>
    </row>
    <row r="39" spans="1:10" ht="16.5" x14ac:dyDescent="0.3">
      <c r="A39" s="32">
        <v>8</v>
      </c>
      <c r="B39" s="54" t="s">
        <v>20</v>
      </c>
      <c r="C39" s="124">
        <v>0.4</v>
      </c>
      <c r="D39" s="123">
        <v>3.2</v>
      </c>
      <c r="E39" s="178" t="s">
        <v>281</v>
      </c>
    </row>
    <row r="40" spans="1:10" ht="16.5" x14ac:dyDescent="0.3">
      <c r="A40" s="32">
        <v>9</v>
      </c>
      <c r="B40" s="54" t="s">
        <v>21</v>
      </c>
      <c r="C40" s="122" t="s">
        <v>64</v>
      </c>
      <c r="D40" s="123" t="s">
        <v>116</v>
      </c>
      <c r="E40" s="115"/>
      <c r="G40" s="181"/>
    </row>
    <row r="41" spans="1:10" ht="17.25" thickBot="1" x14ac:dyDescent="0.35">
      <c r="A41" s="37">
        <v>10</v>
      </c>
      <c r="B41" s="55" t="s">
        <v>22</v>
      </c>
      <c r="C41" s="126" t="s">
        <v>116</v>
      </c>
      <c r="D41" s="139">
        <v>9</v>
      </c>
      <c r="E41" s="108"/>
    </row>
    <row r="42" spans="1:10" x14ac:dyDescent="0.25">
      <c r="A42" s="262" t="s">
        <v>77</v>
      </c>
      <c r="B42" s="263"/>
      <c r="C42" s="263"/>
      <c r="D42" s="263"/>
      <c r="E42" s="264"/>
      <c r="G42" s="181"/>
    </row>
    <row r="43" spans="1:10" ht="15.75" thickBot="1" x14ac:dyDescent="0.3">
      <c r="A43" s="265"/>
      <c r="B43" s="266"/>
      <c r="C43" s="266"/>
      <c r="D43" s="266"/>
      <c r="E43" s="267"/>
    </row>
    <row r="44" spans="1:10" ht="15.75" x14ac:dyDescent="0.25">
      <c r="A44" s="9" t="s">
        <v>1</v>
      </c>
      <c r="B44" s="268" t="s">
        <v>27</v>
      </c>
      <c r="C44" s="270" t="s">
        <v>3</v>
      </c>
      <c r="D44" s="270" t="s">
        <v>4</v>
      </c>
      <c r="E44" s="272" t="s">
        <v>28</v>
      </c>
      <c r="H44" s="181"/>
    </row>
    <row r="45" spans="1:10" ht="16.5" thickBot="1" x14ac:dyDescent="0.3">
      <c r="A45" s="17" t="s">
        <v>2</v>
      </c>
      <c r="B45" s="269"/>
      <c r="C45" s="271"/>
      <c r="D45" s="271"/>
      <c r="E45" s="273"/>
    </row>
    <row r="46" spans="1:10" x14ac:dyDescent="0.25">
      <c r="A46" s="35">
        <v>1</v>
      </c>
      <c r="B46" s="53" t="s">
        <v>58</v>
      </c>
      <c r="C46" s="49">
        <v>0</v>
      </c>
      <c r="D46" s="49">
        <v>27.2</v>
      </c>
      <c r="E46" s="233" t="s">
        <v>282</v>
      </c>
      <c r="H46" s="231"/>
    </row>
    <row r="47" spans="1:10" x14ac:dyDescent="0.25">
      <c r="A47" s="32">
        <v>2</v>
      </c>
      <c r="B47" s="54" t="s">
        <v>59</v>
      </c>
      <c r="C47" s="48">
        <v>177</v>
      </c>
      <c r="D47" s="48">
        <f>2387.8+C47</f>
        <v>2564.8000000000002</v>
      </c>
      <c r="E47" s="27"/>
      <c r="H47" s="231"/>
    </row>
    <row r="48" spans="1:10" x14ac:dyDescent="0.25">
      <c r="A48" s="32">
        <v>3</v>
      </c>
      <c r="B48" s="54" t="s">
        <v>60</v>
      </c>
      <c r="C48" s="48">
        <v>177</v>
      </c>
      <c r="D48" s="48">
        <f>2415+C48</f>
        <v>2592</v>
      </c>
      <c r="E48" s="27"/>
      <c r="H48" s="186"/>
    </row>
    <row r="49" spans="1:10" ht="19.5" thickBot="1" x14ac:dyDescent="0.45">
      <c r="A49" s="28" t="s">
        <v>78</v>
      </c>
      <c r="E49" s="24"/>
    </row>
    <row r="50" spans="1:10" ht="15.75" x14ac:dyDescent="0.25">
      <c r="A50" s="9" t="s">
        <v>1</v>
      </c>
      <c r="B50" s="254" t="s">
        <v>5</v>
      </c>
      <c r="C50" s="270" t="s">
        <v>3</v>
      </c>
      <c r="D50" s="256" t="s">
        <v>4</v>
      </c>
      <c r="E50" s="183" t="s">
        <v>61</v>
      </c>
    </row>
    <row r="51" spans="1:10" ht="15.75" x14ac:dyDescent="0.25">
      <c r="A51" s="1" t="s">
        <v>2</v>
      </c>
      <c r="B51" s="255"/>
      <c r="C51" s="274"/>
      <c r="D51" s="257"/>
      <c r="E51" s="184" t="s">
        <v>42</v>
      </c>
      <c r="H51" s="182"/>
    </row>
    <row r="52" spans="1:10" ht="13.5" customHeight="1" x14ac:dyDescent="0.25">
      <c r="A52" s="29">
        <v>1</v>
      </c>
      <c r="B52" s="20" t="s">
        <v>43</v>
      </c>
      <c r="C52" s="50">
        <v>17.3</v>
      </c>
      <c r="D52" s="50">
        <v>224.08</v>
      </c>
      <c r="E52" s="185">
        <v>9.19</v>
      </c>
      <c r="H52" s="182"/>
    </row>
    <row r="53" spans="1:10" ht="11.25" customHeight="1" x14ac:dyDescent="0.25">
      <c r="A53" s="248" t="s">
        <v>73</v>
      </c>
      <c r="B53" s="249"/>
      <c r="C53" s="249"/>
      <c r="D53" s="249"/>
      <c r="E53" s="250"/>
      <c r="H53" s="181"/>
    </row>
    <row r="54" spans="1:10" ht="15.75" thickBot="1" x14ac:dyDescent="0.3">
      <c r="A54" s="251"/>
      <c r="B54" s="252"/>
      <c r="C54" s="252"/>
      <c r="D54" s="252"/>
      <c r="E54" s="253"/>
    </row>
    <row r="55" spans="1:10" ht="15.75" x14ac:dyDescent="0.25">
      <c r="A55" s="2" t="s">
        <v>1</v>
      </c>
      <c r="B55" s="254" t="s">
        <v>5</v>
      </c>
      <c r="C55" s="18" t="s">
        <v>3</v>
      </c>
      <c r="D55" s="18" t="s">
        <v>4</v>
      </c>
      <c r="E55" s="256" t="s">
        <v>13</v>
      </c>
      <c r="I55" s="180"/>
    </row>
    <row r="56" spans="1:10" ht="15.75" x14ac:dyDescent="0.25">
      <c r="A56" s="21" t="s">
        <v>2</v>
      </c>
      <c r="B56" s="255"/>
      <c r="C56" s="22" t="s">
        <v>46</v>
      </c>
      <c r="D56" s="22" t="s">
        <v>46</v>
      </c>
      <c r="E56" s="257"/>
      <c r="I56" s="180"/>
    </row>
    <row r="57" spans="1:10" ht="15.75" x14ac:dyDescent="0.25">
      <c r="A57" s="32">
        <v>1</v>
      </c>
      <c r="B57" s="54" t="s">
        <v>283</v>
      </c>
      <c r="C57" s="76">
        <v>37054</v>
      </c>
      <c r="D57" s="76">
        <f>546029+C57</f>
        <v>583083</v>
      </c>
      <c r="E57" s="75" t="s">
        <v>114</v>
      </c>
    </row>
    <row r="58" spans="1:10" ht="15.75" x14ac:dyDescent="0.25">
      <c r="A58" s="32">
        <v>2</v>
      </c>
      <c r="B58" s="54" t="s">
        <v>47</v>
      </c>
      <c r="C58" s="179">
        <v>233.04</v>
      </c>
      <c r="D58" s="179">
        <f>D57/D8</f>
        <v>250.03559176672385</v>
      </c>
      <c r="E58" s="27"/>
      <c r="G58" s="195"/>
    </row>
    <row r="59" spans="1:10" ht="20.25" thickBot="1" x14ac:dyDescent="0.45">
      <c r="A59" s="25" t="s">
        <v>48</v>
      </c>
      <c r="B59" s="36"/>
      <c r="E59" s="24"/>
      <c r="G59" s="180"/>
    </row>
    <row r="60" spans="1:10" ht="15.75" x14ac:dyDescent="0.25">
      <c r="A60" s="196" t="s">
        <v>1</v>
      </c>
      <c r="B60" s="258" t="s">
        <v>5</v>
      </c>
      <c r="C60" s="258" t="s">
        <v>3</v>
      </c>
      <c r="D60" s="258" t="s">
        <v>4</v>
      </c>
      <c r="E60" s="260" t="s">
        <v>13</v>
      </c>
      <c r="G60" s="180"/>
      <c r="H60" s="180"/>
      <c r="J60" s="195"/>
    </row>
    <row r="61" spans="1:10" ht="15.75" x14ac:dyDescent="0.25">
      <c r="A61" s="197" t="s">
        <v>2</v>
      </c>
      <c r="B61" s="259"/>
      <c r="C61" s="259"/>
      <c r="D61" s="259"/>
      <c r="E61" s="261"/>
      <c r="G61" s="180"/>
      <c r="H61" s="180"/>
      <c r="J61" s="195"/>
    </row>
    <row r="62" spans="1:10" ht="15.75" x14ac:dyDescent="0.25">
      <c r="A62" s="32">
        <v>1</v>
      </c>
      <c r="B62" s="3" t="s">
        <v>49</v>
      </c>
      <c r="C62" s="76">
        <v>222</v>
      </c>
      <c r="D62" s="76">
        <f>3148+C62</f>
        <v>3370</v>
      </c>
      <c r="E62" s="27"/>
      <c r="G62" s="180"/>
      <c r="J62" s="194"/>
    </row>
    <row r="63" spans="1:10" ht="15.75" x14ac:dyDescent="0.25">
      <c r="A63" s="32">
        <v>2</v>
      </c>
      <c r="B63" s="3" t="s">
        <v>52</v>
      </c>
      <c r="C63" s="89">
        <v>1.3959999999999999</v>
      </c>
      <c r="D63" s="89">
        <f>+D62/D8</f>
        <v>1.4451114922813035</v>
      </c>
      <c r="E63" s="27"/>
      <c r="G63" s="204"/>
    </row>
    <row r="64" spans="1:10" ht="15.75" x14ac:dyDescent="0.25">
      <c r="A64" s="32">
        <v>3</v>
      </c>
      <c r="B64" s="3" t="s">
        <v>50</v>
      </c>
      <c r="C64" s="76">
        <v>45</v>
      </c>
      <c r="D64" s="76">
        <f>893+C64</f>
        <v>938</v>
      </c>
      <c r="E64" s="27"/>
      <c r="G64" s="187"/>
      <c r="H64" s="180"/>
      <c r="I64" s="186"/>
      <c r="J64" s="187"/>
    </row>
    <row r="65" spans="1:10" ht="15.75" x14ac:dyDescent="0.25">
      <c r="A65" s="32">
        <v>4</v>
      </c>
      <c r="B65" s="3" t="s">
        <v>53</v>
      </c>
      <c r="C65" s="76">
        <v>0.28299999999999997</v>
      </c>
      <c r="D65" s="89">
        <f>+D64/D8</f>
        <v>0.40222984562607206</v>
      </c>
      <c r="E65" s="27"/>
      <c r="G65" s="180"/>
      <c r="H65" s="180"/>
      <c r="J65" s="187"/>
    </row>
    <row r="66" spans="1:10" ht="15.75" x14ac:dyDescent="0.25">
      <c r="A66" s="32">
        <v>5</v>
      </c>
      <c r="B66" s="3" t="s">
        <v>51</v>
      </c>
      <c r="C66" s="152">
        <v>46.2</v>
      </c>
      <c r="D66" s="152">
        <f>664.3+C66</f>
        <v>710.5</v>
      </c>
      <c r="E66" s="27"/>
      <c r="G66" s="195"/>
      <c r="I66" s="194"/>
      <c r="J66" s="186"/>
    </row>
    <row r="67" spans="1:10" ht="15.75" x14ac:dyDescent="0.25">
      <c r="A67" s="32">
        <v>6</v>
      </c>
      <c r="B67" s="3" t="s">
        <v>54</v>
      </c>
      <c r="C67" s="89">
        <v>0.29099999999999998</v>
      </c>
      <c r="D67" s="89">
        <f>+D66/D8</f>
        <v>0.30467409948542024</v>
      </c>
      <c r="E67" s="27"/>
      <c r="J67" s="187"/>
    </row>
    <row r="68" spans="1:10" ht="15.75" x14ac:dyDescent="0.25">
      <c r="A68" s="32">
        <v>7</v>
      </c>
      <c r="B68" s="3" t="s">
        <v>55</v>
      </c>
      <c r="C68" s="89">
        <v>45.4</v>
      </c>
      <c r="D68" s="89">
        <f>640.83+C68</f>
        <v>686.23</v>
      </c>
      <c r="E68" s="27"/>
      <c r="J68" s="187"/>
    </row>
    <row r="69" spans="1:10" ht="15.75" x14ac:dyDescent="0.25">
      <c r="A69" s="32">
        <v>8</v>
      </c>
      <c r="B69" s="3" t="s">
        <v>56</v>
      </c>
      <c r="C69" s="89">
        <v>0.28599999999999998</v>
      </c>
      <c r="D69" s="89">
        <f>+D68/D8</f>
        <v>0.29426672384219554</v>
      </c>
      <c r="E69" s="27"/>
      <c r="J69" s="186"/>
    </row>
    <row r="70" spans="1:10" ht="17.25" x14ac:dyDescent="0.25">
      <c r="A70" s="32">
        <v>9</v>
      </c>
      <c r="B70" s="3" t="s">
        <v>214</v>
      </c>
      <c r="C70" s="89">
        <v>270</v>
      </c>
      <c r="D70" s="89">
        <f>3461+C70</f>
        <v>3731</v>
      </c>
      <c r="E70" s="27"/>
    </row>
    <row r="71" spans="1:10" ht="18" thickBot="1" x14ac:dyDescent="0.3">
      <c r="A71" s="37">
        <v>10</v>
      </c>
      <c r="B71" s="52" t="s">
        <v>215</v>
      </c>
      <c r="C71" s="159">
        <v>1.698</v>
      </c>
      <c r="D71" s="159">
        <f>D70/D8</f>
        <v>1.5999142367066896</v>
      </c>
      <c r="E71" s="38"/>
      <c r="H71" s="186"/>
      <c r="I71" s="180"/>
    </row>
    <row r="72" spans="1:10" ht="15.75" x14ac:dyDescent="0.25">
      <c r="I72" s="180"/>
    </row>
  </sheetData>
  <mergeCells count="29">
    <mergeCell ref="A53:E54"/>
    <mergeCell ref="B55:B56"/>
    <mergeCell ref="E55:E56"/>
    <mergeCell ref="B60:B61"/>
    <mergeCell ref="C60:C61"/>
    <mergeCell ref="D60:D61"/>
    <mergeCell ref="E60:E61"/>
    <mergeCell ref="B50:B51"/>
    <mergeCell ref="C50:C51"/>
    <mergeCell ref="D50:D51"/>
    <mergeCell ref="A18:E19"/>
    <mergeCell ref="B20:B21"/>
    <mergeCell ref="E20:E21"/>
    <mergeCell ref="A28:E29"/>
    <mergeCell ref="B30:B31"/>
    <mergeCell ref="E30:E31"/>
    <mergeCell ref="A42:E43"/>
    <mergeCell ref="B44:B45"/>
    <mergeCell ref="C44:C45"/>
    <mergeCell ref="D44:D45"/>
    <mergeCell ref="E44:E45"/>
    <mergeCell ref="A1:E1"/>
    <mergeCell ref="A2:E2"/>
    <mergeCell ref="A3:E3"/>
    <mergeCell ref="A4:E5"/>
    <mergeCell ref="B6:B7"/>
    <mergeCell ref="C6:C7"/>
    <mergeCell ref="D6:D7"/>
    <mergeCell ref="E6:E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72"/>
  <sheetViews>
    <sheetView workbookViewId="0">
      <selection activeCell="H32" sqref="H32"/>
    </sheetView>
  </sheetViews>
  <sheetFormatPr defaultRowHeight="15" x14ac:dyDescent="0.25"/>
  <cols>
    <col min="1" max="1" width="5.42578125" customWidth="1"/>
    <col min="2" max="2" width="35" customWidth="1"/>
    <col min="3" max="3" width="10.140625" customWidth="1"/>
    <col min="4" max="4" width="17.7109375" customWidth="1"/>
    <col min="5" max="5" width="52.42578125" customWidth="1"/>
    <col min="8" max="8" width="12.7109375" customWidth="1"/>
    <col min="10" max="10" width="11.42578125" bestFit="1" customWidth="1"/>
  </cols>
  <sheetData>
    <row r="1" spans="1:8" ht="23.25" thickBot="1" x14ac:dyDescent="0.5">
      <c r="A1" s="284" t="s">
        <v>284</v>
      </c>
      <c r="B1" s="285"/>
      <c r="C1" s="285"/>
      <c r="D1" s="285"/>
      <c r="E1" s="286"/>
    </row>
    <row r="2" spans="1:8" ht="23.25" thickBot="1" x14ac:dyDescent="0.5">
      <c r="A2" s="287" t="s">
        <v>30</v>
      </c>
      <c r="B2" s="288"/>
      <c r="C2" s="288"/>
      <c r="D2" s="288"/>
      <c r="E2" s="289"/>
    </row>
    <row r="3" spans="1:8" ht="25.5" thickBot="1" x14ac:dyDescent="0.3">
      <c r="A3" s="290" t="s">
        <v>0</v>
      </c>
      <c r="B3" s="291"/>
      <c r="C3" s="291"/>
      <c r="D3" s="291"/>
      <c r="E3" s="292"/>
    </row>
    <row r="4" spans="1:8" x14ac:dyDescent="0.25">
      <c r="A4" s="293" t="s">
        <v>32</v>
      </c>
      <c r="B4" s="294"/>
      <c r="C4" s="294"/>
      <c r="D4" s="294"/>
      <c r="E4" s="295"/>
    </row>
    <row r="5" spans="1:8" ht="15.75" thickBot="1" x14ac:dyDescent="0.3">
      <c r="A5" s="296"/>
      <c r="B5" s="297"/>
      <c r="C5" s="297"/>
      <c r="D5" s="297"/>
      <c r="E5" s="298"/>
    </row>
    <row r="6" spans="1:8" ht="15.75" x14ac:dyDescent="0.25">
      <c r="A6" s="2" t="s">
        <v>1</v>
      </c>
      <c r="B6" s="254" t="s">
        <v>5</v>
      </c>
      <c r="C6" s="270" t="s">
        <v>3</v>
      </c>
      <c r="D6" s="270" t="s">
        <v>4</v>
      </c>
      <c r="E6" s="256" t="s">
        <v>13</v>
      </c>
    </row>
    <row r="7" spans="1:8" ht="16.5" thickBot="1" x14ac:dyDescent="0.3">
      <c r="A7" s="15" t="s">
        <v>2</v>
      </c>
      <c r="B7" s="282"/>
      <c r="C7" s="271"/>
      <c r="D7" s="271"/>
      <c r="E7" s="283"/>
      <c r="H7" s="206"/>
    </row>
    <row r="8" spans="1:8" ht="15.75" x14ac:dyDescent="0.25">
      <c r="A8" s="35">
        <v>1</v>
      </c>
      <c r="B8" s="16" t="s">
        <v>6</v>
      </c>
      <c r="C8" s="78">
        <v>164</v>
      </c>
      <c r="D8" s="78">
        <f>2332+164</f>
        <v>2496</v>
      </c>
      <c r="E8" s="189" t="s">
        <v>285</v>
      </c>
      <c r="H8" s="206"/>
    </row>
    <row r="9" spans="1:8" ht="15.75" x14ac:dyDescent="0.25">
      <c r="A9" s="32">
        <v>2</v>
      </c>
      <c r="B9" s="3" t="s">
        <v>7</v>
      </c>
      <c r="C9" s="79" t="s">
        <v>68</v>
      </c>
      <c r="D9" s="79">
        <f>+D8/18</f>
        <v>138.66666666666666</v>
      </c>
      <c r="E9" s="27"/>
      <c r="H9" s="186"/>
    </row>
    <row r="10" spans="1:8" ht="15.75" x14ac:dyDescent="0.25">
      <c r="A10" s="32">
        <v>3</v>
      </c>
      <c r="B10" s="3" t="s">
        <v>8</v>
      </c>
      <c r="C10" s="79" t="s">
        <v>286</v>
      </c>
      <c r="D10" s="79">
        <f>2300.28+148.62</f>
        <v>2448.9</v>
      </c>
      <c r="E10" s="190" t="s">
        <v>287</v>
      </c>
      <c r="H10" s="186"/>
    </row>
    <row r="11" spans="1:8" ht="15.75" x14ac:dyDescent="0.25">
      <c r="A11" s="32">
        <v>4</v>
      </c>
      <c r="B11" s="3" t="s">
        <v>9</v>
      </c>
      <c r="C11" s="79"/>
      <c r="D11" s="79">
        <f>+D10/18</f>
        <v>136.05000000000001</v>
      </c>
      <c r="E11" s="27"/>
    </row>
    <row r="12" spans="1:8" ht="15.75" x14ac:dyDescent="0.25">
      <c r="A12" s="32">
        <v>5</v>
      </c>
      <c r="B12" s="3" t="s">
        <v>12</v>
      </c>
      <c r="C12" s="79" t="s">
        <v>288</v>
      </c>
      <c r="D12" s="79" t="s">
        <v>289</v>
      </c>
      <c r="E12" s="27"/>
    </row>
    <row r="13" spans="1:8" ht="15.75" x14ac:dyDescent="0.3">
      <c r="A13" s="58">
        <v>6</v>
      </c>
      <c r="B13" s="5" t="s">
        <v>45</v>
      </c>
      <c r="C13" s="39"/>
      <c r="D13" s="39" t="s">
        <v>116</v>
      </c>
      <c r="E13" s="27"/>
    </row>
    <row r="14" spans="1:8" ht="15.75" x14ac:dyDescent="0.3">
      <c r="A14" s="58">
        <v>7</v>
      </c>
      <c r="B14" s="5" t="s">
        <v>44</v>
      </c>
      <c r="C14" s="39" t="s">
        <v>116</v>
      </c>
      <c r="D14" s="39" t="s">
        <v>116</v>
      </c>
      <c r="E14" s="27"/>
    </row>
    <row r="15" spans="1:8" ht="15.75" x14ac:dyDescent="0.3">
      <c r="A15" s="58">
        <v>8</v>
      </c>
      <c r="B15" s="5" t="s">
        <v>10</v>
      </c>
      <c r="C15" s="39" t="s">
        <v>116</v>
      </c>
      <c r="D15" s="39" t="s">
        <v>117</v>
      </c>
      <c r="E15" s="27"/>
    </row>
    <row r="16" spans="1:8" ht="15.75" x14ac:dyDescent="0.3">
      <c r="A16" s="58">
        <v>9</v>
      </c>
      <c r="B16" s="5" t="s">
        <v>11</v>
      </c>
      <c r="C16" s="39" t="s">
        <v>116</v>
      </c>
      <c r="D16" s="39" t="s">
        <v>117</v>
      </c>
      <c r="E16" s="27"/>
    </row>
    <row r="17" spans="1:10" ht="15.75" x14ac:dyDescent="0.3">
      <c r="A17" s="58">
        <v>10</v>
      </c>
      <c r="B17" s="4" t="s">
        <v>12</v>
      </c>
      <c r="C17" s="39" t="s">
        <v>118</v>
      </c>
      <c r="D17" s="40" t="s">
        <v>118</v>
      </c>
      <c r="E17" s="27"/>
    </row>
    <row r="18" spans="1:10" x14ac:dyDescent="0.25">
      <c r="A18" s="248" t="s">
        <v>104</v>
      </c>
      <c r="B18" s="249"/>
      <c r="C18" s="249"/>
      <c r="D18" s="249"/>
      <c r="E18" s="250"/>
    </row>
    <row r="19" spans="1:10" ht="15.75" thickBot="1" x14ac:dyDescent="0.3">
      <c r="A19" s="251"/>
      <c r="B19" s="252"/>
      <c r="C19" s="252"/>
      <c r="D19" s="252"/>
      <c r="E19" s="253"/>
    </row>
    <row r="20" spans="1:10" ht="15.75" x14ac:dyDescent="0.25">
      <c r="A20" s="11" t="s">
        <v>1</v>
      </c>
      <c r="B20" s="275" t="s">
        <v>31</v>
      </c>
      <c r="C20" s="56" t="s">
        <v>34</v>
      </c>
      <c r="D20" s="41" t="s">
        <v>33</v>
      </c>
      <c r="E20" s="277" t="s">
        <v>13</v>
      </c>
    </row>
    <row r="21" spans="1:10" ht="16.5" thickBot="1" x14ac:dyDescent="0.3">
      <c r="A21" s="93" t="s">
        <v>2</v>
      </c>
      <c r="B21" s="276"/>
      <c r="C21" s="94" t="s">
        <v>35</v>
      </c>
      <c r="D21" s="95" t="s">
        <v>3</v>
      </c>
      <c r="E21" s="278"/>
    </row>
    <row r="22" spans="1:10" ht="15.75" x14ac:dyDescent="0.25">
      <c r="A22" s="160">
        <v>1</v>
      </c>
      <c r="B22" s="161" t="s">
        <v>290</v>
      </c>
      <c r="C22" s="162">
        <v>8</v>
      </c>
      <c r="D22" s="167">
        <v>14</v>
      </c>
      <c r="E22" s="26"/>
    </row>
    <row r="23" spans="1:10" ht="15.75" x14ac:dyDescent="0.25">
      <c r="A23" s="163">
        <v>2</v>
      </c>
      <c r="B23" s="161" t="s">
        <v>188</v>
      </c>
      <c r="C23" s="165">
        <v>7</v>
      </c>
      <c r="D23" s="167">
        <v>12</v>
      </c>
      <c r="E23" s="27"/>
    </row>
    <row r="24" spans="1:10" ht="15.75" x14ac:dyDescent="0.25">
      <c r="A24" s="160">
        <v>3</v>
      </c>
      <c r="B24" s="161" t="s">
        <v>278</v>
      </c>
      <c r="C24" s="162">
        <v>8</v>
      </c>
      <c r="D24" s="167">
        <v>14</v>
      </c>
      <c r="E24" s="27"/>
    </row>
    <row r="25" spans="1:10" ht="15.75" x14ac:dyDescent="0.25">
      <c r="A25" s="163">
        <v>4</v>
      </c>
      <c r="B25" s="161" t="s">
        <v>180</v>
      </c>
      <c r="C25" s="165">
        <v>72</v>
      </c>
      <c r="D25" s="167">
        <v>124</v>
      </c>
      <c r="E25" s="31"/>
    </row>
    <row r="26" spans="1:10" ht="20.25" thickBot="1" x14ac:dyDescent="0.3">
      <c r="A26" s="207"/>
      <c r="B26" s="161"/>
      <c r="C26" s="234"/>
      <c r="D26" s="214"/>
      <c r="E26" s="38"/>
      <c r="H26" s="229"/>
    </row>
    <row r="27" spans="1:10" ht="20.25" thickBot="1" x14ac:dyDescent="0.45">
      <c r="A27" s="211">
        <v>6</v>
      </c>
      <c r="B27" s="208" t="s">
        <v>251</v>
      </c>
      <c r="C27" s="212">
        <f>SUM(C22:C26)</f>
        <v>95</v>
      </c>
      <c r="D27" s="213">
        <f>SUM(D22:D26)</f>
        <v>164</v>
      </c>
      <c r="E27" s="24"/>
      <c r="H27" s="229"/>
      <c r="J27" s="186"/>
    </row>
    <row r="28" spans="1:10" ht="19.5" x14ac:dyDescent="0.25">
      <c r="A28" s="279" t="s">
        <v>105</v>
      </c>
      <c r="B28" s="280"/>
      <c r="C28" s="280"/>
      <c r="D28" s="280"/>
      <c r="E28" s="281"/>
      <c r="H28" s="230"/>
    </row>
    <row r="29" spans="1:10" ht="20.25" thickBot="1" x14ac:dyDescent="0.3">
      <c r="A29" s="251"/>
      <c r="B29" s="252"/>
      <c r="C29" s="252"/>
      <c r="D29" s="252"/>
      <c r="E29" s="253"/>
      <c r="H29" s="229"/>
    </row>
    <row r="30" spans="1:10" ht="15.75" x14ac:dyDescent="0.25">
      <c r="A30" s="2" t="s">
        <v>1</v>
      </c>
      <c r="B30" s="254" t="s">
        <v>5</v>
      </c>
      <c r="C30" s="18" t="s">
        <v>3</v>
      </c>
      <c r="D30" s="18" t="s">
        <v>4</v>
      </c>
      <c r="E30" s="256" t="s">
        <v>13</v>
      </c>
      <c r="H30" s="186"/>
    </row>
    <row r="31" spans="1:10" ht="20.25" thickBot="1" x14ac:dyDescent="0.3">
      <c r="A31" s="15" t="s">
        <v>2</v>
      </c>
      <c r="B31" s="282"/>
      <c r="C31" s="19" t="s">
        <v>40</v>
      </c>
      <c r="D31" s="19" t="s">
        <v>40</v>
      </c>
      <c r="E31" s="283"/>
      <c r="H31" s="222"/>
    </row>
    <row r="32" spans="1:10" ht="19.5" x14ac:dyDescent="0.4">
      <c r="A32" s="128">
        <v>1</v>
      </c>
      <c r="B32" s="135" t="s">
        <v>14</v>
      </c>
      <c r="C32" s="130">
        <v>22.35</v>
      </c>
      <c r="D32" s="131">
        <v>355.15</v>
      </c>
      <c r="E32" s="227"/>
      <c r="H32" s="222"/>
      <c r="J32" s="181"/>
    </row>
    <row r="33" spans="1:10" ht="20.25" thickBot="1" x14ac:dyDescent="0.45">
      <c r="A33" s="129">
        <v>2</v>
      </c>
      <c r="B33" s="136" t="s">
        <v>99</v>
      </c>
      <c r="C33" s="132">
        <v>1.25</v>
      </c>
      <c r="D33" s="133">
        <v>76.45</v>
      </c>
      <c r="E33" s="86"/>
      <c r="H33" s="181"/>
      <c r="J33" s="181"/>
    </row>
    <row r="34" spans="1:10" ht="45.75" thickBot="1" x14ac:dyDescent="0.35">
      <c r="A34" s="35">
        <v>3</v>
      </c>
      <c r="B34" s="53" t="s">
        <v>15</v>
      </c>
      <c r="C34" s="124">
        <v>1</v>
      </c>
      <c r="D34" s="226">
        <v>21.05</v>
      </c>
      <c r="E34" s="198" t="s">
        <v>291</v>
      </c>
      <c r="J34" s="222"/>
    </row>
    <row r="35" spans="1:10" ht="16.5" x14ac:dyDescent="0.3">
      <c r="A35" s="32">
        <v>4</v>
      </c>
      <c r="B35" s="54" t="s">
        <v>16</v>
      </c>
      <c r="C35" s="122" t="s">
        <v>64</v>
      </c>
      <c r="D35" s="123" t="s">
        <v>63</v>
      </c>
      <c r="E35" s="115"/>
    </row>
    <row r="36" spans="1:10" ht="19.5" x14ac:dyDescent="0.3">
      <c r="A36" s="32">
        <v>5</v>
      </c>
      <c r="B36" s="54" t="s">
        <v>17</v>
      </c>
      <c r="C36" s="124" t="s">
        <v>64</v>
      </c>
      <c r="D36" s="123">
        <v>22.05</v>
      </c>
      <c r="E36" s="177"/>
      <c r="H36" s="222"/>
      <c r="J36" s="181"/>
    </row>
    <row r="37" spans="1:10" ht="19.5" x14ac:dyDescent="0.3">
      <c r="A37" s="32">
        <v>6</v>
      </c>
      <c r="B37" s="54" t="s">
        <v>18</v>
      </c>
      <c r="C37" s="122" t="s">
        <v>64</v>
      </c>
      <c r="D37" s="123" t="s">
        <v>64</v>
      </c>
      <c r="E37" s="115"/>
      <c r="H37" s="222"/>
    </row>
    <row r="38" spans="1:10" ht="19.5" x14ac:dyDescent="0.25">
      <c r="A38" s="32">
        <v>7</v>
      </c>
      <c r="B38" s="54" t="s">
        <v>19</v>
      </c>
      <c r="C38" s="124">
        <v>0.25</v>
      </c>
      <c r="D38" s="123">
        <v>21.15</v>
      </c>
      <c r="E38" s="235" t="s">
        <v>292</v>
      </c>
      <c r="H38" s="181"/>
      <c r="J38" s="222"/>
    </row>
    <row r="39" spans="1:10" ht="16.5" x14ac:dyDescent="0.3">
      <c r="A39" s="32">
        <v>8</v>
      </c>
      <c r="B39" s="54" t="s">
        <v>20</v>
      </c>
      <c r="C39" s="124">
        <v>0</v>
      </c>
      <c r="D39" s="123">
        <v>3.2</v>
      </c>
      <c r="E39" s="178"/>
    </row>
    <row r="40" spans="1:10" ht="16.5" x14ac:dyDescent="0.3">
      <c r="A40" s="32">
        <v>9</v>
      </c>
      <c r="B40" s="54" t="s">
        <v>21</v>
      </c>
      <c r="C40" s="122" t="s">
        <v>64</v>
      </c>
      <c r="D40" s="123" t="s">
        <v>116</v>
      </c>
      <c r="E40" s="115"/>
      <c r="G40" s="181"/>
    </row>
    <row r="41" spans="1:10" ht="17.25" thickBot="1" x14ac:dyDescent="0.35">
      <c r="A41" s="37">
        <v>10</v>
      </c>
      <c r="B41" s="55" t="s">
        <v>22</v>
      </c>
      <c r="C41" s="126" t="s">
        <v>116</v>
      </c>
      <c r="D41" s="139">
        <v>9</v>
      </c>
      <c r="E41" s="108"/>
    </row>
    <row r="42" spans="1:10" x14ac:dyDescent="0.25">
      <c r="A42" s="262" t="s">
        <v>77</v>
      </c>
      <c r="B42" s="263"/>
      <c r="C42" s="263"/>
      <c r="D42" s="263"/>
      <c r="E42" s="264"/>
      <c r="G42" s="181"/>
    </row>
    <row r="43" spans="1:10" ht="15.75" thickBot="1" x14ac:dyDescent="0.3">
      <c r="A43" s="265"/>
      <c r="B43" s="266"/>
      <c r="C43" s="266"/>
      <c r="D43" s="266"/>
      <c r="E43" s="267"/>
    </row>
    <row r="44" spans="1:10" ht="15.75" x14ac:dyDescent="0.25">
      <c r="A44" s="9" t="s">
        <v>1</v>
      </c>
      <c r="B44" s="268" t="s">
        <v>27</v>
      </c>
      <c r="C44" s="270" t="s">
        <v>3</v>
      </c>
      <c r="D44" s="270" t="s">
        <v>4</v>
      </c>
      <c r="E44" s="272" t="s">
        <v>28</v>
      </c>
      <c r="H44" s="181"/>
    </row>
    <row r="45" spans="1:10" ht="16.5" thickBot="1" x14ac:dyDescent="0.3">
      <c r="A45" s="17" t="s">
        <v>2</v>
      </c>
      <c r="B45" s="269"/>
      <c r="C45" s="271"/>
      <c r="D45" s="271"/>
      <c r="E45" s="273"/>
    </row>
    <row r="46" spans="1:10" x14ac:dyDescent="0.25">
      <c r="A46" s="35">
        <v>1</v>
      </c>
      <c r="B46" s="53" t="s">
        <v>58</v>
      </c>
      <c r="C46" s="49">
        <v>0</v>
      </c>
      <c r="D46" s="49">
        <v>27.2</v>
      </c>
      <c r="E46" s="233" t="s">
        <v>282</v>
      </c>
      <c r="H46" s="231"/>
    </row>
    <row r="47" spans="1:10" x14ac:dyDescent="0.25">
      <c r="A47" s="32">
        <v>2</v>
      </c>
      <c r="B47" s="54" t="s">
        <v>59</v>
      </c>
      <c r="C47" s="48">
        <v>182</v>
      </c>
      <c r="D47" s="48">
        <v>2746</v>
      </c>
      <c r="E47" s="27"/>
      <c r="H47" s="231"/>
    </row>
    <row r="48" spans="1:10" x14ac:dyDescent="0.25">
      <c r="A48" s="32">
        <v>3</v>
      </c>
      <c r="B48" s="54" t="s">
        <v>60</v>
      </c>
      <c r="C48" s="48">
        <v>182</v>
      </c>
      <c r="D48" s="48">
        <f>SUM(D46:D47)</f>
        <v>2773.2</v>
      </c>
      <c r="E48" s="27"/>
      <c r="H48" s="186"/>
    </row>
    <row r="49" spans="1:10" ht="19.5" thickBot="1" x14ac:dyDescent="0.45">
      <c r="A49" s="28" t="s">
        <v>78</v>
      </c>
      <c r="E49" s="24"/>
    </row>
    <row r="50" spans="1:10" ht="15.75" x14ac:dyDescent="0.25">
      <c r="A50" s="9" t="s">
        <v>1</v>
      </c>
      <c r="B50" s="254" t="s">
        <v>5</v>
      </c>
      <c r="C50" s="270" t="s">
        <v>3</v>
      </c>
      <c r="D50" s="256" t="s">
        <v>4</v>
      </c>
      <c r="E50" s="183" t="s">
        <v>61</v>
      </c>
    </row>
    <row r="51" spans="1:10" ht="15.75" x14ac:dyDescent="0.25">
      <c r="A51" s="1" t="s">
        <v>2</v>
      </c>
      <c r="B51" s="255"/>
      <c r="C51" s="274"/>
      <c r="D51" s="257"/>
      <c r="E51" s="184" t="s">
        <v>42</v>
      </c>
      <c r="H51" s="182"/>
    </row>
    <row r="52" spans="1:10" ht="13.5" customHeight="1" x14ac:dyDescent="0.25">
      <c r="A52" s="29">
        <v>1</v>
      </c>
      <c r="B52" s="20" t="s">
        <v>43</v>
      </c>
      <c r="C52" s="50">
        <v>17.48</v>
      </c>
      <c r="D52" s="50">
        <v>241.56</v>
      </c>
      <c r="E52" s="185">
        <v>9.3819999999999997</v>
      </c>
      <c r="H52" s="182"/>
    </row>
    <row r="53" spans="1:10" ht="11.25" customHeight="1" x14ac:dyDescent="0.25">
      <c r="A53" s="248" t="s">
        <v>73</v>
      </c>
      <c r="B53" s="249"/>
      <c r="C53" s="249"/>
      <c r="D53" s="249"/>
      <c r="E53" s="250"/>
      <c r="H53" s="181"/>
    </row>
    <row r="54" spans="1:10" ht="15.75" thickBot="1" x14ac:dyDescent="0.3">
      <c r="A54" s="251"/>
      <c r="B54" s="252"/>
      <c r="C54" s="252"/>
      <c r="D54" s="252"/>
      <c r="E54" s="253"/>
    </row>
    <row r="55" spans="1:10" ht="15.75" x14ac:dyDescent="0.25">
      <c r="A55" s="2" t="s">
        <v>1</v>
      </c>
      <c r="B55" s="254" t="s">
        <v>5</v>
      </c>
      <c r="C55" s="18" t="s">
        <v>3</v>
      </c>
      <c r="D55" s="18" t="s">
        <v>4</v>
      </c>
      <c r="E55" s="256" t="s">
        <v>13</v>
      </c>
      <c r="I55" s="180"/>
    </row>
    <row r="56" spans="1:10" ht="15.75" x14ac:dyDescent="0.25">
      <c r="A56" s="21" t="s">
        <v>2</v>
      </c>
      <c r="B56" s="255"/>
      <c r="C56" s="22" t="s">
        <v>46</v>
      </c>
      <c r="D56" s="22" t="s">
        <v>46</v>
      </c>
      <c r="E56" s="257"/>
      <c r="I56" s="180"/>
    </row>
    <row r="57" spans="1:10" ht="15.75" x14ac:dyDescent="0.25">
      <c r="A57" s="32">
        <v>1</v>
      </c>
      <c r="B57" s="54" t="s">
        <v>293</v>
      </c>
      <c r="C57" s="76">
        <v>37659</v>
      </c>
      <c r="D57" s="76">
        <v>620742</v>
      </c>
      <c r="E57" s="75" t="s">
        <v>114</v>
      </c>
    </row>
    <row r="58" spans="1:10" ht="15.75" x14ac:dyDescent="0.25">
      <c r="A58" s="32">
        <v>2</v>
      </c>
      <c r="B58" s="54" t="s">
        <v>47</v>
      </c>
      <c r="C58" s="179">
        <v>229.63</v>
      </c>
      <c r="D58" s="179">
        <f>D57/D8</f>
        <v>248.69471153846155</v>
      </c>
      <c r="E58" s="27"/>
      <c r="G58" s="195"/>
    </row>
    <row r="59" spans="1:10" ht="20.25" thickBot="1" x14ac:dyDescent="0.45">
      <c r="A59" s="25" t="s">
        <v>48</v>
      </c>
      <c r="B59" s="36"/>
      <c r="E59" s="24"/>
      <c r="G59" s="180"/>
    </row>
    <row r="60" spans="1:10" ht="15.75" x14ac:dyDescent="0.25">
      <c r="A60" s="196" t="s">
        <v>1</v>
      </c>
      <c r="B60" s="258" t="s">
        <v>5</v>
      </c>
      <c r="C60" s="258" t="s">
        <v>3</v>
      </c>
      <c r="D60" s="258" t="s">
        <v>4</v>
      </c>
      <c r="E60" s="260" t="s">
        <v>13</v>
      </c>
      <c r="G60" s="180"/>
      <c r="H60" s="180"/>
      <c r="J60" s="195"/>
    </row>
    <row r="61" spans="1:10" ht="15.75" x14ac:dyDescent="0.25">
      <c r="A61" s="197" t="s">
        <v>2</v>
      </c>
      <c r="B61" s="259"/>
      <c r="C61" s="259"/>
      <c r="D61" s="259"/>
      <c r="E61" s="261"/>
      <c r="G61" s="180"/>
      <c r="H61" s="180"/>
      <c r="J61" s="195"/>
    </row>
    <row r="62" spans="1:10" ht="15.75" x14ac:dyDescent="0.25">
      <c r="A62" s="32">
        <v>1</v>
      </c>
      <c r="B62" s="3" t="s">
        <v>49</v>
      </c>
      <c r="C62" s="76">
        <v>233</v>
      </c>
      <c r="D62" s="76">
        <v>3603</v>
      </c>
      <c r="E62" s="27"/>
      <c r="G62" s="180"/>
      <c r="J62" s="194"/>
    </row>
    <row r="63" spans="1:10" ht="15.75" x14ac:dyDescent="0.25">
      <c r="A63" s="32">
        <v>2</v>
      </c>
      <c r="B63" s="3" t="s">
        <v>52</v>
      </c>
      <c r="C63" s="89">
        <v>1.421</v>
      </c>
      <c r="D63" s="89">
        <v>1.444</v>
      </c>
      <c r="E63" s="27"/>
      <c r="G63" s="204"/>
    </row>
    <row r="64" spans="1:10" ht="15.75" x14ac:dyDescent="0.25">
      <c r="A64" s="32">
        <v>3</v>
      </c>
      <c r="B64" s="3" t="s">
        <v>50</v>
      </c>
      <c r="C64" s="76">
        <v>64</v>
      </c>
      <c r="D64" s="76">
        <v>1002</v>
      </c>
      <c r="E64" s="27"/>
      <c r="G64" s="187"/>
      <c r="H64" s="180"/>
      <c r="I64" s="186"/>
      <c r="J64" s="187"/>
    </row>
    <row r="65" spans="1:10" ht="15.75" x14ac:dyDescent="0.25">
      <c r="A65" s="32">
        <v>4</v>
      </c>
      <c r="B65" s="3" t="s">
        <v>53</v>
      </c>
      <c r="C65" s="76">
        <v>0.39</v>
      </c>
      <c r="D65" s="89">
        <v>0.40100000000000002</v>
      </c>
      <c r="E65" s="27"/>
      <c r="G65" s="180"/>
      <c r="H65" s="180"/>
      <c r="J65" s="187"/>
    </row>
    <row r="66" spans="1:10" ht="15.75" x14ac:dyDescent="0.25">
      <c r="A66" s="32">
        <v>5</v>
      </c>
      <c r="B66" s="3" t="s">
        <v>51</v>
      </c>
      <c r="C66" s="152">
        <v>51.9</v>
      </c>
      <c r="D66" s="152">
        <v>762.4</v>
      </c>
      <c r="E66" s="27"/>
      <c r="G66" s="195"/>
      <c r="I66" s="194"/>
      <c r="J66" s="186"/>
    </row>
    <row r="67" spans="1:10" ht="15.75" x14ac:dyDescent="0.25">
      <c r="A67" s="32">
        <v>6</v>
      </c>
      <c r="B67" s="3" t="s">
        <v>54</v>
      </c>
      <c r="C67" s="89">
        <v>0.316</v>
      </c>
      <c r="D67" s="89">
        <v>0.30499999999999999</v>
      </c>
      <c r="E67" s="27"/>
      <c r="J67" s="187"/>
    </row>
    <row r="68" spans="1:10" ht="15.75" x14ac:dyDescent="0.25">
      <c r="A68" s="32">
        <v>7</v>
      </c>
      <c r="B68" s="3" t="s">
        <v>55</v>
      </c>
      <c r="C68" s="89">
        <v>44.003999999999998</v>
      </c>
      <c r="D68" s="89">
        <v>730.23400000000004</v>
      </c>
      <c r="E68" s="27"/>
      <c r="J68" s="187"/>
    </row>
    <row r="69" spans="1:10" ht="15.75" x14ac:dyDescent="0.25">
      <c r="A69" s="32">
        <v>8</v>
      </c>
      <c r="B69" s="3" t="s">
        <v>56</v>
      </c>
      <c r="C69" s="89">
        <v>0.26800000000000002</v>
      </c>
      <c r="D69" s="89">
        <f>+D68/D8</f>
        <v>0.29256169871794874</v>
      </c>
      <c r="E69" s="27"/>
      <c r="J69" s="186"/>
    </row>
    <row r="70" spans="1:10" ht="17.25" x14ac:dyDescent="0.25">
      <c r="A70" s="32">
        <v>9</v>
      </c>
      <c r="B70" s="3" t="s">
        <v>214</v>
      </c>
      <c r="C70" s="89">
        <v>282</v>
      </c>
      <c r="D70" s="89">
        <v>4013</v>
      </c>
      <c r="E70" s="27"/>
    </row>
    <row r="71" spans="1:10" ht="18" thickBot="1" x14ac:dyDescent="0.3">
      <c r="A71" s="37">
        <v>10</v>
      </c>
      <c r="B71" s="52" t="s">
        <v>215</v>
      </c>
      <c r="C71" s="159">
        <v>1.72</v>
      </c>
      <c r="D71" s="159">
        <f>D70/D8</f>
        <v>1.6077724358974359</v>
      </c>
      <c r="E71" s="38"/>
      <c r="H71" s="186"/>
      <c r="I71" s="180"/>
    </row>
    <row r="72" spans="1:10" ht="15.75" x14ac:dyDescent="0.25">
      <c r="I72" s="180"/>
    </row>
  </sheetData>
  <mergeCells count="29">
    <mergeCell ref="A53:E54"/>
    <mergeCell ref="B55:B56"/>
    <mergeCell ref="E55:E56"/>
    <mergeCell ref="B60:B61"/>
    <mergeCell ref="C60:C61"/>
    <mergeCell ref="D60:D61"/>
    <mergeCell ref="E60:E61"/>
    <mergeCell ref="B50:B51"/>
    <mergeCell ref="C50:C51"/>
    <mergeCell ref="D50:D51"/>
    <mergeCell ref="A18:E19"/>
    <mergeCell ref="B20:B21"/>
    <mergeCell ref="E20:E21"/>
    <mergeCell ref="A28:E29"/>
    <mergeCell ref="B30:B31"/>
    <mergeCell ref="E30:E31"/>
    <mergeCell ref="A42:E43"/>
    <mergeCell ref="B44:B45"/>
    <mergeCell ref="C44:C45"/>
    <mergeCell ref="D44:D45"/>
    <mergeCell ref="E44:E45"/>
    <mergeCell ref="A1:E1"/>
    <mergeCell ref="A2:E2"/>
    <mergeCell ref="A3:E3"/>
    <mergeCell ref="A4:E5"/>
    <mergeCell ref="B6:B7"/>
    <mergeCell ref="C6:C7"/>
    <mergeCell ref="D6:D7"/>
    <mergeCell ref="E6:E7"/>
  </mergeCells>
  <pageMargins left="0.70866141732283472" right="0.19685039370078741" top="0.11811023622047245" bottom="0.19685039370078741" header="0.11811023622047245" footer="0.15748031496062992"/>
  <pageSetup scale="6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72"/>
  <sheetViews>
    <sheetView topLeftCell="A57" workbookViewId="0">
      <selection activeCell="E74" sqref="E74"/>
    </sheetView>
  </sheetViews>
  <sheetFormatPr defaultRowHeight="15" x14ac:dyDescent="0.25"/>
  <cols>
    <col min="1" max="1" width="5.42578125" customWidth="1"/>
    <col min="2" max="2" width="35" customWidth="1"/>
    <col min="3" max="3" width="10.140625" customWidth="1"/>
    <col min="4" max="4" width="17.7109375" customWidth="1"/>
    <col min="5" max="5" width="52.42578125" customWidth="1"/>
    <col min="8" max="8" width="12.7109375" customWidth="1"/>
    <col min="10" max="10" width="11.42578125" bestFit="1" customWidth="1"/>
  </cols>
  <sheetData>
    <row r="1" spans="1:8" ht="23.25" thickBot="1" x14ac:dyDescent="0.5">
      <c r="A1" s="284" t="s">
        <v>294</v>
      </c>
      <c r="B1" s="285"/>
      <c r="C1" s="285"/>
      <c r="D1" s="285"/>
      <c r="E1" s="286"/>
    </row>
    <row r="2" spans="1:8" ht="23.25" thickBot="1" x14ac:dyDescent="0.5">
      <c r="A2" s="287" t="s">
        <v>30</v>
      </c>
      <c r="B2" s="288"/>
      <c r="C2" s="288"/>
      <c r="D2" s="288"/>
      <c r="E2" s="289"/>
    </row>
    <row r="3" spans="1:8" ht="25.5" thickBot="1" x14ac:dyDescent="0.3">
      <c r="A3" s="290" t="s">
        <v>0</v>
      </c>
      <c r="B3" s="291"/>
      <c r="C3" s="291"/>
      <c r="D3" s="291"/>
      <c r="E3" s="292"/>
    </row>
    <row r="4" spans="1:8" x14ac:dyDescent="0.25">
      <c r="A4" s="293" t="s">
        <v>32</v>
      </c>
      <c r="B4" s="294"/>
      <c r="C4" s="294"/>
      <c r="D4" s="294"/>
      <c r="E4" s="295"/>
    </row>
    <row r="5" spans="1:8" ht="15.75" thickBot="1" x14ac:dyDescent="0.3">
      <c r="A5" s="296"/>
      <c r="B5" s="297"/>
      <c r="C5" s="297"/>
      <c r="D5" s="297"/>
      <c r="E5" s="298"/>
    </row>
    <row r="6" spans="1:8" ht="15.75" x14ac:dyDescent="0.25">
      <c r="A6" s="2" t="s">
        <v>1</v>
      </c>
      <c r="B6" s="254" t="s">
        <v>5</v>
      </c>
      <c r="C6" s="270" t="s">
        <v>3</v>
      </c>
      <c r="D6" s="270" t="s">
        <v>4</v>
      </c>
      <c r="E6" s="256" t="s">
        <v>13</v>
      </c>
    </row>
    <row r="7" spans="1:8" ht="16.5" thickBot="1" x14ac:dyDescent="0.3">
      <c r="A7" s="15" t="s">
        <v>2</v>
      </c>
      <c r="B7" s="282"/>
      <c r="C7" s="271"/>
      <c r="D7" s="271"/>
      <c r="E7" s="283"/>
      <c r="H7" s="206"/>
    </row>
    <row r="8" spans="1:8" ht="15.75" x14ac:dyDescent="0.25">
      <c r="A8" s="35">
        <v>1</v>
      </c>
      <c r="B8" s="16" t="s">
        <v>6</v>
      </c>
      <c r="C8" s="78">
        <v>155</v>
      </c>
      <c r="D8" s="78">
        <v>2651</v>
      </c>
      <c r="E8" s="189" t="s">
        <v>295</v>
      </c>
      <c r="H8" s="206"/>
    </row>
    <row r="9" spans="1:8" ht="15.75" x14ac:dyDescent="0.25">
      <c r="A9" s="32">
        <v>2</v>
      </c>
      <c r="B9" s="3" t="s">
        <v>7</v>
      </c>
      <c r="C9" s="79" t="s">
        <v>68</v>
      </c>
      <c r="D9" s="79">
        <v>139.52600000000001</v>
      </c>
      <c r="E9" s="27"/>
      <c r="H9" s="186"/>
    </row>
    <row r="10" spans="1:8" ht="15.75" x14ac:dyDescent="0.25">
      <c r="A10" s="32">
        <v>3</v>
      </c>
      <c r="B10" s="3" t="s">
        <v>8</v>
      </c>
      <c r="C10" s="79">
        <v>158.76</v>
      </c>
      <c r="D10" s="79">
        <v>2607.66</v>
      </c>
      <c r="E10" s="190" t="s">
        <v>218</v>
      </c>
      <c r="H10" s="186"/>
    </row>
    <row r="11" spans="1:8" ht="15.75" x14ac:dyDescent="0.25">
      <c r="A11" s="32">
        <v>4</v>
      </c>
      <c r="B11" s="3" t="s">
        <v>9</v>
      </c>
      <c r="C11" s="79"/>
      <c r="D11" s="79">
        <v>137.245</v>
      </c>
      <c r="E11" s="27"/>
    </row>
    <row r="12" spans="1:8" ht="31.5" x14ac:dyDescent="0.25">
      <c r="A12" s="32">
        <v>5</v>
      </c>
      <c r="B12" s="3" t="s">
        <v>12</v>
      </c>
      <c r="C12" s="79" t="s">
        <v>296</v>
      </c>
      <c r="D12" s="79" t="s">
        <v>297</v>
      </c>
      <c r="E12" s="236" t="s">
        <v>298</v>
      </c>
    </row>
    <row r="13" spans="1:8" ht="15.75" x14ac:dyDescent="0.3">
      <c r="A13" s="58">
        <v>6</v>
      </c>
      <c r="B13" s="5" t="s">
        <v>45</v>
      </c>
      <c r="C13" s="39"/>
      <c r="D13" s="39" t="s">
        <v>116</v>
      </c>
      <c r="E13" s="27"/>
    </row>
    <row r="14" spans="1:8" ht="15.75" x14ac:dyDescent="0.3">
      <c r="A14" s="58">
        <v>7</v>
      </c>
      <c r="B14" s="5" t="s">
        <v>44</v>
      </c>
      <c r="C14" s="39" t="s">
        <v>116</v>
      </c>
      <c r="D14" s="39" t="s">
        <v>116</v>
      </c>
      <c r="E14" s="27"/>
    </row>
    <row r="15" spans="1:8" ht="15.75" x14ac:dyDescent="0.3">
      <c r="A15" s="58">
        <v>8</v>
      </c>
      <c r="B15" s="5" t="s">
        <v>10</v>
      </c>
      <c r="C15" s="39" t="s">
        <v>116</v>
      </c>
      <c r="D15" s="39" t="s">
        <v>117</v>
      </c>
      <c r="E15" s="27"/>
    </row>
    <row r="16" spans="1:8" ht="15.75" x14ac:dyDescent="0.3">
      <c r="A16" s="58">
        <v>9</v>
      </c>
      <c r="B16" s="5" t="s">
        <v>11</v>
      </c>
      <c r="C16" s="39" t="s">
        <v>116</v>
      </c>
      <c r="D16" s="39" t="s">
        <v>117</v>
      </c>
      <c r="E16" s="27"/>
    </row>
    <row r="17" spans="1:10" ht="15.75" x14ac:dyDescent="0.3">
      <c r="A17" s="58">
        <v>10</v>
      </c>
      <c r="B17" s="4" t="s">
        <v>12</v>
      </c>
      <c r="C17" s="39" t="s">
        <v>118</v>
      </c>
      <c r="D17" s="40" t="s">
        <v>118</v>
      </c>
      <c r="E17" s="27"/>
    </row>
    <row r="18" spans="1:10" x14ac:dyDescent="0.25">
      <c r="A18" s="248" t="s">
        <v>104</v>
      </c>
      <c r="B18" s="249"/>
      <c r="C18" s="249"/>
      <c r="D18" s="249"/>
      <c r="E18" s="250"/>
    </row>
    <row r="19" spans="1:10" ht="15.75" thickBot="1" x14ac:dyDescent="0.3">
      <c r="A19" s="251"/>
      <c r="B19" s="252"/>
      <c r="C19" s="252"/>
      <c r="D19" s="252"/>
      <c r="E19" s="253"/>
    </row>
    <row r="20" spans="1:10" ht="15.75" x14ac:dyDescent="0.25">
      <c r="A20" s="11" t="s">
        <v>1</v>
      </c>
      <c r="B20" s="275" t="s">
        <v>31</v>
      </c>
      <c r="C20" s="56" t="s">
        <v>34</v>
      </c>
      <c r="D20" s="41" t="s">
        <v>33</v>
      </c>
      <c r="E20" s="277" t="s">
        <v>13</v>
      </c>
    </row>
    <row r="21" spans="1:10" ht="16.5" thickBot="1" x14ac:dyDescent="0.3">
      <c r="A21" s="93" t="s">
        <v>2</v>
      </c>
      <c r="B21" s="276"/>
      <c r="C21" s="94" t="s">
        <v>35</v>
      </c>
      <c r="D21" s="95" t="s">
        <v>3</v>
      </c>
      <c r="E21" s="278"/>
    </row>
    <row r="22" spans="1:10" ht="15.75" x14ac:dyDescent="0.25">
      <c r="A22" s="160">
        <v>1</v>
      </c>
      <c r="B22" s="161" t="s">
        <v>180</v>
      </c>
      <c r="C22" s="162">
        <v>92</v>
      </c>
      <c r="D22" s="167">
        <v>155</v>
      </c>
      <c r="E22" s="26"/>
    </row>
    <row r="23" spans="1:10" ht="15.75" x14ac:dyDescent="0.25">
      <c r="A23" s="163">
        <v>2</v>
      </c>
      <c r="B23" s="161"/>
      <c r="C23" s="165"/>
      <c r="D23" s="167"/>
      <c r="E23" s="27"/>
    </row>
    <row r="24" spans="1:10" ht="15.75" x14ac:dyDescent="0.25">
      <c r="A24" s="160">
        <v>3</v>
      </c>
      <c r="B24" s="161"/>
      <c r="C24" s="162"/>
      <c r="D24" s="167"/>
      <c r="E24" s="27"/>
    </row>
    <row r="25" spans="1:10" ht="15.75" x14ac:dyDescent="0.25">
      <c r="A25" s="163">
        <v>4</v>
      </c>
      <c r="B25" s="161"/>
      <c r="C25" s="165"/>
      <c r="D25" s="167"/>
      <c r="E25" s="31"/>
    </row>
    <row r="26" spans="1:10" ht="20.25" thickBot="1" x14ac:dyDescent="0.3">
      <c r="A26" s="207"/>
      <c r="B26" s="161"/>
      <c r="C26" s="234"/>
      <c r="D26" s="214"/>
      <c r="E26" s="38"/>
      <c r="H26" s="229"/>
    </row>
    <row r="27" spans="1:10" ht="20.25" thickBot="1" x14ac:dyDescent="0.45">
      <c r="A27" s="211">
        <v>6</v>
      </c>
      <c r="B27" s="208" t="s">
        <v>251</v>
      </c>
      <c r="C27" s="212">
        <f>SUM(C22:C26)</f>
        <v>92</v>
      </c>
      <c r="D27" s="213">
        <f>SUM(D22:D26)</f>
        <v>155</v>
      </c>
      <c r="E27" s="24"/>
      <c r="H27" s="229"/>
      <c r="J27" s="186"/>
    </row>
    <row r="28" spans="1:10" ht="19.5" x14ac:dyDescent="0.25">
      <c r="A28" s="279" t="s">
        <v>105</v>
      </c>
      <c r="B28" s="280"/>
      <c r="C28" s="280"/>
      <c r="D28" s="280"/>
      <c r="E28" s="281"/>
      <c r="H28" s="230"/>
    </row>
    <row r="29" spans="1:10" ht="20.25" thickBot="1" x14ac:dyDescent="0.3">
      <c r="A29" s="251"/>
      <c r="B29" s="252"/>
      <c r="C29" s="252"/>
      <c r="D29" s="252"/>
      <c r="E29" s="253"/>
      <c r="H29" s="229"/>
    </row>
    <row r="30" spans="1:10" ht="15.75" x14ac:dyDescent="0.25">
      <c r="A30" s="2" t="s">
        <v>1</v>
      </c>
      <c r="B30" s="254" t="s">
        <v>5</v>
      </c>
      <c r="C30" s="18" t="s">
        <v>3</v>
      </c>
      <c r="D30" s="18" t="s">
        <v>4</v>
      </c>
      <c r="E30" s="256" t="s">
        <v>13</v>
      </c>
      <c r="H30" s="186"/>
    </row>
    <row r="31" spans="1:10" ht="20.25" thickBot="1" x14ac:dyDescent="0.3">
      <c r="A31" s="15" t="s">
        <v>2</v>
      </c>
      <c r="B31" s="282"/>
      <c r="C31" s="19" t="s">
        <v>40</v>
      </c>
      <c r="D31" s="19" t="s">
        <v>40</v>
      </c>
      <c r="E31" s="283"/>
      <c r="H31" s="222"/>
    </row>
    <row r="32" spans="1:10" ht="19.5" x14ac:dyDescent="0.4">
      <c r="A32" s="128">
        <v>1</v>
      </c>
      <c r="B32" s="135" t="s">
        <v>14</v>
      </c>
      <c r="C32" s="130">
        <v>20.399999999999999</v>
      </c>
      <c r="D32" s="131">
        <v>375.55</v>
      </c>
      <c r="E32" s="227"/>
      <c r="H32" s="222"/>
      <c r="J32" s="181"/>
    </row>
    <row r="33" spans="1:10" ht="20.25" thickBot="1" x14ac:dyDescent="0.45">
      <c r="A33" s="129">
        <v>2</v>
      </c>
      <c r="B33" s="136" t="s">
        <v>99</v>
      </c>
      <c r="C33" s="132">
        <v>3.2</v>
      </c>
      <c r="D33" s="133">
        <v>80.05</v>
      </c>
      <c r="E33" s="86"/>
      <c r="H33" s="181"/>
      <c r="J33" s="181"/>
    </row>
    <row r="34" spans="1:10" ht="45.75" thickBot="1" x14ac:dyDescent="0.35">
      <c r="A34" s="35">
        <v>3</v>
      </c>
      <c r="B34" s="53" t="s">
        <v>15</v>
      </c>
      <c r="C34" s="237">
        <v>2.5</v>
      </c>
      <c r="D34" s="226">
        <v>23.55</v>
      </c>
      <c r="E34" s="198" t="s">
        <v>300</v>
      </c>
      <c r="J34" s="222"/>
    </row>
    <row r="35" spans="1:10" ht="16.5" x14ac:dyDescent="0.3">
      <c r="A35" s="32">
        <v>4</v>
      </c>
      <c r="B35" s="54" t="s">
        <v>16</v>
      </c>
      <c r="C35" s="122" t="s">
        <v>64</v>
      </c>
      <c r="D35" s="123" t="s">
        <v>63</v>
      </c>
      <c r="E35" s="115"/>
    </row>
    <row r="36" spans="1:10" ht="19.5" x14ac:dyDescent="0.3">
      <c r="A36" s="32">
        <v>5</v>
      </c>
      <c r="B36" s="54" t="s">
        <v>17</v>
      </c>
      <c r="C36" s="124" t="s">
        <v>64</v>
      </c>
      <c r="D36" s="123">
        <v>22.05</v>
      </c>
      <c r="E36" s="177"/>
      <c r="H36" s="222"/>
      <c r="J36" s="181"/>
    </row>
    <row r="37" spans="1:10" ht="19.5" x14ac:dyDescent="0.3">
      <c r="A37" s="32">
        <v>6</v>
      </c>
      <c r="B37" s="54" t="s">
        <v>18</v>
      </c>
      <c r="C37" s="122" t="s">
        <v>64</v>
      </c>
      <c r="D37" s="123" t="s">
        <v>64</v>
      </c>
      <c r="E37" s="115"/>
      <c r="H37" s="222"/>
    </row>
    <row r="38" spans="1:10" ht="19.5" x14ac:dyDescent="0.25">
      <c r="A38" s="32">
        <v>7</v>
      </c>
      <c r="B38" s="54" t="s">
        <v>19</v>
      </c>
      <c r="C38" s="124" t="s">
        <v>116</v>
      </c>
      <c r="D38" s="123">
        <v>21.15</v>
      </c>
      <c r="E38" s="235"/>
      <c r="H38" s="181"/>
      <c r="J38" s="222"/>
    </row>
    <row r="39" spans="1:10" ht="16.5" x14ac:dyDescent="0.3">
      <c r="A39" s="32">
        <v>8</v>
      </c>
      <c r="B39" s="54" t="s">
        <v>20</v>
      </c>
      <c r="C39" s="124">
        <v>0.3</v>
      </c>
      <c r="D39" s="123">
        <v>3.5</v>
      </c>
      <c r="E39" s="178" t="s">
        <v>299</v>
      </c>
    </row>
    <row r="40" spans="1:10" ht="16.5" x14ac:dyDescent="0.3">
      <c r="A40" s="32">
        <v>9</v>
      </c>
      <c r="B40" s="54" t="s">
        <v>21</v>
      </c>
      <c r="C40" s="122" t="s">
        <v>64</v>
      </c>
      <c r="D40" s="123" t="s">
        <v>116</v>
      </c>
      <c r="E40" s="115"/>
      <c r="G40" s="181"/>
    </row>
    <row r="41" spans="1:10" ht="17.25" thickBot="1" x14ac:dyDescent="0.35">
      <c r="A41" s="37">
        <v>10</v>
      </c>
      <c r="B41" s="55" t="s">
        <v>22</v>
      </c>
      <c r="C41" s="126" t="s">
        <v>116</v>
      </c>
      <c r="D41" s="139">
        <v>9</v>
      </c>
      <c r="E41" s="108"/>
    </row>
    <row r="42" spans="1:10" ht="11.25" customHeight="1" x14ac:dyDescent="0.25">
      <c r="A42" s="262" t="s">
        <v>77</v>
      </c>
      <c r="B42" s="263"/>
      <c r="C42" s="263"/>
      <c r="D42" s="263"/>
      <c r="E42" s="264"/>
      <c r="G42" s="181"/>
    </row>
    <row r="43" spans="1:10" ht="11.25" customHeight="1" thickBot="1" x14ac:dyDescent="0.3">
      <c r="A43" s="265"/>
      <c r="B43" s="266"/>
      <c r="C43" s="266"/>
      <c r="D43" s="266"/>
      <c r="E43" s="267"/>
    </row>
    <row r="44" spans="1:10" ht="15.75" x14ac:dyDescent="0.25">
      <c r="A44" s="9" t="s">
        <v>1</v>
      </c>
      <c r="B44" s="268" t="s">
        <v>27</v>
      </c>
      <c r="C44" s="270" t="s">
        <v>3</v>
      </c>
      <c r="D44" s="270" t="s">
        <v>4</v>
      </c>
      <c r="E44" s="272" t="s">
        <v>28</v>
      </c>
      <c r="H44" s="181"/>
    </row>
    <row r="45" spans="1:10" ht="16.5" thickBot="1" x14ac:dyDescent="0.3">
      <c r="A45" s="17" t="s">
        <v>2</v>
      </c>
      <c r="B45" s="269"/>
      <c r="C45" s="271"/>
      <c r="D45" s="271"/>
      <c r="E45" s="273"/>
    </row>
    <row r="46" spans="1:10" x14ac:dyDescent="0.25">
      <c r="A46" s="35">
        <v>1</v>
      </c>
      <c r="B46" s="53" t="s">
        <v>58</v>
      </c>
      <c r="C46" s="49">
        <v>0</v>
      </c>
      <c r="D46" s="49">
        <v>27.2</v>
      </c>
      <c r="E46" s="233" t="s">
        <v>282</v>
      </c>
      <c r="H46" s="231"/>
    </row>
    <row r="47" spans="1:10" x14ac:dyDescent="0.25">
      <c r="A47" s="32">
        <v>2</v>
      </c>
      <c r="B47" s="54" t="s">
        <v>59</v>
      </c>
      <c r="C47" s="48">
        <v>172</v>
      </c>
      <c r="D47" s="48">
        <v>2918</v>
      </c>
      <c r="E47" s="27"/>
      <c r="H47" s="231"/>
    </row>
    <row r="48" spans="1:10" x14ac:dyDescent="0.25">
      <c r="A48" s="32">
        <v>3</v>
      </c>
      <c r="B48" s="54" t="s">
        <v>60</v>
      </c>
      <c r="C48" s="48">
        <v>172</v>
      </c>
      <c r="D48" s="48">
        <f>SUM(D46:D47)</f>
        <v>2945.2</v>
      </c>
      <c r="E48" s="27"/>
      <c r="H48" s="186"/>
    </row>
    <row r="49" spans="1:10" ht="19.5" thickBot="1" x14ac:dyDescent="0.45">
      <c r="A49" s="28" t="s">
        <v>78</v>
      </c>
      <c r="E49" s="24"/>
    </row>
    <row r="50" spans="1:10" ht="15.75" x14ac:dyDescent="0.25">
      <c r="A50" s="9" t="s">
        <v>1</v>
      </c>
      <c r="B50" s="254" t="s">
        <v>5</v>
      </c>
      <c r="C50" s="270" t="s">
        <v>3</v>
      </c>
      <c r="D50" s="256" t="s">
        <v>4</v>
      </c>
      <c r="E50" s="183" t="s">
        <v>61</v>
      </c>
    </row>
    <row r="51" spans="1:10" ht="15.75" x14ac:dyDescent="0.25">
      <c r="A51" s="1" t="s">
        <v>2</v>
      </c>
      <c r="B51" s="255"/>
      <c r="C51" s="274"/>
      <c r="D51" s="257"/>
      <c r="E51" s="184" t="s">
        <v>42</v>
      </c>
      <c r="H51" s="182"/>
    </row>
    <row r="52" spans="1:10" ht="13.5" customHeight="1" x14ac:dyDescent="0.25">
      <c r="A52" s="29">
        <v>1</v>
      </c>
      <c r="B52" s="20" t="s">
        <v>43</v>
      </c>
      <c r="C52" s="50">
        <v>16.48</v>
      </c>
      <c r="D52" s="50">
        <v>258.44</v>
      </c>
      <c r="E52" s="185">
        <v>9.4049999999999994</v>
      </c>
      <c r="H52" s="182"/>
    </row>
    <row r="53" spans="1:10" ht="7.5" customHeight="1" x14ac:dyDescent="0.25">
      <c r="A53" s="248" t="s">
        <v>73</v>
      </c>
      <c r="B53" s="249"/>
      <c r="C53" s="249"/>
      <c r="D53" s="249"/>
      <c r="E53" s="250"/>
      <c r="H53" s="181"/>
    </row>
    <row r="54" spans="1:10" ht="13.5" customHeight="1" thickBot="1" x14ac:dyDescent="0.3">
      <c r="A54" s="251"/>
      <c r="B54" s="252"/>
      <c r="C54" s="252"/>
      <c r="D54" s="252"/>
      <c r="E54" s="253"/>
    </row>
    <row r="55" spans="1:10" ht="15.75" x14ac:dyDescent="0.25">
      <c r="A55" s="2" t="s">
        <v>1</v>
      </c>
      <c r="B55" s="254" t="s">
        <v>5</v>
      </c>
      <c r="C55" s="18" t="s">
        <v>3</v>
      </c>
      <c r="D55" s="18" t="s">
        <v>4</v>
      </c>
      <c r="E55" s="256" t="s">
        <v>13</v>
      </c>
      <c r="I55" s="180"/>
    </row>
    <row r="56" spans="1:10" ht="15.75" x14ac:dyDescent="0.25">
      <c r="A56" s="21" t="s">
        <v>2</v>
      </c>
      <c r="B56" s="255"/>
      <c r="C56" s="22" t="s">
        <v>46</v>
      </c>
      <c r="D56" s="22" t="s">
        <v>46</v>
      </c>
      <c r="E56" s="257"/>
      <c r="I56" s="180"/>
    </row>
    <row r="57" spans="1:10" ht="15.75" x14ac:dyDescent="0.25">
      <c r="A57" s="32">
        <v>1</v>
      </c>
      <c r="B57" s="54" t="s">
        <v>301</v>
      </c>
      <c r="C57" s="76">
        <v>36414</v>
      </c>
      <c r="D57" s="76">
        <v>657156</v>
      </c>
      <c r="E57" s="75" t="s">
        <v>114</v>
      </c>
    </row>
    <row r="58" spans="1:10" ht="15.75" x14ac:dyDescent="0.25">
      <c r="A58" s="32">
        <v>2</v>
      </c>
      <c r="B58" s="54" t="s">
        <v>47</v>
      </c>
      <c r="C58" s="179">
        <f>C57/C8</f>
        <v>234.92903225806452</v>
      </c>
      <c r="D58" s="179">
        <f>D57/D8</f>
        <v>247.8898528857035</v>
      </c>
      <c r="E58" s="27"/>
      <c r="G58" s="204"/>
    </row>
    <row r="59" spans="1:10" ht="20.25" thickBot="1" x14ac:dyDescent="0.45">
      <c r="A59" s="25" t="s">
        <v>48</v>
      </c>
      <c r="B59" s="36"/>
      <c r="E59" s="24"/>
      <c r="G59" s="180"/>
    </row>
    <row r="60" spans="1:10" ht="15.75" x14ac:dyDescent="0.25">
      <c r="A60" s="196" t="s">
        <v>1</v>
      </c>
      <c r="B60" s="258" t="s">
        <v>5</v>
      </c>
      <c r="C60" s="258" t="s">
        <v>3</v>
      </c>
      <c r="D60" s="258" t="s">
        <v>4</v>
      </c>
      <c r="E60" s="260" t="s">
        <v>13</v>
      </c>
      <c r="G60" s="195"/>
      <c r="H60" s="180"/>
      <c r="J60" s="195"/>
    </row>
    <row r="61" spans="1:10" ht="15.75" x14ac:dyDescent="0.25">
      <c r="A61" s="197" t="s">
        <v>2</v>
      </c>
      <c r="B61" s="259"/>
      <c r="C61" s="259"/>
      <c r="D61" s="259"/>
      <c r="E61" s="261"/>
      <c r="G61" s="187"/>
      <c r="H61" s="180"/>
      <c r="J61" s="195"/>
    </row>
    <row r="62" spans="1:10" ht="15.75" x14ac:dyDescent="0.25">
      <c r="A62" s="32">
        <v>1</v>
      </c>
      <c r="B62" s="3" t="s">
        <v>49</v>
      </c>
      <c r="C62" s="76">
        <v>231</v>
      </c>
      <c r="D62" s="76">
        <f>3603+C62</f>
        <v>3834</v>
      </c>
      <c r="E62" s="27"/>
      <c r="G62" s="180"/>
      <c r="I62" s="187"/>
      <c r="J62" s="194"/>
    </row>
    <row r="63" spans="1:10" ht="15.75" x14ac:dyDescent="0.25">
      <c r="A63" s="32">
        <v>2</v>
      </c>
      <c r="B63" s="3" t="s">
        <v>52</v>
      </c>
      <c r="C63" s="179">
        <f>+C62/C8</f>
        <v>1.4903225806451612</v>
      </c>
      <c r="D63" s="89">
        <f>D62/D8</f>
        <v>1.4462466993587326</v>
      </c>
      <c r="E63" s="27"/>
      <c r="G63" s="204"/>
    </row>
    <row r="64" spans="1:10" ht="15.75" x14ac:dyDescent="0.25">
      <c r="A64" s="32">
        <v>3</v>
      </c>
      <c r="B64" s="3" t="s">
        <v>50</v>
      </c>
      <c r="C64" s="76">
        <v>62</v>
      </c>
      <c r="D64" s="76">
        <f>1002+C64</f>
        <v>1064</v>
      </c>
      <c r="E64" s="27"/>
      <c r="G64" s="187"/>
      <c r="H64" s="180"/>
      <c r="I64" s="186"/>
      <c r="J64" s="187"/>
    </row>
    <row r="65" spans="1:10" ht="15.75" x14ac:dyDescent="0.25">
      <c r="A65" s="32">
        <v>4</v>
      </c>
      <c r="B65" s="3" t="s">
        <v>53</v>
      </c>
      <c r="C65" s="76">
        <f>+C64/C8</f>
        <v>0.4</v>
      </c>
      <c r="D65" s="89">
        <f>D64/D8</f>
        <v>0.40135797812146362</v>
      </c>
      <c r="E65" s="27"/>
      <c r="G65" s="180"/>
      <c r="H65" s="187"/>
      <c r="J65" s="187"/>
    </row>
    <row r="66" spans="1:10" ht="15.75" x14ac:dyDescent="0.25">
      <c r="A66" s="32">
        <v>5</v>
      </c>
      <c r="B66" s="3" t="s">
        <v>51</v>
      </c>
      <c r="C66" s="152">
        <v>42.5</v>
      </c>
      <c r="D66" s="152">
        <v>804.9</v>
      </c>
      <c r="E66" s="27"/>
      <c r="G66" s="195"/>
      <c r="I66" s="194"/>
      <c r="J66" s="186"/>
    </row>
    <row r="67" spans="1:10" ht="15.75" x14ac:dyDescent="0.25">
      <c r="A67" s="32">
        <v>6</v>
      </c>
      <c r="B67" s="3" t="s">
        <v>54</v>
      </c>
      <c r="C67" s="89">
        <f>+C66/D27</f>
        <v>0.27419354838709675</v>
      </c>
      <c r="D67" s="89">
        <f>D66/D8</f>
        <v>0.30362127499056957</v>
      </c>
      <c r="E67" s="27"/>
      <c r="J67" s="187"/>
    </row>
    <row r="68" spans="1:10" ht="15.75" x14ac:dyDescent="0.25">
      <c r="A68" s="32">
        <v>7</v>
      </c>
      <c r="B68" s="3" t="s">
        <v>55</v>
      </c>
      <c r="C68" s="89">
        <v>50.472999999999999</v>
      </c>
      <c r="D68" s="89">
        <f>730.234+C68</f>
        <v>780.70699999999999</v>
      </c>
      <c r="E68" s="27"/>
      <c r="J68" s="187"/>
    </row>
    <row r="69" spans="1:10" ht="15.75" x14ac:dyDescent="0.25">
      <c r="A69" s="32">
        <v>8</v>
      </c>
      <c r="B69" s="3" t="s">
        <v>56</v>
      </c>
      <c r="C69" s="89">
        <v>0.32600000000000001</v>
      </c>
      <c r="D69" s="89">
        <f>D68/D8</f>
        <v>0.29449528479818937</v>
      </c>
      <c r="E69" s="27"/>
      <c r="G69" s="187"/>
      <c r="J69" s="186"/>
    </row>
    <row r="70" spans="1:10" ht="17.25" x14ac:dyDescent="0.25">
      <c r="A70" s="32">
        <v>9</v>
      </c>
      <c r="B70" s="3" t="s">
        <v>214</v>
      </c>
      <c r="C70" s="89">
        <v>288</v>
      </c>
      <c r="D70" s="89">
        <v>4301</v>
      </c>
      <c r="E70" s="27"/>
    </row>
    <row r="71" spans="1:10" ht="18" thickBot="1" x14ac:dyDescent="0.3">
      <c r="A71" s="37">
        <v>10</v>
      </c>
      <c r="B71" s="52" t="s">
        <v>215</v>
      </c>
      <c r="C71" s="159">
        <f>C70/C8</f>
        <v>1.8580645161290323</v>
      </c>
      <c r="D71" s="159">
        <f>D70/D8</f>
        <v>1.6224066390041494</v>
      </c>
      <c r="E71" s="38"/>
      <c r="H71" s="186"/>
      <c r="I71" s="180"/>
    </row>
    <row r="72" spans="1:10" ht="15.75" x14ac:dyDescent="0.25">
      <c r="I72" s="180"/>
    </row>
  </sheetData>
  <mergeCells count="29">
    <mergeCell ref="A53:E54"/>
    <mergeCell ref="B55:B56"/>
    <mergeCell ref="E55:E56"/>
    <mergeCell ref="B60:B61"/>
    <mergeCell ref="C60:C61"/>
    <mergeCell ref="D60:D61"/>
    <mergeCell ref="E60:E61"/>
    <mergeCell ref="B50:B51"/>
    <mergeCell ref="C50:C51"/>
    <mergeCell ref="D50:D51"/>
    <mergeCell ref="A18:E19"/>
    <mergeCell ref="B20:B21"/>
    <mergeCell ref="E20:E21"/>
    <mergeCell ref="A28:E29"/>
    <mergeCell ref="B30:B31"/>
    <mergeCell ref="E30:E31"/>
    <mergeCell ref="A42:E43"/>
    <mergeCell ref="B44:B45"/>
    <mergeCell ref="C44:C45"/>
    <mergeCell ref="D44:D45"/>
    <mergeCell ref="E44:E45"/>
    <mergeCell ref="A1:E1"/>
    <mergeCell ref="A2:E2"/>
    <mergeCell ref="A3:E3"/>
    <mergeCell ref="A4:E5"/>
    <mergeCell ref="B6:B7"/>
    <mergeCell ref="C6:C7"/>
    <mergeCell ref="D6:D7"/>
    <mergeCell ref="E6:E7"/>
  </mergeCells>
  <pageMargins left="1.46" right="0.15748031496062992" top="0.11811023622047245" bottom="0.11811023622047245" header="7.874015748031496E-2" footer="7.874015748031496E-2"/>
  <pageSetup scale="65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72"/>
  <sheetViews>
    <sheetView topLeftCell="A61" workbookViewId="0">
      <selection activeCell="D62" sqref="D62:D71"/>
    </sheetView>
  </sheetViews>
  <sheetFormatPr defaultRowHeight="15" x14ac:dyDescent="0.25"/>
  <cols>
    <col min="1" max="1" width="5.42578125" customWidth="1"/>
    <col min="2" max="2" width="35" customWidth="1"/>
    <col min="3" max="3" width="10.140625" customWidth="1"/>
    <col min="4" max="4" width="17.7109375" customWidth="1"/>
    <col min="5" max="5" width="52.42578125" customWidth="1"/>
    <col min="8" max="8" width="12.7109375" customWidth="1"/>
    <col min="9" max="9" width="14.140625" customWidth="1"/>
    <col min="10" max="10" width="11.42578125" bestFit="1" customWidth="1"/>
  </cols>
  <sheetData>
    <row r="1" spans="1:8" ht="23.25" thickBot="1" x14ac:dyDescent="0.5">
      <c r="A1" s="284" t="s">
        <v>302</v>
      </c>
      <c r="B1" s="285"/>
      <c r="C1" s="285"/>
      <c r="D1" s="285"/>
      <c r="E1" s="286"/>
    </row>
    <row r="2" spans="1:8" ht="23.25" thickBot="1" x14ac:dyDescent="0.5">
      <c r="A2" s="287" t="s">
        <v>30</v>
      </c>
      <c r="B2" s="288"/>
      <c r="C2" s="288"/>
      <c r="D2" s="288"/>
      <c r="E2" s="289"/>
    </row>
    <row r="3" spans="1:8" ht="25.5" thickBot="1" x14ac:dyDescent="0.3">
      <c r="A3" s="290" t="s">
        <v>0</v>
      </c>
      <c r="B3" s="291"/>
      <c r="C3" s="291"/>
      <c r="D3" s="291"/>
      <c r="E3" s="292"/>
    </row>
    <row r="4" spans="1:8" x14ac:dyDescent="0.25">
      <c r="A4" s="293" t="s">
        <v>32</v>
      </c>
      <c r="B4" s="294"/>
      <c r="C4" s="294"/>
      <c r="D4" s="294"/>
      <c r="E4" s="295"/>
    </row>
    <row r="5" spans="1:8" ht="15.75" thickBot="1" x14ac:dyDescent="0.3">
      <c r="A5" s="296"/>
      <c r="B5" s="297"/>
      <c r="C5" s="297"/>
      <c r="D5" s="297"/>
      <c r="E5" s="298"/>
    </row>
    <row r="6" spans="1:8" ht="15.75" x14ac:dyDescent="0.25">
      <c r="A6" s="2" t="s">
        <v>1</v>
      </c>
      <c r="B6" s="254" t="s">
        <v>5</v>
      </c>
      <c r="C6" s="270" t="s">
        <v>3</v>
      </c>
      <c r="D6" s="270" t="s">
        <v>4</v>
      </c>
      <c r="E6" s="256" t="s">
        <v>13</v>
      </c>
    </row>
    <row r="7" spans="1:8" ht="16.5" thickBot="1" x14ac:dyDescent="0.3">
      <c r="A7" s="15" t="s">
        <v>2</v>
      </c>
      <c r="B7" s="282"/>
      <c r="C7" s="271"/>
      <c r="D7" s="271"/>
      <c r="E7" s="283"/>
      <c r="H7" s="206"/>
    </row>
    <row r="8" spans="1:8" ht="15.75" x14ac:dyDescent="0.25">
      <c r="A8" s="35">
        <v>1</v>
      </c>
      <c r="B8" s="16" t="s">
        <v>6</v>
      </c>
      <c r="C8" s="78">
        <v>157</v>
      </c>
      <c r="D8" s="78">
        <v>2808</v>
      </c>
      <c r="E8" s="189" t="s">
        <v>295</v>
      </c>
      <c r="H8" s="206"/>
    </row>
    <row r="9" spans="1:8" ht="15.75" x14ac:dyDescent="0.25">
      <c r="A9" s="32">
        <v>2</v>
      </c>
      <c r="B9" s="3" t="s">
        <v>7</v>
      </c>
      <c r="C9" s="79" t="s">
        <v>68</v>
      </c>
      <c r="D9" s="79">
        <v>140.4</v>
      </c>
      <c r="E9" s="27"/>
      <c r="H9" s="186"/>
    </row>
    <row r="10" spans="1:8" ht="15.75" x14ac:dyDescent="0.25">
      <c r="A10" s="32">
        <v>3</v>
      </c>
      <c r="B10" s="3" t="s">
        <v>8</v>
      </c>
      <c r="C10" s="79">
        <v>169.31</v>
      </c>
      <c r="D10" s="79">
        <v>2776.97</v>
      </c>
      <c r="E10" s="190" t="s">
        <v>303</v>
      </c>
      <c r="H10" s="186"/>
    </row>
    <row r="11" spans="1:8" ht="15.75" x14ac:dyDescent="0.25">
      <c r="A11" s="32">
        <v>4</v>
      </c>
      <c r="B11" s="3" t="s">
        <v>9</v>
      </c>
      <c r="C11" s="79"/>
      <c r="D11" s="79">
        <v>138.84800000000001</v>
      </c>
      <c r="E11" s="27"/>
    </row>
    <row r="12" spans="1:8" ht="15.75" x14ac:dyDescent="0.25">
      <c r="A12" s="32">
        <v>5</v>
      </c>
      <c r="B12" s="3" t="s">
        <v>12</v>
      </c>
      <c r="C12" s="79" t="s">
        <v>304</v>
      </c>
      <c r="D12" s="79" t="s">
        <v>305</v>
      </c>
      <c r="E12" s="236"/>
    </row>
    <row r="13" spans="1:8" ht="15.75" x14ac:dyDescent="0.3">
      <c r="A13" s="58">
        <v>6</v>
      </c>
      <c r="B13" s="5" t="s">
        <v>45</v>
      </c>
      <c r="C13" s="39"/>
      <c r="D13" s="39" t="s">
        <v>116</v>
      </c>
      <c r="E13" s="27"/>
    </row>
    <row r="14" spans="1:8" ht="15.75" x14ac:dyDescent="0.3">
      <c r="A14" s="58">
        <v>7</v>
      </c>
      <c r="B14" s="5" t="s">
        <v>44</v>
      </c>
      <c r="C14" s="39" t="s">
        <v>116</v>
      </c>
      <c r="D14" s="39" t="s">
        <v>116</v>
      </c>
      <c r="E14" s="27"/>
    </row>
    <row r="15" spans="1:8" ht="15.75" x14ac:dyDescent="0.3">
      <c r="A15" s="58">
        <v>8</v>
      </c>
      <c r="B15" s="5" t="s">
        <v>10</v>
      </c>
      <c r="C15" s="39" t="s">
        <v>116</v>
      </c>
      <c r="D15" s="39" t="s">
        <v>117</v>
      </c>
      <c r="E15" s="27"/>
    </row>
    <row r="16" spans="1:8" ht="15.75" x14ac:dyDescent="0.3">
      <c r="A16" s="58">
        <v>9</v>
      </c>
      <c r="B16" s="5" t="s">
        <v>11</v>
      </c>
      <c r="C16" s="39" t="s">
        <v>116</v>
      </c>
      <c r="D16" s="39" t="s">
        <v>117</v>
      </c>
      <c r="E16" s="27"/>
    </row>
    <row r="17" spans="1:10" ht="15.75" x14ac:dyDescent="0.3">
      <c r="A17" s="58">
        <v>10</v>
      </c>
      <c r="B17" s="4" t="s">
        <v>12</v>
      </c>
      <c r="C17" s="39" t="s">
        <v>118</v>
      </c>
      <c r="D17" s="40" t="s">
        <v>118</v>
      </c>
      <c r="E17" s="27"/>
    </row>
    <row r="18" spans="1:10" x14ac:dyDescent="0.25">
      <c r="A18" s="248" t="s">
        <v>104</v>
      </c>
      <c r="B18" s="249"/>
      <c r="C18" s="249"/>
      <c r="D18" s="249"/>
      <c r="E18" s="250"/>
    </row>
    <row r="19" spans="1:10" ht="15.75" thickBot="1" x14ac:dyDescent="0.3">
      <c r="A19" s="251"/>
      <c r="B19" s="252"/>
      <c r="C19" s="252"/>
      <c r="D19" s="252"/>
      <c r="E19" s="253"/>
    </row>
    <row r="20" spans="1:10" ht="15.75" x14ac:dyDescent="0.25">
      <c r="A20" s="11" t="s">
        <v>1</v>
      </c>
      <c r="B20" s="275" t="s">
        <v>31</v>
      </c>
      <c r="C20" s="56" t="s">
        <v>34</v>
      </c>
      <c r="D20" s="41" t="s">
        <v>33</v>
      </c>
      <c r="E20" s="277" t="s">
        <v>13</v>
      </c>
    </row>
    <row r="21" spans="1:10" ht="16.5" thickBot="1" x14ac:dyDescent="0.3">
      <c r="A21" s="93" t="s">
        <v>2</v>
      </c>
      <c r="B21" s="276"/>
      <c r="C21" s="94" t="s">
        <v>35</v>
      </c>
      <c r="D21" s="95" t="s">
        <v>3</v>
      </c>
      <c r="E21" s="278"/>
    </row>
    <row r="22" spans="1:10" ht="15.75" x14ac:dyDescent="0.25">
      <c r="A22" s="160">
        <v>1</v>
      </c>
      <c r="B22" s="161" t="s">
        <v>180</v>
      </c>
      <c r="C22" s="162">
        <v>5</v>
      </c>
      <c r="D22" s="167">
        <v>8.5</v>
      </c>
      <c r="E22" s="26"/>
    </row>
    <row r="23" spans="1:10" ht="15.75" x14ac:dyDescent="0.25">
      <c r="A23" s="163">
        <v>2</v>
      </c>
      <c r="B23" s="161" t="s">
        <v>179</v>
      </c>
      <c r="C23" s="165">
        <v>39</v>
      </c>
      <c r="D23" s="167">
        <v>66.5</v>
      </c>
      <c r="E23" s="27"/>
    </row>
    <row r="24" spans="1:10" ht="15.75" x14ac:dyDescent="0.25">
      <c r="A24" s="160">
        <v>3</v>
      </c>
      <c r="B24" s="161" t="s">
        <v>188</v>
      </c>
      <c r="C24" s="162">
        <v>48</v>
      </c>
      <c r="D24" s="167">
        <v>82</v>
      </c>
      <c r="E24" s="27"/>
    </row>
    <row r="25" spans="1:10" ht="15.75" x14ac:dyDescent="0.25">
      <c r="A25" s="163">
        <v>4</v>
      </c>
      <c r="B25" s="161"/>
      <c r="C25" s="165"/>
      <c r="D25" s="167"/>
      <c r="E25" s="31"/>
    </row>
    <row r="26" spans="1:10" ht="20.25" thickBot="1" x14ac:dyDescent="0.3">
      <c r="A26" s="207"/>
      <c r="B26" s="161"/>
      <c r="C26" s="234"/>
      <c r="D26" s="214"/>
      <c r="E26" s="38"/>
      <c r="H26" s="229"/>
    </row>
    <row r="27" spans="1:10" ht="20.25" thickBot="1" x14ac:dyDescent="0.45">
      <c r="A27" s="211">
        <v>6</v>
      </c>
      <c r="B27" s="208" t="s">
        <v>251</v>
      </c>
      <c r="C27" s="212">
        <f>SUM(C22:C26)</f>
        <v>92</v>
      </c>
      <c r="D27" s="213">
        <f>SUM(D22:D26)</f>
        <v>157</v>
      </c>
      <c r="E27" s="24"/>
      <c r="H27" s="229"/>
      <c r="J27" s="186"/>
    </row>
    <row r="28" spans="1:10" ht="19.5" x14ac:dyDescent="0.25">
      <c r="A28" s="279" t="s">
        <v>105</v>
      </c>
      <c r="B28" s="280"/>
      <c r="C28" s="280"/>
      <c r="D28" s="280"/>
      <c r="E28" s="281"/>
      <c r="H28" s="230"/>
    </row>
    <row r="29" spans="1:10" ht="20.25" thickBot="1" x14ac:dyDescent="0.3">
      <c r="A29" s="251"/>
      <c r="B29" s="252"/>
      <c r="C29" s="252"/>
      <c r="D29" s="252"/>
      <c r="E29" s="253"/>
      <c r="H29" s="229"/>
    </row>
    <row r="30" spans="1:10" ht="15.75" x14ac:dyDescent="0.25">
      <c r="A30" s="2" t="s">
        <v>1</v>
      </c>
      <c r="B30" s="254" t="s">
        <v>5</v>
      </c>
      <c r="C30" s="18" t="s">
        <v>3</v>
      </c>
      <c r="D30" s="18" t="s">
        <v>4</v>
      </c>
      <c r="E30" s="256" t="s">
        <v>13</v>
      </c>
      <c r="H30" s="186"/>
    </row>
    <row r="31" spans="1:10" ht="20.25" thickBot="1" x14ac:dyDescent="0.3">
      <c r="A31" s="15" t="s">
        <v>2</v>
      </c>
      <c r="B31" s="282"/>
      <c r="C31" s="19" t="s">
        <v>40</v>
      </c>
      <c r="D31" s="19" t="s">
        <v>40</v>
      </c>
      <c r="E31" s="283"/>
      <c r="H31" s="222"/>
    </row>
    <row r="32" spans="1:10" ht="19.5" x14ac:dyDescent="0.4">
      <c r="A32" s="128">
        <v>1</v>
      </c>
      <c r="B32" s="135" t="s">
        <v>14</v>
      </c>
      <c r="C32" s="130">
        <v>22.2</v>
      </c>
      <c r="D32" s="131">
        <v>398.15</v>
      </c>
      <c r="E32" s="227"/>
      <c r="H32" s="222"/>
      <c r="J32" s="181"/>
    </row>
    <row r="33" spans="1:10" ht="20.25" thickBot="1" x14ac:dyDescent="0.45">
      <c r="A33" s="129">
        <v>2</v>
      </c>
      <c r="B33" s="136" t="s">
        <v>99</v>
      </c>
      <c r="C33" s="132">
        <v>1.4</v>
      </c>
      <c r="D33" s="133">
        <v>81.45</v>
      </c>
      <c r="E33" s="86"/>
      <c r="H33" s="181"/>
      <c r="J33" s="181"/>
    </row>
    <row r="34" spans="1:10" ht="30.75" thickBot="1" x14ac:dyDescent="0.35">
      <c r="A34" s="35">
        <v>3</v>
      </c>
      <c r="B34" s="53" t="s">
        <v>15</v>
      </c>
      <c r="C34" s="237">
        <v>0.4</v>
      </c>
      <c r="D34" s="226">
        <v>24.35</v>
      </c>
      <c r="E34" s="198" t="s">
        <v>309</v>
      </c>
      <c r="J34" s="222"/>
    </row>
    <row r="35" spans="1:10" ht="16.5" x14ac:dyDescent="0.3">
      <c r="A35" s="32">
        <v>4</v>
      </c>
      <c r="B35" s="54" t="s">
        <v>16</v>
      </c>
      <c r="C35" s="122" t="s">
        <v>64</v>
      </c>
      <c r="D35" s="123" t="s">
        <v>63</v>
      </c>
      <c r="E35" s="115"/>
    </row>
    <row r="36" spans="1:10" ht="30" x14ac:dyDescent="0.3">
      <c r="A36" s="32">
        <v>5</v>
      </c>
      <c r="B36" s="54" t="s">
        <v>17</v>
      </c>
      <c r="C36" s="124">
        <v>0.4</v>
      </c>
      <c r="D36" s="123">
        <v>22.45</v>
      </c>
      <c r="E36" s="238" t="s">
        <v>307</v>
      </c>
      <c r="H36" s="222"/>
      <c r="J36" s="181"/>
    </row>
    <row r="37" spans="1:10" ht="19.5" x14ac:dyDescent="0.3">
      <c r="A37" s="32">
        <v>6</v>
      </c>
      <c r="B37" s="54" t="s">
        <v>18</v>
      </c>
      <c r="C37" s="122" t="s">
        <v>64</v>
      </c>
      <c r="D37" s="123" t="s">
        <v>64</v>
      </c>
      <c r="E37" s="115"/>
      <c r="H37" s="222"/>
    </row>
    <row r="38" spans="1:10" ht="19.5" x14ac:dyDescent="0.25">
      <c r="A38" s="32">
        <v>7</v>
      </c>
      <c r="B38" s="54" t="s">
        <v>19</v>
      </c>
      <c r="C38" s="124">
        <v>0.2</v>
      </c>
      <c r="D38" s="123">
        <v>21.35</v>
      </c>
      <c r="E38" s="235" t="s">
        <v>308</v>
      </c>
      <c r="H38" s="181"/>
      <c r="J38" s="222"/>
    </row>
    <row r="39" spans="1:10" ht="16.5" x14ac:dyDescent="0.3">
      <c r="A39" s="32">
        <v>8</v>
      </c>
      <c r="B39" s="54" t="s">
        <v>20</v>
      </c>
      <c r="C39" s="124"/>
      <c r="D39" s="123">
        <v>3.5</v>
      </c>
      <c r="E39" s="178"/>
    </row>
    <row r="40" spans="1:10" ht="16.5" x14ac:dyDescent="0.3">
      <c r="A40" s="32">
        <v>9</v>
      </c>
      <c r="B40" s="54" t="s">
        <v>21</v>
      </c>
      <c r="C40" s="122" t="s">
        <v>64</v>
      </c>
      <c r="D40" s="123" t="s">
        <v>116</v>
      </c>
      <c r="E40" s="115"/>
      <c r="G40" s="181"/>
    </row>
    <row r="41" spans="1:10" ht="17.25" thickBot="1" x14ac:dyDescent="0.35">
      <c r="A41" s="37">
        <v>10</v>
      </c>
      <c r="B41" s="55" t="s">
        <v>22</v>
      </c>
      <c r="C41" s="126" t="s">
        <v>116</v>
      </c>
      <c r="D41" s="139">
        <v>9</v>
      </c>
      <c r="E41" s="108"/>
    </row>
    <row r="42" spans="1:10" ht="11.25" customHeight="1" x14ac:dyDescent="0.25">
      <c r="A42" s="262" t="s">
        <v>77</v>
      </c>
      <c r="B42" s="263"/>
      <c r="C42" s="263"/>
      <c r="D42" s="263"/>
      <c r="E42" s="264"/>
      <c r="G42" s="181"/>
    </row>
    <row r="43" spans="1:10" ht="11.25" customHeight="1" thickBot="1" x14ac:dyDescent="0.3">
      <c r="A43" s="265"/>
      <c r="B43" s="266"/>
      <c r="C43" s="266"/>
      <c r="D43" s="266"/>
      <c r="E43" s="267"/>
    </row>
    <row r="44" spans="1:10" ht="15.75" x14ac:dyDescent="0.25">
      <c r="A44" s="9" t="s">
        <v>1</v>
      </c>
      <c r="B44" s="268" t="s">
        <v>27</v>
      </c>
      <c r="C44" s="270" t="s">
        <v>3</v>
      </c>
      <c r="D44" s="270" t="s">
        <v>4</v>
      </c>
      <c r="E44" s="272" t="s">
        <v>28</v>
      </c>
      <c r="H44" s="181"/>
    </row>
    <row r="45" spans="1:10" ht="16.5" thickBot="1" x14ac:dyDescent="0.3">
      <c r="A45" s="17" t="s">
        <v>2</v>
      </c>
      <c r="B45" s="269"/>
      <c r="C45" s="271"/>
      <c r="D45" s="271"/>
      <c r="E45" s="273"/>
    </row>
    <row r="46" spans="1:10" x14ac:dyDescent="0.25">
      <c r="A46" s="35">
        <v>1</v>
      </c>
      <c r="B46" s="53" t="s">
        <v>58</v>
      </c>
      <c r="C46" s="49">
        <v>0</v>
      </c>
      <c r="D46" s="49">
        <v>27.2</v>
      </c>
      <c r="E46" s="233" t="s">
        <v>282</v>
      </c>
      <c r="H46" s="231"/>
    </row>
    <row r="47" spans="1:10" x14ac:dyDescent="0.25">
      <c r="A47" s="32">
        <v>2</v>
      </c>
      <c r="B47" s="54" t="s">
        <v>59</v>
      </c>
      <c r="C47" s="48">
        <v>174</v>
      </c>
      <c r="D47" s="48">
        <v>3092</v>
      </c>
      <c r="E47" s="27"/>
      <c r="H47" s="231"/>
    </row>
    <row r="48" spans="1:10" x14ac:dyDescent="0.25">
      <c r="A48" s="32">
        <v>3</v>
      </c>
      <c r="B48" s="54" t="s">
        <v>60</v>
      </c>
      <c r="C48" s="48">
        <v>174</v>
      </c>
      <c r="D48" s="48">
        <v>3119</v>
      </c>
      <c r="E48" s="27"/>
      <c r="H48" s="186"/>
    </row>
    <row r="49" spans="1:10" ht="19.5" thickBot="1" x14ac:dyDescent="0.45">
      <c r="A49" s="28" t="s">
        <v>78</v>
      </c>
      <c r="E49" s="24"/>
    </row>
    <row r="50" spans="1:10" ht="15.75" x14ac:dyDescent="0.25">
      <c r="A50" s="9" t="s">
        <v>1</v>
      </c>
      <c r="B50" s="254" t="s">
        <v>5</v>
      </c>
      <c r="C50" s="270" t="s">
        <v>3</v>
      </c>
      <c r="D50" s="256" t="s">
        <v>4</v>
      </c>
      <c r="E50" s="183" t="s">
        <v>61</v>
      </c>
    </row>
    <row r="51" spans="1:10" ht="15.75" x14ac:dyDescent="0.25">
      <c r="A51" s="1" t="s">
        <v>2</v>
      </c>
      <c r="B51" s="255"/>
      <c r="C51" s="274"/>
      <c r="D51" s="257"/>
      <c r="E51" s="184" t="s">
        <v>42</v>
      </c>
      <c r="H51" s="182"/>
    </row>
    <row r="52" spans="1:10" ht="13.5" customHeight="1" x14ac:dyDescent="0.25">
      <c r="A52" s="29">
        <v>1</v>
      </c>
      <c r="B52" s="20" t="s">
        <v>43</v>
      </c>
      <c r="C52" s="50">
        <v>16.12</v>
      </c>
      <c r="D52" s="50">
        <v>274.56</v>
      </c>
      <c r="E52" s="185">
        <v>9.73</v>
      </c>
      <c r="H52" s="182"/>
    </row>
    <row r="53" spans="1:10" ht="7.5" customHeight="1" x14ac:dyDescent="0.25">
      <c r="A53" s="248" t="s">
        <v>73</v>
      </c>
      <c r="B53" s="249"/>
      <c r="C53" s="249"/>
      <c r="D53" s="249"/>
      <c r="E53" s="250"/>
      <c r="H53" s="181"/>
    </row>
    <row r="54" spans="1:10" ht="13.5" customHeight="1" thickBot="1" x14ac:dyDescent="0.3">
      <c r="A54" s="251"/>
      <c r="B54" s="252"/>
      <c r="C54" s="252"/>
      <c r="D54" s="252"/>
      <c r="E54" s="253"/>
    </row>
    <row r="55" spans="1:10" ht="15.75" x14ac:dyDescent="0.25">
      <c r="A55" s="2" t="s">
        <v>1</v>
      </c>
      <c r="B55" s="254" t="s">
        <v>5</v>
      </c>
      <c r="C55" s="18" t="s">
        <v>3</v>
      </c>
      <c r="D55" s="18" t="s">
        <v>4</v>
      </c>
      <c r="E55" s="256" t="s">
        <v>13</v>
      </c>
      <c r="I55" s="180"/>
    </row>
    <row r="56" spans="1:10" ht="15.75" x14ac:dyDescent="0.25">
      <c r="A56" s="21" t="s">
        <v>2</v>
      </c>
      <c r="B56" s="255"/>
      <c r="C56" s="22" t="s">
        <v>46</v>
      </c>
      <c r="D56" s="22" t="s">
        <v>46</v>
      </c>
      <c r="E56" s="257"/>
      <c r="I56" s="180"/>
    </row>
    <row r="57" spans="1:10" ht="15.75" x14ac:dyDescent="0.25">
      <c r="A57" s="32">
        <v>1</v>
      </c>
      <c r="B57" s="54" t="s">
        <v>306</v>
      </c>
      <c r="C57" s="76">
        <v>38204</v>
      </c>
      <c r="D57" s="76">
        <v>695360</v>
      </c>
      <c r="E57" s="75" t="s">
        <v>114</v>
      </c>
    </row>
    <row r="58" spans="1:10" ht="15.75" x14ac:dyDescent="0.25">
      <c r="A58" s="32">
        <v>2</v>
      </c>
      <c r="B58" s="54" t="s">
        <v>47</v>
      </c>
      <c r="C58" s="179">
        <f>C57/C8</f>
        <v>243.33757961783439</v>
      </c>
      <c r="D58" s="179">
        <f>D57/D8</f>
        <v>247.63532763532763</v>
      </c>
      <c r="E58" s="27"/>
      <c r="G58" s="204"/>
    </row>
    <row r="59" spans="1:10" ht="20.25" thickBot="1" x14ac:dyDescent="0.45">
      <c r="A59" s="25" t="s">
        <v>48</v>
      </c>
      <c r="B59" s="36"/>
      <c r="E59" s="24"/>
      <c r="G59" s="180"/>
    </row>
    <row r="60" spans="1:10" ht="15.75" x14ac:dyDescent="0.25">
      <c r="A60" s="196" t="s">
        <v>1</v>
      </c>
      <c r="B60" s="258" t="s">
        <v>5</v>
      </c>
      <c r="C60" s="258" t="s">
        <v>3</v>
      </c>
      <c r="D60" s="258" t="s">
        <v>4</v>
      </c>
      <c r="E60" s="260" t="s">
        <v>13</v>
      </c>
      <c r="G60" s="195"/>
      <c r="H60" s="180"/>
      <c r="J60" s="195"/>
    </row>
    <row r="61" spans="1:10" ht="15.75" x14ac:dyDescent="0.25">
      <c r="A61" s="197" t="s">
        <v>2</v>
      </c>
      <c r="B61" s="259"/>
      <c r="C61" s="259"/>
      <c r="D61" s="259"/>
      <c r="E61" s="261"/>
      <c r="G61" s="187"/>
      <c r="H61" s="180"/>
      <c r="J61" s="195"/>
    </row>
    <row r="62" spans="1:10" ht="15.75" x14ac:dyDescent="0.25">
      <c r="A62" s="32">
        <v>1</v>
      </c>
      <c r="B62" s="3" t="s">
        <v>49</v>
      </c>
      <c r="C62" s="76">
        <v>228</v>
      </c>
      <c r="D62" s="76">
        <v>4062</v>
      </c>
      <c r="E62" s="27"/>
      <c r="G62" s="180"/>
      <c r="I62" s="187"/>
      <c r="J62" s="194"/>
    </row>
    <row r="63" spans="1:10" ht="15.75" x14ac:dyDescent="0.25">
      <c r="A63" s="32">
        <v>2</v>
      </c>
      <c r="B63" s="3" t="s">
        <v>52</v>
      </c>
      <c r="C63" s="179">
        <f>+C62/C8</f>
        <v>1.4522292993630572</v>
      </c>
      <c r="D63" s="89">
        <f>D62/D8</f>
        <v>1.4465811965811965</v>
      </c>
      <c r="E63" s="27"/>
      <c r="G63" s="204"/>
    </row>
    <row r="64" spans="1:10" ht="15.75" x14ac:dyDescent="0.25">
      <c r="A64" s="32">
        <v>3</v>
      </c>
      <c r="B64" s="3" t="s">
        <v>50</v>
      </c>
      <c r="C64" s="76">
        <v>35</v>
      </c>
      <c r="D64" s="76">
        <v>1099</v>
      </c>
      <c r="E64" s="27"/>
      <c r="G64" s="187"/>
      <c r="H64" s="180"/>
      <c r="I64" s="186"/>
      <c r="J64" s="187"/>
    </row>
    <row r="65" spans="1:10" ht="15.75" x14ac:dyDescent="0.25">
      <c r="A65" s="32">
        <v>4</v>
      </c>
      <c r="B65" s="3" t="s">
        <v>53</v>
      </c>
      <c r="C65" s="89">
        <f>+C64/C8</f>
        <v>0.22292993630573249</v>
      </c>
      <c r="D65" s="89">
        <f>D64/D8</f>
        <v>0.39138176638176636</v>
      </c>
      <c r="E65" s="27"/>
      <c r="G65" s="180"/>
      <c r="H65" s="187"/>
      <c r="J65" s="187"/>
    </row>
    <row r="66" spans="1:10" ht="15.75" x14ac:dyDescent="0.25">
      <c r="A66" s="32">
        <v>5</v>
      </c>
      <c r="B66" s="3" t="s">
        <v>51</v>
      </c>
      <c r="C66" s="152">
        <v>62</v>
      </c>
      <c r="D66" s="152">
        <v>866.9</v>
      </c>
      <c r="E66" s="27"/>
      <c r="G66" s="195"/>
      <c r="I66" s="89">
        <v>4527.5</v>
      </c>
      <c r="J66" s="186"/>
    </row>
    <row r="67" spans="1:10" ht="15.75" x14ac:dyDescent="0.25">
      <c r="A67" s="32">
        <v>6</v>
      </c>
      <c r="B67" s="3" t="s">
        <v>54</v>
      </c>
      <c r="C67" s="89">
        <f>+C66/D27</f>
        <v>0.39490445859872614</v>
      </c>
      <c r="D67" s="89">
        <f>D66/D8</f>
        <v>0.3087250712250712</v>
      </c>
      <c r="E67" s="27"/>
      <c r="J67" s="187"/>
    </row>
    <row r="68" spans="1:10" ht="15.75" x14ac:dyDescent="0.25">
      <c r="A68" s="32">
        <v>7</v>
      </c>
      <c r="B68" s="3" t="s">
        <v>55</v>
      </c>
      <c r="C68" s="89">
        <v>47.941000000000003</v>
      </c>
      <c r="D68" s="89">
        <v>828.64800000000002</v>
      </c>
      <c r="E68" s="27"/>
      <c r="J68" s="187"/>
    </row>
    <row r="69" spans="1:10" ht="15.75" x14ac:dyDescent="0.25">
      <c r="A69" s="32">
        <v>8</v>
      </c>
      <c r="B69" s="3" t="s">
        <v>56</v>
      </c>
      <c r="C69" s="89">
        <v>0.30499999999999999</v>
      </c>
      <c r="D69" s="89">
        <f>D68/D8</f>
        <v>0.29510256410256414</v>
      </c>
      <c r="E69" s="27"/>
      <c r="G69" s="187"/>
      <c r="J69" s="186"/>
    </row>
    <row r="70" spans="1:10" ht="17.25" x14ac:dyDescent="0.25">
      <c r="A70" s="32">
        <v>9</v>
      </c>
      <c r="B70" s="3" t="s">
        <v>214</v>
      </c>
      <c r="C70" s="89">
        <v>298.5</v>
      </c>
      <c r="D70" s="89">
        <v>4599.5</v>
      </c>
      <c r="E70" s="27"/>
    </row>
    <row r="71" spans="1:10" ht="18" thickBot="1" x14ac:dyDescent="0.3">
      <c r="A71" s="37">
        <v>10</v>
      </c>
      <c r="B71" s="52" t="s">
        <v>215</v>
      </c>
      <c r="C71" s="159">
        <f>C70/C8</f>
        <v>1.9012738853503184</v>
      </c>
      <c r="D71" s="159">
        <f>D70/D8</f>
        <v>1.6379985754985755</v>
      </c>
      <c r="E71" s="38"/>
      <c r="H71" s="186"/>
      <c r="I71" s="180"/>
    </row>
    <row r="72" spans="1:10" ht="15.75" x14ac:dyDescent="0.25">
      <c r="I72" s="180"/>
    </row>
  </sheetData>
  <mergeCells count="29">
    <mergeCell ref="A53:E54"/>
    <mergeCell ref="B55:B56"/>
    <mergeCell ref="E55:E56"/>
    <mergeCell ref="B60:B61"/>
    <mergeCell ref="C60:C61"/>
    <mergeCell ref="D60:D61"/>
    <mergeCell ref="E60:E61"/>
    <mergeCell ref="B50:B51"/>
    <mergeCell ref="C50:C51"/>
    <mergeCell ref="D50:D51"/>
    <mergeCell ref="A18:E19"/>
    <mergeCell ref="B20:B21"/>
    <mergeCell ref="E20:E21"/>
    <mergeCell ref="A28:E29"/>
    <mergeCell ref="B30:B31"/>
    <mergeCell ref="E30:E31"/>
    <mergeCell ref="A42:E43"/>
    <mergeCell ref="B44:B45"/>
    <mergeCell ref="C44:C45"/>
    <mergeCell ref="D44:D45"/>
    <mergeCell ref="E44:E45"/>
    <mergeCell ref="A1:E1"/>
    <mergeCell ref="A2:E2"/>
    <mergeCell ref="A3:E3"/>
    <mergeCell ref="A4:E5"/>
    <mergeCell ref="B6:B7"/>
    <mergeCell ref="C6:C7"/>
    <mergeCell ref="D6:D7"/>
    <mergeCell ref="E6:E7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72"/>
  <sheetViews>
    <sheetView topLeftCell="A29" workbookViewId="0">
      <selection activeCell="D38" sqref="D38"/>
    </sheetView>
  </sheetViews>
  <sheetFormatPr defaultRowHeight="15" x14ac:dyDescent="0.25"/>
  <cols>
    <col min="1" max="1" width="5.42578125" customWidth="1"/>
    <col min="2" max="2" width="35" customWidth="1"/>
    <col min="3" max="3" width="10.140625" customWidth="1"/>
    <col min="4" max="4" width="17.7109375" customWidth="1"/>
    <col min="5" max="5" width="52.42578125" customWidth="1"/>
    <col min="8" max="8" width="12.7109375" customWidth="1"/>
    <col min="10" max="10" width="11.42578125" bestFit="1" customWidth="1"/>
  </cols>
  <sheetData>
    <row r="1" spans="1:8" ht="23.25" thickBot="1" x14ac:dyDescent="0.5">
      <c r="A1" s="284" t="s">
        <v>317</v>
      </c>
      <c r="B1" s="285"/>
      <c r="C1" s="285"/>
      <c r="D1" s="285"/>
      <c r="E1" s="286"/>
    </row>
    <row r="2" spans="1:8" ht="23.25" thickBot="1" x14ac:dyDescent="0.5">
      <c r="A2" s="287" t="s">
        <v>30</v>
      </c>
      <c r="B2" s="288"/>
      <c r="C2" s="288"/>
      <c r="D2" s="288"/>
      <c r="E2" s="289"/>
    </row>
    <row r="3" spans="1:8" ht="25.5" thickBot="1" x14ac:dyDescent="0.3">
      <c r="A3" s="290" t="s">
        <v>0</v>
      </c>
      <c r="B3" s="291"/>
      <c r="C3" s="291"/>
      <c r="D3" s="291"/>
      <c r="E3" s="292"/>
    </row>
    <row r="4" spans="1:8" x14ac:dyDescent="0.25">
      <c r="A4" s="293" t="s">
        <v>32</v>
      </c>
      <c r="B4" s="294"/>
      <c r="C4" s="294"/>
      <c r="D4" s="294"/>
      <c r="E4" s="295"/>
    </row>
    <row r="5" spans="1:8" ht="15.75" thickBot="1" x14ac:dyDescent="0.3">
      <c r="A5" s="296"/>
      <c r="B5" s="297"/>
      <c r="C5" s="297"/>
      <c r="D5" s="297"/>
      <c r="E5" s="298"/>
    </row>
    <row r="6" spans="1:8" ht="15.75" x14ac:dyDescent="0.25">
      <c r="A6" s="2" t="s">
        <v>1</v>
      </c>
      <c r="B6" s="254" t="s">
        <v>5</v>
      </c>
      <c r="C6" s="270" t="s">
        <v>3</v>
      </c>
      <c r="D6" s="270" t="s">
        <v>4</v>
      </c>
      <c r="E6" s="256" t="s">
        <v>13</v>
      </c>
    </row>
    <row r="7" spans="1:8" ht="16.5" thickBot="1" x14ac:dyDescent="0.3">
      <c r="A7" s="15" t="s">
        <v>2</v>
      </c>
      <c r="B7" s="282"/>
      <c r="C7" s="271"/>
      <c r="D7" s="271"/>
      <c r="E7" s="283"/>
      <c r="H7" s="206"/>
    </row>
    <row r="8" spans="1:8" ht="15.75" x14ac:dyDescent="0.25">
      <c r="A8" s="35">
        <v>1</v>
      </c>
      <c r="B8" s="16" t="s">
        <v>6</v>
      </c>
      <c r="C8" s="78">
        <v>130</v>
      </c>
      <c r="D8" s="78">
        <f>'20-08-2026'!D8+'21-08-2026'!C8</f>
        <v>2938</v>
      </c>
      <c r="E8" s="189" t="s">
        <v>310</v>
      </c>
      <c r="H8" s="206"/>
    </row>
    <row r="9" spans="1:8" ht="15.75" x14ac:dyDescent="0.25">
      <c r="A9" s="32">
        <v>2</v>
      </c>
      <c r="B9" s="3" t="s">
        <v>7</v>
      </c>
      <c r="C9" s="79" t="s">
        <v>68</v>
      </c>
      <c r="D9" s="79">
        <f>D8/21</f>
        <v>139.9047619047619</v>
      </c>
      <c r="E9" s="27"/>
      <c r="H9" s="186"/>
    </row>
    <row r="10" spans="1:8" ht="15.75" x14ac:dyDescent="0.25">
      <c r="A10" s="32">
        <v>3</v>
      </c>
      <c r="B10" s="3" t="s">
        <v>8</v>
      </c>
      <c r="C10" s="79">
        <v>123.25</v>
      </c>
      <c r="D10" s="79">
        <f>'20-08-2026'!D10+'21-08-2026'!C10</f>
        <v>2900.22</v>
      </c>
      <c r="E10" s="190" t="s">
        <v>313</v>
      </c>
      <c r="H10" s="186"/>
    </row>
    <row r="11" spans="1:8" ht="15.75" x14ac:dyDescent="0.25">
      <c r="A11" s="32">
        <v>4</v>
      </c>
      <c r="B11" s="3" t="s">
        <v>9</v>
      </c>
      <c r="C11" s="79"/>
      <c r="D11" s="79">
        <f>D10/21</f>
        <v>138.10571428571427</v>
      </c>
      <c r="E11" s="27"/>
    </row>
    <row r="12" spans="1:8" ht="15.75" x14ac:dyDescent="0.25">
      <c r="A12" s="32">
        <v>5</v>
      </c>
      <c r="B12" s="3" t="s">
        <v>12</v>
      </c>
      <c r="C12" s="79" t="s">
        <v>311</v>
      </c>
      <c r="D12" s="79" t="s">
        <v>312</v>
      </c>
      <c r="E12" s="236"/>
    </row>
    <row r="13" spans="1:8" ht="15.75" x14ac:dyDescent="0.3">
      <c r="A13" s="58">
        <v>6</v>
      </c>
      <c r="B13" s="5" t="s">
        <v>45</v>
      </c>
      <c r="C13" s="39"/>
      <c r="D13" s="39" t="s">
        <v>116</v>
      </c>
      <c r="E13" s="27"/>
    </row>
    <row r="14" spans="1:8" ht="15.75" x14ac:dyDescent="0.3">
      <c r="A14" s="58">
        <v>7</v>
      </c>
      <c r="B14" s="5" t="s">
        <v>44</v>
      </c>
      <c r="C14" s="39" t="s">
        <v>116</v>
      </c>
      <c r="D14" s="39" t="s">
        <v>116</v>
      </c>
      <c r="E14" s="27"/>
    </row>
    <row r="15" spans="1:8" ht="15.75" x14ac:dyDescent="0.3">
      <c r="A15" s="58">
        <v>8</v>
      </c>
      <c r="B15" s="5" t="s">
        <v>10</v>
      </c>
      <c r="C15" s="39" t="s">
        <v>116</v>
      </c>
      <c r="D15" s="39" t="s">
        <v>117</v>
      </c>
      <c r="E15" s="27"/>
    </row>
    <row r="16" spans="1:8" ht="15.75" x14ac:dyDescent="0.3">
      <c r="A16" s="58">
        <v>9</v>
      </c>
      <c r="B16" s="5" t="s">
        <v>11</v>
      </c>
      <c r="C16" s="39" t="s">
        <v>116</v>
      </c>
      <c r="D16" s="39" t="s">
        <v>117</v>
      </c>
      <c r="E16" s="27"/>
    </row>
    <row r="17" spans="1:10" ht="15.75" x14ac:dyDescent="0.3">
      <c r="A17" s="58">
        <v>10</v>
      </c>
      <c r="B17" s="4" t="s">
        <v>12</v>
      </c>
      <c r="C17" s="39" t="s">
        <v>118</v>
      </c>
      <c r="D17" s="40" t="s">
        <v>118</v>
      </c>
      <c r="E17" s="27"/>
    </row>
    <row r="18" spans="1:10" x14ac:dyDescent="0.25">
      <c r="A18" s="248" t="s">
        <v>104</v>
      </c>
      <c r="B18" s="249"/>
      <c r="C18" s="249"/>
      <c r="D18" s="249"/>
      <c r="E18" s="250"/>
    </row>
    <row r="19" spans="1:10" ht="15.75" thickBot="1" x14ac:dyDescent="0.3">
      <c r="A19" s="251"/>
      <c r="B19" s="252"/>
      <c r="C19" s="252"/>
      <c r="D19" s="252"/>
      <c r="E19" s="253"/>
    </row>
    <row r="20" spans="1:10" ht="15.75" x14ac:dyDescent="0.25">
      <c r="A20" s="11" t="s">
        <v>1</v>
      </c>
      <c r="B20" s="275" t="s">
        <v>31</v>
      </c>
      <c r="C20" s="56" t="s">
        <v>34</v>
      </c>
      <c r="D20" s="41" t="s">
        <v>33</v>
      </c>
      <c r="E20" s="277" t="s">
        <v>13</v>
      </c>
    </row>
    <row r="21" spans="1:10" ht="16.5" thickBot="1" x14ac:dyDescent="0.3">
      <c r="A21" s="93" t="s">
        <v>2</v>
      </c>
      <c r="B21" s="276"/>
      <c r="C21" s="94" t="s">
        <v>35</v>
      </c>
      <c r="D21" s="95" t="s">
        <v>3</v>
      </c>
      <c r="E21" s="278"/>
    </row>
    <row r="22" spans="1:10" ht="15.75" x14ac:dyDescent="0.25">
      <c r="A22" s="160">
        <v>1</v>
      </c>
      <c r="B22" s="161" t="s">
        <v>188</v>
      </c>
      <c r="C22" s="162">
        <v>78</v>
      </c>
      <c r="D22" s="167">
        <f>C22*C8/C27</f>
        <v>130</v>
      </c>
      <c r="E22" s="26"/>
    </row>
    <row r="23" spans="1:10" ht="15.75" x14ac:dyDescent="0.25">
      <c r="A23" s="163">
        <v>2</v>
      </c>
      <c r="B23" s="161"/>
      <c r="C23" s="165"/>
      <c r="D23" s="167"/>
      <c r="E23" s="27"/>
    </row>
    <row r="24" spans="1:10" ht="15.75" x14ac:dyDescent="0.25">
      <c r="A24" s="160">
        <v>3</v>
      </c>
      <c r="B24" s="161"/>
      <c r="C24" s="162"/>
      <c r="D24" s="167"/>
      <c r="E24" s="27"/>
    </row>
    <row r="25" spans="1:10" ht="15.75" x14ac:dyDescent="0.25">
      <c r="A25" s="163">
        <v>4</v>
      </c>
      <c r="B25" s="161"/>
      <c r="C25" s="165"/>
      <c r="D25" s="167"/>
      <c r="E25" s="31"/>
    </row>
    <row r="26" spans="1:10" ht="20.25" thickBot="1" x14ac:dyDescent="0.3">
      <c r="A26" s="207"/>
      <c r="B26" s="161"/>
      <c r="C26" s="234"/>
      <c r="D26" s="214"/>
      <c r="E26" s="38"/>
      <c r="H26" s="229"/>
    </row>
    <row r="27" spans="1:10" ht="20.25" thickBot="1" x14ac:dyDescent="0.45">
      <c r="A27" s="211">
        <v>6</v>
      </c>
      <c r="B27" s="208" t="s">
        <v>251</v>
      </c>
      <c r="C27" s="212">
        <f>SUM(C22:C26)</f>
        <v>78</v>
      </c>
      <c r="D27" s="213">
        <f>SUM(D22:D26)</f>
        <v>130</v>
      </c>
      <c r="E27" s="24"/>
      <c r="H27" s="229"/>
      <c r="J27" s="186"/>
    </row>
    <row r="28" spans="1:10" ht="19.5" x14ac:dyDescent="0.25">
      <c r="A28" s="279" t="s">
        <v>105</v>
      </c>
      <c r="B28" s="280"/>
      <c r="C28" s="280"/>
      <c r="D28" s="280"/>
      <c r="E28" s="281"/>
      <c r="H28" s="230"/>
    </row>
    <row r="29" spans="1:10" ht="20.25" thickBot="1" x14ac:dyDescent="0.3">
      <c r="A29" s="251"/>
      <c r="B29" s="252"/>
      <c r="C29" s="252"/>
      <c r="D29" s="252"/>
      <c r="E29" s="253"/>
      <c r="H29" s="229"/>
    </row>
    <row r="30" spans="1:10" ht="15.75" x14ac:dyDescent="0.25">
      <c r="A30" s="2" t="s">
        <v>1</v>
      </c>
      <c r="B30" s="254" t="s">
        <v>5</v>
      </c>
      <c r="C30" s="18" t="s">
        <v>3</v>
      </c>
      <c r="D30" s="18" t="s">
        <v>4</v>
      </c>
      <c r="E30" s="256" t="s">
        <v>13</v>
      </c>
      <c r="H30" s="186"/>
    </row>
    <row r="31" spans="1:10" ht="20.25" thickBot="1" x14ac:dyDescent="0.3">
      <c r="A31" s="15" t="s">
        <v>2</v>
      </c>
      <c r="B31" s="282"/>
      <c r="C31" s="19" t="s">
        <v>40</v>
      </c>
      <c r="D31" s="19" t="s">
        <v>40</v>
      </c>
      <c r="E31" s="283"/>
      <c r="H31" s="222"/>
    </row>
    <row r="32" spans="1:10" ht="19.5" x14ac:dyDescent="0.4">
      <c r="A32" s="128">
        <v>1</v>
      </c>
      <c r="B32" s="135" t="s">
        <v>14</v>
      </c>
      <c r="C32" s="130">
        <v>20.149999999999999</v>
      </c>
      <c r="D32" s="131">
        <v>418.3</v>
      </c>
      <c r="E32" s="227"/>
      <c r="H32" s="222"/>
      <c r="J32" s="181"/>
    </row>
    <row r="33" spans="1:10" ht="20.25" thickBot="1" x14ac:dyDescent="0.45">
      <c r="A33" s="129">
        <v>2</v>
      </c>
      <c r="B33" s="136" t="s">
        <v>99</v>
      </c>
      <c r="C33" s="132">
        <v>3.45</v>
      </c>
      <c r="D33" s="133">
        <v>85.3</v>
      </c>
      <c r="E33" s="86"/>
      <c r="H33" s="181"/>
      <c r="J33" s="181"/>
    </row>
    <row r="34" spans="1:10" ht="29.25" thickBot="1" x14ac:dyDescent="0.35">
      <c r="A34" s="35">
        <v>3</v>
      </c>
      <c r="B34" s="53" t="s">
        <v>15</v>
      </c>
      <c r="C34" s="237">
        <v>1.45</v>
      </c>
      <c r="D34" s="226">
        <v>26.2</v>
      </c>
      <c r="E34" s="241" t="s">
        <v>314</v>
      </c>
      <c r="J34" s="222"/>
    </row>
    <row r="35" spans="1:10" ht="16.5" x14ac:dyDescent="0.3">
      <c r="A35" s="32">
        <v>4</v>
      </c>
      <c r="B35" s="54" t="s">
        <v>16</v>
      </c>
      <c r="C35" s="122" t="s">
        <v>64</v>
      </c>
      <c r="D35" s="123" t="s">
        <v>63</v>
      </c>
      <c r="E35" s="115"/>
    </row>
    <row r="36" spans="1:10" ht="19.5" x14ac:dyDescent="0.3">
      <c r="A36" s="32">
        <v>5</v>
      </c>
      <c r="B36" s="54" t="s">
        <v>17</v>
      </c>
      <c r="C36" s="124"/>
      <c r="D36" s="123">
        <v>22.45</v>
      </c>
      <c r="E36" s="238"/>
      <c r="H36" s="222"/>
      <c r="J36" s="181"/>
    </row>
    <row r="37" spans="1:10" ht="19.5" x14ac:dyDescent="0.3">
      <c r="A37" s="32">
        <v>6</v>
      </c>
      <c r="B37" s="54" t="s">
        <v>18</v>
      </c>
      <c r="C37" s="122">
        <v>1.3</v>
      </c>
      <c r="D37" s="123">
        <v>1.3</v>
      </c>
      <c r="E37" s="239" t="s">
        <v>315</v>
      </c>
      <c r="H37" s="222"/>
    </row>
    <row r="38" spans="1:10" ht="19.5" x14ac:dyDescent="0.25">
      <c r="A38" s="32">
        <v>7</v>
      </c>
      <c r="B38" s="54" t="s">
        <v>19</v>
      </c>
      <c r="C38" s="124">
        <v>0.3</v>
      </c>
      <c r="D38" s="123">
        <v>22.05</v>
      </c>
      <c r="E38" s="240" t="s">
        <v>308</v>
      </c>
      <c r="H38" s="181"/>
      <c r="J38" s="222"/>
    </row>
    <row r="39" spans="1:10" ht="16.5" x14ac:dyDescent="0.3">
      <c r="A39" s="32">
        <v>8</v>
      </c>
      <c r="B39" s="54" t="s">
        <v>20</v>
      </c>
      <c r="C39" s="124"/>
      <c r="D39" s="123">
        <v>3.5</v>
      </c>
      <c r="E39" s="178"/>
    </row>
    <row r="40" spans="1:10" ht="16.5" x14ac:dyDescent="0.3">
      <c r="A40" s="32">
        <v>9</v>
      </c>
      <c r="B40" s="54" t="s">
        <v>21</v>
      </c>
      <c r="C40" s="122" t="s">
        <v>64</v>
      </c>
      <c r="D40" s="123" t="s">
        <v>116</v>
      </c>
      <c r="E40" s="115"/>
      <c r="G40" s="181"/>
    </row>
    <row r="41" spans="1:10" ht="17.25" thickBot="1" x14ac:dyDescent="0.35">
      <c r="A41" s="37">
        <v>10</v>
      </c>
      <c r="B41" s="55" t="s">
        <v>22</v>
      </c>
      <c r="C41" s="126" t="s">
        <v>116</v>
      </c>
      <c r="D41" s="139">
        <v>9</v>
      </c>
      <c r="E41" s="108"/>
    </row>
    <row r="42" spans="1:10" ht="11.25" customHeight="1" x14ac:dyDescent="0.25">
      <c r="A42" s="262" t="s">
        <v>77</v>
      </c>
      <c r="B42" s="263"/>
      <c r="C42" s="263"/>
      <c r="D42" s="263"/>
      <c r="E42" s="264"/>
      <c r="G42" s="181"/>
    </row>
    <row r="43" spans="1:10" ht="11.25" customHeight="1" thickBot="1" x14ac:dyDescent="0.3">
      <c r="A43" s="265"/>
      <c r="B43" s="266"/>
      <c r="C43" s="266"/>
      <c r="D43" s="266"/>
      <c r="E43" s="267"/>
    </row>
    <row r="44" spans="1:10" ht="15.75" x14ac:dyDescent="0.25">
      <c r="A44" s="9" t="s">
        <v>1</v>
      </c>
      <c r="B44" s="268" t="s">
        <v>27</v>
      </c>
      <c r="C44" s="270" t="s">
        <v>3</v>
      </c>
      <c r="D44" s="270" t="s">
        <v>4</v>
      </c>
      <c r="E44" s="272" t="s">
        <v>28</v>
      </c>
      <c r="H44" s="181"/>
    </row>
    <row r="45" spans="1:10" ht="16.5" thickBot="1" x14ac:dyDescent="0.3">
      <c r="A45" s="17" t="s">
        <v>2</v>
      </c>
      <c r="B45" s="269"/>
      <c r="C45" s="271"/>
      <c r="D45" s="271"/>
      <c r="E45" s="273"/>
    </row>
    <row r="46" spans="1:10" x14ac:dyDescent="0.25">
      <c r="A46" s="35">
        <v>1</v>
      </c>
      <c r="B46" s="53" t="s">
        <v>58</v>
      </c>
      <c r="C46" s="49">
        <v>0</v>
      </c>
      <c r="D46" s="49">
        <v>27</v>
      </c>
      <c r="E46" s="233" t="s">
        <v>282</v>
      </c>
      <c r="H46" s="231"/>
    </row>
    <row r="47" spans="1:10" x14ac:dyDescent="0.25">
      <c r="A47" s="32">
        <v>2</v>
      </c>
      <c r="B47" s="54" t="s">
        <v>59</v>
      </c>
      <c r="C47" s="48">
        <v>144</v>
      </c>
      <c r="D47" s="48">
        <v>3236</v>
      </c>
      <c r="E47" s="27"/>
      <c r="H47" s="231"/>
    </row>
    <row r="48" spans="1:10" x14ac:dyDescent="0.25">
      <c r="A48" s="32">
        <v>3</v>
      </c>
      <c r="B48" s="54" t="s">
        <v>60</v>
      </c>
      <c r="C48" s="48">
        <v>144</v>
      </c>
      <c r="D48" s="48">
        <v>3263</v>
      </c>
      <c r="E48" s="27"/>
      <c r="H48" s="186"/>
    </row>
    <row r="49" spans="1:12" ht="19.5" thickBot="1" x14ac:dyDescent="0.45">
      <c r="A49" s="28" t="s">
        <v>78</v>
      </c>
      <c r="E49" s="24"/>
    </row>
    <row r="50" spans="1:12" ht="15.75" x14ac:dyDescent="0.25">
      <c r="A50" s="9" t="s">
        <v>1</v>
      </c>
      <c r="B50" s="254" t="s">
        <v>5</v>
      </c>
      <c r="C50" s="270" t="s">
        <v>3</v>
      </c>
      <c r="D50" s="256" t="s">
        <v>4</v>
      </c>
      <c r="E50" s="183" t="s">
        <v>61</v>
      </c>
    </row>
    <row r="51" spans="1:12" ht="15.75" x14ac:dyDescent="0.25">
      <c r="A51" s="1" t="s">
        <v>2</v>
      </c>
      <c r="B51" s="255"/>
      <c r="C51" s="274"/>
      <c r="D51" s="257"/>
      <c r="E51" s="184" t="s">
        <v>42</v>
      </c>
      <c r="H51" s="182"/>
    </row>
    <row r="52" spans="1:12" ht="13.5" customHeight="1" x14ac:dyDescent="0.25">
      <c r="A52" s="29">
        <v>1</v>
      </c>
      <c r="B52" s="20" t="s">
        <v>43</v>
      </c>
      <c r="C52" s="50">
        <v>14.12</v>
      </c>
      <c r="D52" s="50">
        <v>289.08</v>
      </c>
      <c r="E52" s="185">
        <v>9.1999999999999993</v>
      </c>
      <c r="H52" s="182"/>
    </row>
    <row r="53" spans="1:12" ht="7.5" customHeight="1" x14ac:dyDescent="0.25">
      <c r="A53" s="248" t="s">
        <v>73</v>
      </c>
      <c r="B53" s="249"/>
      <c r="C53" s="249"/>
      <c r="D53" s="249"/>
      <c r="E53" s="250"/>
      <c r="H53" s="181"/>
    </row>
    <row r="54" spans="1:12" ht="13.5" customHeight="1" thickBot="1" x14ac:dyDescent="0.3">
      <c r="A54" s="251"/>
      <c r="B54" s="252"/>
      <c r="C54" s="252"/>
      <c r="D54" s="252"/>
      <c r="E54" s="253"/>
    </row>
    <row r="55" spans="1:12" ht="15.75" x14ac:dyDescent="0.25">
      <c r="A55" s="2" t="s">
        <v>1</v>
      </c>
      <c r="B55" s="254" t="s">
        <v>5</v>
      </c>
      <c r="C55" s="18" t="s">
        <v>3</v>
      </c>
      <c r="D55" s="18" t="s">
        <v>4</v>
      </c>
      <c r="E55" s="256" t="s">
        <v>13</v>
      </c>
      <c r="I55" s="180"/>
    </row>
    <row r="56" spans="1:12" ht="15.75" x14ac:dyDescent="0.25">
      <c r="A56" s="21" t="s">
        <v>2</v>
      </c>
      <c r="B56" s="255"/>
      <c r="C56" s="22" t="s">
        <v>46</v>
      </c>
      <c r="D56" s="22" t="s">
        <v>46</v>
      </c>
      <c r="E56" s="257"/>
      <c r="I56" s="180"/>
    </row>
    <row r="57" spans="1:12" ht="15.75" x14ac:dyDescent="0.25">
      <c r="A57" s="32">
        <v>1</v>
      </c>
      <c r="B57" s="54" t="s">
        <v>316</v>
      </c>
      <c r="C57" s="76">
        <v>36596</v>
      </c>
      <c r="D57" s="76">
        <v>731956</v>
      </c>
      <c r="E57" s="75" t="s">
        <v>114</v>
      </c>
    </row>
    <row r="58" spans="1:12" ht="15.75" x14ac:dyDescent="0.25">
      <c r="A58" s="32">
        <v>2</v>
      </c>
      <c r="B58" s="54" t="s">
        <v>47</v>
      </c>
      <c r="C58" s="179">
        <f>C57/C8</f>
        <v>281.50769230769231</v>
      </c>
      <c r="D58" s="179">
        <f>D57/D8</f>
        <v>249.13410483321988</v>
      </c>
      <c r="E58" s="27"/>
      <c r="G58" s="204"/>
      <c r="J58" s="180"/>
      <c r="K58" s="180"/>
    </row>
    <row r="59" spans="1:12" ht="20.25" thickBot="1" x14ac:dyDescent="0.45">
      <c r="A59" s="25" t="s">
        <v>48</v>
      </c>
      <c r="B59" s="36"/>
      <c r="E59" s="24"/>
      <c r="G59" s="180"/>
      <c r="J59" s="187"/>
    </row>
    <row r="60" spans="1:12" ht="15.75" x14ac:dyDescent="0.25">
      <c r="A60" s="196" t="s">
        <v>1</v>
      </c>
      <c r="B60" s="258" t="s">
        <v>5</v>
      </c>
      <c r="C60" s="258" t="s">
        <v>3</v>
      </c>
      <c r="D60" s="258" t="s">
        <v>4</v>
      </c>
      <c r="E60" s="260" t="s">
        <v>13</v>
      </c>
      <c r="G60" s="195"/>
      <c r="H60" s="180"/>
      <c r="J60" s="180"/>
      <c r="K60" s="180"/>
    </row>
    <row r="61" spans="1:12" ht="15.75" x14ac:dyDescent="0.25">
      <c r="A61" s="197" t="s">
        <v>2</v>
      </c>
      <c r="B61" s="259"/>
      <c r="C61" s="259"/>
      <c r="D61" s="259"/>
      <c r="E61" s="261"/>
      <c r="G61" s="187"/>
      <c r="H61" s="180"/>
      <c r="J61" s="187"/>
    </row>
    <row r="62" spans="1:12" ht="15.75" x14ac:dyDescent="0.25">
      <c r="A62" s="32">
        <v>1</v>
      </c>
      <c r="B62" s="3" t="s">
        <v>49</v>
      </c>
      <c r="C62" s="76">
        <v>216</v>
      </c>
      <c r="D62" s="76">
        <v>4278</v>
      </c>
      <c r="E62" s="27"/>
      <c r="G62" s="180"/>
      <c r="I62" s="187"/>
      <c r="J62" s="195"/>
      <c r="K62" s="195"/>
      <c r="L62" s="194"/>
    </row>
    <row r="63" spans="1:12" ht="15.75" x14ac:dyDescent="0.25">
      <c r="A63" s="32">
        <v>2</v>
      </c>
      <c r="B63" s="3" t="s">
        <v>52</v>
      </c>
      <c r="C63" s="179">
        <f>+C62/C8</f>
        <v>1.6615384615384616</v>
      </c>
      <c r="D63" s="89">
        <f>D62/D8</f>
        <v>1.4560925799863853</v>
      </c>
      <c r="E63" s="27"/>
      <c r="G63" s="204"/>
      <c r="J63" s="187"/>
    </row>
    <row r="64" spans="1:12" ht="15.75" x14ac:dyDescent="0.25">
      <c r="A64" s="32">
        <v>3</v>
      </c>
      <c r="B64" s="3" t="s">
        <v>50</v>
      </c>
      <c r="C64" s="76">
        <v>75</v>
      </c>
      <c r="D64" s="76">
        <v>1174</v>
      </c>
      <c r="E64" s="27"/>
      <c r="G64" s="187"/>
      <c r="H64" s="180"/>
      <c r="I64" s="186"/>
      <c r="J64" s="187"/>
      <c r="K64" s="187"/>
      <c r="L64" s="186"/>
    </row>
    <row r="65" spans="1:12" ht="15.75" x14ac:dyDescent="0.25">
      <c r="A65" s="32">
        <v>4</v>
      </c>
      <c r="B65" s="3" t="s">
        <v>53</v>
      </c>
      <c r="C65" s="89">
        <f>+C64/C8</f>
        <v>0.57692307692307687</v>
      </c>
      <c r="D65" s="89">
        <f>D64/D8</f>
        <v>0.39959155888359427</v>
      </c>
      <c r="E65" s="27"/>
      <c r="G65" s="180"/>
      <c r="H65" s="187"/>
      <c r="J65" s="187"/>
    </row>
    <row r="66" spans="1:12" ht="15.75" x14ac:dyDescent="0.25">
      <c r="A66" s="32">
        <v>5</v>
      </c>
      <c r="B66" s="3" t="s">
        <v>51</v>
      </c>
      <c r="C66" s="152">
        <v>40.5</v>
      </c>
      <c r="D66" s="152">
        <v>907.4</v>
      </c>
      <c r="E66" s="27"/>
      <c r="G66" s="195"/>
      <c r="I66" s="194"/>
      <c r="J66" s="187"/>
      <c r="K66" s="187"/>
      <c r="L66" s="186"/>
    </row>
    <row r="67" spans="1:12" ht="15.75" x14ac:dyDescent="0.25">
      <c r="A67" s="32">
        <v>6</v>
      </c>
      <c r="B67" s="3" t="s">
        <v>54</v>
      </c>
      <c r="C67" s="89">
        <f>+C66/D27</f>
        <v>0.31153846153846154</v>
      </c>
      <c r="D67" s="89">
        <f>D66/D8</f>
        <v>0.3088495575221239</v>
      </c>
      <c r="E67" s="27"/>
      <c r="J67" s="187"/>
    </row>
    <row r="68" spans="1:12" ht="15.75" x14ac:dyDescent="0.25">
      <c r="A68" s="32">
        <v>7</v>
      </c>
      <c r="B68" s="3" t="s">
        <v>55</v>
      </c>
      <c r="C68" s="89">
        <v>41.677</v>
      </c>
      <c r="D68" s="89">
        <v>870.32500000000005</v>
      </c>
      <c r="E68" s="27"/>
      <c r="J68" s="187"/>
    </row>
    <row r="69" spans="1:12" ht="15.75" x14ac:dyDescent="0.25">
      <c r="A69" s="32">
        <v>8</v>
      </c>
      <c r="B69" s="3" t="s">
        <v>56</v>
      </c>
      <c r="C69" s="89">
        <f>C68/C8</f>
        <v>0.32059230769230768</v>
      </c>
      <c r="D69" s="89">
        <f>D68/D8</f>
        <v>0.29623042886317225</v>
      </c>
      <c r="E69" s="27"/>
      <c r="G69" s="187"/>
      <c r="J69" s="186"/>
    </row>
    <row r="70" spans="1:12" ht="17.25" x14ac:dyDescent="0.25">
      <c r="A70" s="32">
        <v>9</v>
      </c>
      <c r="B70" s="3" t="s">
        <v>214</v>
      </c>
      <c r="C70" s="89">
        <v>221</v>
      </c>
      <c r="D70" s="89">
        <v>4820.5</v>
      </c>
      <c r="E70" s="27"/>
    </row>
    <row r="71" spans="1:12" ht="18" thickBot="1" x14ac:dyDescent="0.3">
      <c r="A71" s="37">
        <v>10</v>
      </c>
      <c r="B71" s="52" t="s">
        <v>215</v>
      </c>
      <c r="C71" s="159">
        <f>C70/C8</f>
        <v>1.7</v>
      </c>
      <c r="D71" s="159">
        <f>D70/D8</f>
        <v>1.6407420013614704</v>
      </c>
      <c r="E71" s="38"/>
      <c r="H71" s="186"/>
      <c r="I71" s="180"/>
    </row>
    <row r="72" spans="1:12" ht="15.75" x14ac:dyDescent="0.25">
      <c r="I72" s="180"/>
    </row>
  </sheetData>
  <mergeCells count="29">
    <mergeCell ref="A1:E1"/>
    <mergeCell ref="A2:E2"/>
    <mergeCell ref="A3:E3"/>
    <mergeCell ref="A4:E5"/>
    <mergeCell ref="B6:B7"/>
    <mergeCell ref="C6:C7"/>
    <mergeCell ref="D6:D7"/>
    <mergeCell ref="E6:E7"/>
    <mergeCell ref="B50:B51"/>
    <mergeCell ref="C50:C51"/>
    <mergeCell ref="D50:D51"/>
    <mergeCell ref="A18:E19"/>
    <mergeCell ref="B20:B21"/>
    <mergeCell ref="E20:E21"/>
    <mergeCell ref="A28:E29"/>
    <mergeCell ref="B30:B31"/>
    <mergeCell ref="E30:E31"/>
    <mergeCell ref="A42:E43"/>
    <mergeCell ref="B44:B45"/>
    <mergeCell ref="C44:C45"/>
    <mergeCell ref="D44:D45"/>
    <mergeCell ref="E44:E45"/>
    <mergeCell ref="A53:E54"/>
    <mergeCell ref="B55:B56"/>
    <mergeCell ref="E55:E56"/>
    <mergeCell ref="B60:B61"/>
    <mergeCell ref="C60:C61"/>
    <mergeCell ref="D60:D61"/>
    <mergeCell ref="E60:E61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72"/>
  <sheetViews>
    <sheetView tabSelected="1" topLeftCell="A49" workbookViewId="0">
      <selection activeCell="K16" sqref="K16"/>
    </sheetView>
  </sheetViews>
  <sheetFormatPr defaultRowHeight="15" x14ac:dyDescent="0.25"/>
  <cols>
    <col min="1" max="1" width="5.42578125" customWidth="1"/>
    <col min="2" max="2" width="35" customWidth="1"/>
    <col min="3" max="3" width="10.140625" customWidth="1"/>
    <col min="4" max="4" width="17.7109375" customWidth="1"/>
    <col min="5" max="5" width="52.42578125" customWidth="1"/>
    <col min="8" max="8" width="12.7109375" customWidth="1"/>
    <col min="10" max="10" width="14" customWidth="1"/>
  </cols>
  <sheetData>
    <row r="1" spans="1:5" ht="23.25" thickBot="1" x14ac:dyDescent="0.5">
      <c r="A1" s="284" t="s">
        <v>318</v>
      </c>
      <c r="B1" s="285"/>
      <c r="C1" s="285"/>
      <c r="D1" s="285"/>
      <c r="E1" s="286"/>
    </row>
    <row r="2" spans="1:5" ht="21.75" customHeight="1" thickBot="1" x14ac:dyDescent="0.5">
      <c r="A2" s="287" t="s">
        <v>30</v>
      </c>
      <c r="B2" s="288"/>
      <c r="C2" s="288"/>
      <c r="D2" s="288"/>
      <c r="E2" s="289"/>
    </row>
    <row r="3" spans="1:5" ht="24" customHeight="1" thickBot="1" x14ac:dyDescent="0.3">
      <c r="A3" s="290" t="s">
        <v>0</v>
      </c>
      <c r="B3" s="291"/>
      <c r="C3" s="291"/>
      <c r="D3" s="291"/>
      <c r="E3" s="292"/>
    </row>
    <row r="4" spans="1:5" ht="11.25" customHeight="1" x14ac:dyDescent="0.25">
      <c r="A4" s="293" t="s">
        <v>32</v>
      </c>
      <c r="B4" s="294"/>
      <c r="C4" s="294"/>
      <c r="D4" s="294"/>
      <c r="E4" s="295"/>
    </row>
    <row r="5" spans="1:5" ht="12.75" customHeight="1" thickBot="1" x14ac:dyDescent="0.3">
      <c r="A5" s="296"/>
      <c r="B5" s="297"/>
      <c r="C5" s="297"/>
      <c r="D5" s="297"/>
      <c r="E5" s="298"/>
    </row>
    <row r="6" spans="1:5" ht="15.75" x14ac:dyDescent="0.25">
      <c r="A6" s="2" t="s">
        <v>1</v>
      </c>
      <c r="B6" s="254" t="s">
        <v>5</v>
      </c>
      <c r="C6" s="270" t="s">
        <v>3</v>
      </c>
      <c r="D6" s="270" t="s">
        <v>4</v>
      </c>
      <c r="E6" s="256" t="s">
        <v>13</v>
      </c>
    </row>
    <row r="7" spans="1:5" ht="16.5" thickBot="1" x14ac:dyDescent="0.3">
      <c r="A7" s="15" t="s">
        <v>2</v>
      </c>
      <c r="B7" s="282"/>
      <c r="C7" s="271"/>
      <c r="D7" s="271"/>
      <c r="E7" s="283"/>
    </row>
    <row r="8" spans="1:5" ht="15.75" x14ac:dyDescent="0.25">
      <c r="A8" s="35">
        <v>1</v>
      </c>
      <c r="B8" s="16" t="s">
        <v>6</v>
      </c>
      <c r="C8" s="78">
        <v>124</v>
      </c>
      <c r="D8" s="78">
        <v>3062</v>
      </c>
      <c r="E8" s="189" t="s">
        <v>319</v>
      </c>
    </row>
    <row r="9" spans="1:5" ht="15.75" x14ac:dyDescent="0.25">
      <c r="A9" s="32">
        <v>2</v>
      </c>
      <c r="B9" s="3" t="s">
        <v>7</v>
      </c>
      <c r="C9" s="79" t="s">
        <v>68</v>
      </c>
      <c r="D9" s="79">
        <v>139.18181818181819</v>
      </c>
      <c r="E9" s="27"/>
    </row>
    <row r="10" spans="1:5" ht="18.75" x14ac:dyDescent="0.4">
      <c r="A10" s="32">
        <v>3</v>
      </c>
      <c r="B10" s="3" t="s">
        <v>8</v>
      </c>
      <c r="C10" s="79">
        <v>121.25</v>
      </c>
      <c r="D10" s="242">
        <v>3021.47</v>
      </c>
      <c r="E10" s="190" t="s">
        <v>320</v>
      </c>
    </row>
    <row r="11" spans="1:5" ht="15.75" x14ac:dyDescent="0.25">
      <c r="A11" s="32">
        <v>4</v>
      </c>
      <c r="B11" s="3" t="s">
        <v>9</v>
      </c>
      <c r="C11" s="79"/>
      <c r="D11" s="79">
        <v>137.33954545454546</v>
      </c>
      <c r="E11" s="27"/>
    </row>
    <row r="12" spans="1:5" ht="15.75" x14ac:dyDescent="0.25">
      <c r="A12" s="32">
        <v>5</v>
      </c>
      <c r="B12" s="3" t="s">
        <v>12</v>
      </c>
      <c r="C12" s="79" t="s">
        <v>321</v>
      </c>
      <c r="D12" s="79" t="s">
        <v>322</v>
      </c>
      <c r="E12" s="236"/>
    </row>
    <row r="13" spans="1:5" ht="15.75" x14ac:dyDescent="0.3">
      <c r="A13" s="58">
        <v>6</v>
      </c>
      <c r="B13" s="5" t="s">
        <v>45</v>
      </c>
      <c r="C13" s="39"/>
      <c r="D13" s="39" t="s">
        <v>116</v>
      </c>
      <c r="E13" s="27"/>
    </row>
    <row r="14" spans="1:5" ht="15.75" x14ac:dyDescent="0.3">
      <c r="A14" s="58">
        <v>7</v>
      </c>
      <c r="B14" s="5" t="s">
        <v>44</v>
      </c>
      <c r="C14" s="39" t="s">
        <v>116</v>
      </c>
      <c r="D14" s="39" t="s">
        <v>116</v>
      </c>
      <c r="E14" s="27"/>
    </row>
    <row r="15" spans="1:5" ht="15.75" x14ac:dyDescent="0.3">
      <c r="A15" s="58">
        <v>8</v>
      </c>
      <c r="B15" s="5" t="s">
        <v>10</v>
      </c>
      <c r="C15" s="39" t="s">
        <v>116</v>
      </c>
      <c r="D15" s="39" t="s">
        <v>117</v>
      </c>
      <c r="E15" s="27"/>
    </row>
    <row r="16" spans="1:5" ht="15.75" x14ac:dyDescent="0.3">
      <c r="A16" s="58">
        <v>9</v>
      </c>
      <c r="B16" s="5" t="s">
        <v>11</v>
      </c>
      <c r="C16" s="39" t="s">
        <v>116</v>
      </c>
      <c r="D16" s="39" t="s">
        <v>117</v>
      </c>
      <c r="E16" s="27"/>
    </row>
    <row r="17" spans="1:5" ht="15.75" x14ac:dyDescent="0.3">
      <c r="A17" s="58">
        <v>10</v>
      </c>
      <c r="B17" s="4" t="s">
        <v>12</v>
      </c>
      <c r="C17" s="39" t="s">
        <v>118</v>
      </c>
      <c r="D17" s="40" t="s">
        <v>118</v>
      </c>
      <c r="E17" s="27"/>
    </row>
    <row r="18" spans="1:5" x14ac:dyDescent="0.25">
      <c r="A18" s="248" t="s">
        <v>104</v>
      </c>
      <c r="B18" s="249"/>
      <c r="C18" s="249"/>
      <c r="D18" s="249"/>
      <c r="E18" s="250"/>
    </row>
    <row r="19" spans="1:5" ht="10.5" customHeight="1" thickBot="1" x14ac:dyDescent="0.3">
      <c r="A19" s="251"/>
      <c r="B19" s="252"/>
      <c r="C19" s="252"/>
      <c r="D19" s="252"/>
      <c r="E19" s="253"/>
    </row>
    <row r="20" spans="1:5" ht="15.75" x14ac:dyDescent="0.25">
      <c r="A20" s="11" t="s">
        <v>1</v>
      </c>
      <c r="B20" s="275" t="s">
        <v>31</v>
      </c>
      <c r="C20" s="56" t="s">
        <v>34</v>
      </c>
      <c r="D20" s="41" t="s">
        <v>33</v>
      </c>
      <c r="E20" s="277" t="s">
        <v>13</v>
      </c>
    </row>
    <row r="21" spans="1:5" ht="16.5" thickBot="1" x14ac:dyDescent="0.3">
      <c r="A21" s="93" t="s">
        <v>2</v>
      </c>
      <c r="B21" s="276"/>
      <c r="C21" s="94" t="s">
        <v>35</v>
      </c>
      <c r="D21" s="95" t="s">
        <v>3</v>
      </c>
      <c r="E21" s="278"/>
    </row>
    <row r="22" spans="1:5" ht="15.75" x14ac:dyDescent="0.25">
      <c r="A22" s="160">
        <v>1</v>
      </c>
      <c r="B22" s="161" t="s">
        <v>188</v>
      </c>
      <c r="C22" s="162">
        <v>73</v>
      </c>
      <c r="D22" s="167">
        <f ca="1">C22*C8/C25</f>
        <v>124</v>
      </c>
      <c r="E22" s="26"/>
    </row>
    <row r="23" spans="1:5" ht="12" customHeight="1" x14ac:dyDescent="0.25">
      <c r="A23" s="23"/>
      <c r="B23" s="161"/>
      <c r="C23" s="165"/>
      <c r="D23" s="167"/>
      <c r="E23" s="31"/>
    </row>
    <row r="24" spans="1:5" ht="11.25" customHeight="1" thickBot="1" x14ac:dyDescent="0.3">
      <c r="A24" s="207"/>
      <c r="B24" s="161"/>
      <c r="C24" s="234"/>
      <c r="D24" s="214"/>
      <c r="E24" s="38"/>
    </row>
    <row r="25" spans="1:5" ht="20.25" thickBot="1" x14ac:dyDescent="0.45">
      <c r="A25" s="211">
        <v>2</v>
      </c>
      <c r="B25" s="208" t="s">
        <v>251</v>
      </c>
      <c r="C25" s="212">
        <f ca="1">SUM(C22:C25)</f>
        <v>73</v>
      </c>
      <c r="D25" s="213">
        <f ca="1">SUM(D22:D25)</f>
        <v>124</v>
      </c>
      <c r="E25" s="24"/>
    </row>
    <row r="26" spans="1:5" ht="9.75" customHeight="1" x14ac:dyDescent="0.25">
      <c r="A26" s="279" t="s">
        <v>105</v>
      </c>
      <c r="B26" s="280"/>
      <c r="C26" s="280"/>
      <c r="D26" s="280"/>
      <c r="E26" s="281"/>
    </row>
    <row r="27" spans="1:5" ht="14.25" customHeight="1" thickBot="1" x14ac:dyDescent="0.3">
      <c r="A27" s="251"/>
      <c r="B27" s="252"/>
      <c r="C27" s="252"/>
      <c r="D27" s="252"/>
      <c r="E27" s="253"/>
    </row>
    <row r="28" spans="1:5" ht="15" customHeight="1" x14ac:dyDescent="0.25">
      <c r="A28" s="2" t="s">
        <v>1</v>
      </c>
      <c r="B28" s="254" t="s">
        <v>5</v>
      </c>
      <c r="C28" s="18" t="s">
        <v>3</v>
      </c>
      <c r="D28" s="18" t="s">
        <v>4</v>
      </c>
      <c r="E28" s="256" t="s">
        <v>13</v>
      </c>
    </row>
    <row r="29" spans="1:5" ht="13.5" customHeight="1" thickBot="1" x14ac:dyDescent="0.3">
      <c r="A29" s="15" t="s">
        <v>2</v>
      </c>
      <c r="B29" s="282"/>
      <c r="C29" s="19" t="s">
        <v>40</v>
      </c>
      <c r="D29" s="19" t="s">
        <v>40</v>
      </c>
      <c r="E29" s="283"/>
    </row>
    <row r="30" spans="1:5" ht="19.5" x14ac:dyDescent="0.4">
      <c r="A30" s="128">
        <v>1</v>
      </c>
      <c r="B30" s="135" t="s">
        <v>14</v>
      </c>
      <c r="C30" s="130">
        <v>19.149999999999999</v>
      </c>
      <c r="D30" s="131">
        <v>437.45</v>
      </c>
      <c r="E30" s="227"/>
    </row>
    <row r="31" spans="1:5" ht="20.25" thickBot="1" x14ac:dyDescent="0.45">
      <c r="A31" s="129">
        <v>2</v>
      </c>
      <c r="B31" s="136" t="s">
        <v>99</v>
      </c>
      <c r="C31" s="132">
        <v>4.45</v>
      </c>
      <c r="D31" s="133">
        <v>90.15</v>
      </c>
      <c r="E31" s="86"/>
    </row>
    <row r="32" spans="1:5" ht="29.25" thickBot="1" x14ac:dyDescent="0.35">
      <c r="A32" s="35">
        <v>3</v>
      </c>
      <c r="B32" s="53" t="s">
        <v>15</v>
      </c>
      <c r="C32" s="237">
        <v>0.45</v>
      </c>
      <c r="D32" s="226">
        <v>27.05</v>
      </c>
      <c r="E32" s="241" t="s">
        <v>325</v>
      </c>
    </row>
    <row r="33" spans="1:5" ht="16.5" x14ac:dyDescent="0.3">
      <c r="A33" s="32">
        <v>4</v>
      </c>
      <c r="B33" s="54" t="s">
        <v>16</v>
      </c>
      <c r="C33" s="122" t="s">
        <v>64</v>
      </c>
      <c r="D33" s="123" t="s">
        <v>63</v>
      </c>
      <c r="E33" s="115"/>
    </row>
    <row r="34" spans="1:5" ht="15.75" x14ac:dyDescent="0.25">
      <c r="A34" s="32">
        <v>5</v>
      </c>
      <c r="B34" s="54" t="s">
        <v>17</v>
      </c>
      <c r="C34" s="124" t="s">
        <v>64</v>
      </c>
      <c r="D34" s="123">
        <v>22.45</v>
      </c>
      <c r="E34" s="114"/>
    </row>
    <row r="35" spans="1:5" ht="17.25" thickBot="1" x14ac:dyDescent="0.35">
      <c r="A35" s="32">
        <v>6</v>
      </c>
      <c r="B35" s="54" t="s">
        <v>18</v>
      </c>
      <c r="C35" s="122" t="s">
        <v>63</v>
      </c>
      <c r="D35" s="123">
        <v>1.3</v>
      </c>
      <c r="E35" s="239"/>
    </row>
    <row r="36" spans="1:5" ht="39" customHeight="1" thickBot="1" x14ac:dyDescent="0.3">
      <c r="A36" s="32">
        <v>7</v>
      </c>
      <c r="B36" s="54" t="s">
        <v>19</v>
      </c>
      <c r="C36" s="124">
        <v>4</v>
      </c>
      <c r="D36" s="123">
        <v>26.05</v>
      </c>
      <c r="E36" s="245" t="s">
        <v>326</v>
      </c>
    </row>
    <row r="37" spans="1:5" ht="16.5" x14ac:dyDescent="0.3">
      <c r="A37" s="32">
        <v>8</v>
      </c>
      <c r="B37" s="54" t="s">
        <v>20</v>
      </c>
      <c r="C37" s="124"/>
      <c r="D37" s="123">
        <v>3.5</v>
      </c>
      <c r="E37" s="178"/>
    </row>
    <row r="38" spans="1:5" ht="15.75" x14ac:dyDescent="0.25">
      <c r="A38" s="32">
        <v>9</v>
      </c>
      <c r="B38" s="54" t="s">
        <v>21</v>
      </c>
      <c r="C38" s="122" t="s">
        <v>64</v>
      </c>
      <c r="D38" s="123" t="s">
        <v>116</v>
      </c>
      <c r="E38" s="240"/>
    </row>
    <row r="39" spans="1:5" ht="17.25" thickBot="1" x14ac:dyDescent="0.35">
      <c r="A39" s="37">
        <v>10</v>
      </c>
      <c r="B39" s="55" t="s">
        <v>22</v>
      </c>
      <c r="C39" s="126" t="s">
        <v>116</v>
      </c>
      <c r="D39" s="139">
        <v>9</v>
      </c>
      <c r="E39" s="108"/>
    </row>
    <row r="40" spans="1:5" ht="12" customHeight="1" x14ac:dyDescent="0.25">
      <c r="A40" s="262" t="s">
        <v>77</v>
      </c>
      <c r="B40" s="263"/>
      <c r="C40" s="263"/>
      <c r="D40" s="263"/>
      <c r="E40" s="264"/>
    </row>
    <row r="41" spans="1:5" ht="10.5" customHeight="1" thickBot="1" x14ac:dyDescent="0.3">
      <c r="A41" s="265"/>
      <c r="B41" s="266"/>
      <c r="C41" s="266"/>
      <c r="D41" s="266"/>
      <c r="E41" s="267"/>
    </row>
    <row r="42" spans="1:5" ht="15.75" x14ac:dyDescent="0.25">
      <c r="A42" s="9" t="s">
        <v>1</v>
      </c>
      <c r="B42" s="268" t="s">
        <v>27</v>
      </c>
      <c r="C42" s="270" t="s">
        <v>3</v>
      </c>
      <c r="D42" s="270" t="s">
        <v>4</v>
      </c>
      <c r="E42" s="272" t="s">
        <v>28</v>
      </c>
    </row>
    <row r="43" spans="1:5" ht="12" customHeight="1" thickBot="1" x14ac:dyDescent="0.3">
      <c r="A43" s="17" t="s">
        <v>2</v>
      </c>
      <c r="B43" s="269"/>
      <c r="C43" s="271"/>
      <c r="D43" s="271"/>
      <c r="E43" s="273"/>
    </row>
    <row r="44" spans="1:5" x14ac:dyDescent="0.25">
      <c r="A44" s="35">
        <v>1</v>
      </c>
      <c r="B44" s="53" t="s">
        <v>58</v>
      </c>
      <c r="C44" s="49">
        <v>0</v>
      </c>
      <c r="D44" s="49">
        <v>27</v>
      </c>
      <c r="E44" s="233" t="s">
        <v>282</v>
      </c>
    </row>
    <row r="45" spans="1:5" x14ac:dyDescent="0.25">
      <c r="A45" s="32">
        <v>2</v>
      </c>
      <c r="B45" s="54" t="s">
        <v>59</v>
      </c>
      <c r="C45" s="48">
        <v>137.77799999999999</v>
      </c>
      <c r="D45" s="48">
        <v>3373.7779999999998</v>
      </c>
      <c r="E45" s="27"/>
    </row>
    <row r="46" spans="1:5" x14ac:dyDescent="0.25">
      <c r="A46" s="32">
        <v>3</v>
      </c>
      <c r="B46" s="54" t="s">
        <v>60</v>
      </c>
      <c r="C46" s="48">
        <v>137.77799999999999</v>
      </c>
      <c r="D46" s="48">
        <f>SUM(D44:D45)</f>
        <v>3400.7779999999998</v>
      </c>
      <c r="E46" s="27"/>
    </row>
    <row r="47" spans="1:5" ht="19.5" thickBot="1" x14ac:dyDescent="0.45">
      <c r="A47" s="28" t="s">
        <v>78</v>
      </c>
      <c r="E47" s="24"/>
    </row>
    <row r="48" spans="1:5" ht="15.75" x14ac:dyDescent="0.25">
      <c r="A48" s="9" t="s">
        <v>1</v>
      </c>
      <c r="B48" s="254" t="s">
        <v>5</v>
      </c>
      <c r="C48" s="270" t="s">
        <v>3</v>
      </c>
      <c r="D48" s="256" t="s">
        <v>4</v>
      </c>
      <c r="E48" s="183" t="s">
        <v>61</v>
      </c>
    </row>
    <row r="49" spans="1:5" ht="15.75" x14ac:dyDescent="0.25">
      <c r="A49" s="1" t="s">
        <v>2</v>
      </c>
      <c r="B49" s="255"/>
      <c r="C49" s="274"/>
      <c r="D49" s="257"/>
      <c r="E49" s="184" t="s">
        <v>42</v>
      </c>
    </row>
    <row r="50" spans="1:5" ht="15.75" x14ac:dyDescent="0.25">
      <c r="A50" s="29">
        <v>1</v>
      </c>
      <c r="B50" s="20" t="s">
        <v>43</v>
      </c>
      <c r="C50" s="50">
        <v>12.3</v>
      </c>
      <c r="D50" s="50">
        <v>301.38</v>
      </c>
      <c r="E50" s="185">
        <v>10.08</v>
      </c>
    </row>
    <row r="51" spans="1:5" ht="11.25" customHeight="1" x14ac:dyDescent="0.25">
      <c r="A51" s="248" t="s">
        <v>73</v>
      </c>
      <c r="B51" s="249"/>
      <c r="C51" s="249"/>
      <c r="D51" s="249"/>
      <c r="E51" s="250"/>
    </row>
    <row r="52" spans="1:5" ht="11.25" customHeight="1" thickBot="1" x14ac:dyDescent="0.3">
      <c r="A52" s="251"/>
      <c r="B52" s="252"/>
      <c r="C52" s="252"/>
      <c r="D52" s="252"/>
      <c r="E52" s="253"/>
    </row>
    <row r="53" spans="1:5" ht="10.5" customHeight="1" x14ac:dyDescent="0.25">
      <c r="A53" s="246" t="s">
        <v>1</v>
      </c>
      <c r="B53" s="254" t="s">
        <v>5</v>
      </c>
      <c r="C53" s="18" t="s">
        <v>3</v>
      </c>
      <c r="D53" s="18" t="s">
        <v>4</v>
      </c>
      <c r="E53" s="256" t="s">
        <v>13</v>
      </c>
    </row>
    <row r="54" spans="1:5" ht="13.5" customHeight="1" x14ac:dyDescent="0.25">
      <c r="A54" s="247" t="s">
        <v>2</v>
      </c>
      <c r="B54" s="255"/>
      <c r="C54" s="22" t="s">
        <v>46</v>
      </c>
      <c r="D54" s="22" t="s">
        <v>46</v>
      </c>
      <c r="E54" s="257"/>
    </row>
    <row r="55" spans="1:5" ht="15.75" x14ac:dyDescent="0.25">
      <c r="A55" s="32">
        <v>1</v>
      </c>
      <c r="B55" s="54" t="s">
        <v>323</v>
      </c>
      <c r="C55" s="76">
        <v>33792</v>
      </c>
      <c r="D55" s="179">
        <v>765748</v>
      </c>
      <c r="E55" s="75" t="s">
        <v>324</v>
      </c>
    </row>
    <row r="56" spans="1:5" ht="15.75" x14ac:dyDescent="0.25">
      <c r="A56" s="32">
        <v>2</v>
      </c>
      <c r="B56" s="54" t="s">
        <v>47</v>
      </c>
      <c r="C56" s="179">
        <f>C55/C8</f>
        <v>272.51612903225805</v>
      </c>
      <c r="D56" s="179">
        <f>D55/D8</f>
        <v>250.08099281515351</v>
      </c>
      <c r="E56" s="27"/>
    </row>
    <row r="57" spans="1:5" ht="20.25" thickBot="1" x14ac:dyDescent="0.45">
      <c r="A57" s="25" t="s">
        <v>48</v>
      </c>
      <c r="B57" s="36"/>
      <c r="E57" s="24"/>
    </row>
    <row r="58" spans="1:5" ht="13.5" customHeight="1" x14ac:dyDescent="0.25">
      <c r="A58" s="196" t="s">
        <v>1</v>
      </c>
      <c r="B58" s="258" t="s">
        <v>5</v>
      </c>
      <c r="C58" s="258" t="s">
        <v>3</v>
      </c>
      <c r="D58" s="258" t="s">
        <v>4</v>
      </c>
      <c r="E58" s="260" t="s">
        <v>13</v>
      </c>
    </row>
    <row r="59" spans="1:5" ht="14.25" customHeight="1" x14ac:dyDescent="0.25">
      <c r="A59" s="197" t="s">
        <v>2</v>
      </c>
      <c r="B59" s="259"/>
      <c r="C59" s="259"/>
      <c r="D59" s="259"/>
      <c r="E59" s="261"/>
    </row>
    <row r="60" spans="1:5" ht="15.75" x14ac:dyDescent="0.25">
      <c r="A60" s="32">
        <v>1</v>
      </c>
      <c r="B60" s="3" t="s">
        <v>49</v>
      </c>
      <c r="C60" s="76">
        <v>219</v>
      </c>
      <c r="D60" s="76">
        <v>4716</v>
      </c>
      <c r="E60" s="27"/>
    </row>
    <row r="61" spans="1:5" ht="15.75" x14ac:dyDescent="0.25">
      <c r="A61" s="32">
        <v>2</v>
      </c>
      <c r="B61" s="3" t="s">
        <v>52</v>
      </c>
      <c r="C61" s="179">
        <f>+C60/C8</f>
        <v>1.7661290322580645</v>
      </c>
      <c r="D61" s="89">
        <f>D60/D8</f>
        <v>1.5401698236446766</v>
      </c>
      <c r="E61" s="27"/>
    </row>
    <row r="62" spans="1:5" ht="15.75" x14ac:dyDescent="0.25">
      <c r="A62" s="32">
        <v>3</v>
      </c>
      <c r="B62" s="3" t="s">
        <v>50</v>
      </c>
      <c r="C62" s="76">
        <v>123</v>
      </c>
      <c r="D62" s="76">
        <v>1297</v>
      </c>
      <c r="E62" s="27"/>
    </row>
    <row r="63" spans="1:5" ht="15.75" x14ac:dyDescent="0.25">
      <c r="A63" s="32">
        <v>4</v>
      </c>
      <c r="B63" s="3" t="s">
        <v>53</v>
      </c>
      <c r="C63" s="89">
        <f>+C62/C8</f>
        <v>0.99193548387096775</v>
      </c>
      <c r="D63" s="89">
        <f>D62/D8</f>
        <v>0.42357935989549317</v>
      </c>
      <c r="E63" s="27"/>
    </row>
    <row r="64" spans="1:5" ht="15.75" x14ac:dyDescent="0.25">
      <c r="A64" s="32">
        <v>5</v>
      </c>
      <c r="B64" s="3" t="s">
        <v>51</v>
      </c>
      <c r="C64" s="152">
        <v>61.5</v>
      </c>
      <c r="D64" s="152">
        <v>968.9</v>
      </c>
      <c r="E64" s="243"/>
    </row>
    <row r="65" spans="1:5" ht="15.75" x14ac:dyDescent="0.25">
      <c r="A65" s="32">
        <v>6</v>
      </c>
      <c r="B65" s="3" t="s">
        <v>54</v>
      </c>
      <c r="C65" s="89">
        <f>C64/C8</f>
        <v>0.49596774193548387</v>
      </c>
      <c r="D65" s="89">
        <f>D64/D8</f>
        <v>0.31642717178314828</v>
      </c>
      <c r="E65" s="27"/>
    </row>
    <row r="66" spans="1:5" ht="15.75" x14ac:dyDescent="0.25">
      <c r="A66" s="32">
        <v>7</v>
      </c>
      <c r="B66" s="3" t="s">
        <v>55</v>
      </c>
      <c r="C66" s="89">
        <v>39.182000000000002</v>
      </c>
      <c r="D66" s="89">
        <v>909.50699999999995</v>
      </c>
      <c r="E66" s="244"/>
    </row>
    <row r="67" spans="1:5" ht="15" customHeight="1" x14ac:dyDescent="0.25">
      <c r="A67" s="32">
        <v>8</v>
      </c>
      <c r="B67" s="3" t="s">
        <v>56</v>
      </c>
      <c r="C67" s="89">
        <f>C66/C8</f>
        <v>0.31598387096774194</v>
      </c>
      <c r="D67" s="89">
        <f>D66/D8</f>
        <v>0.29703037230568252</v>
      </c>
      <c r="E67" s="27"/>
    </row>
    <row r="68" spans="1:5" ht="14.25" customHeight="1" x14ac:dyDescent="0.25">
      <c r="A68" s="32">
        <v>9</v>
      </c>
      <c r="B68" s="3" t="s">
        <v>214</v>
      </c>
      <c r="C68" s="89">
        <v>256</v>
      </c>
      <c r="D68" s="89">
        <v>5076.5</v>
      </c>
      <c r="E68" s="244"/>
    </row>
    <row r="69" spans="1:5" ht="14.25" customHeight="1" thickBot="1" x14ac:dyDescent="0.3">
      <c r="A69" s="37">
        <v>10</v>
      </c>
      <c r="B69" s="52" t="s">
        <v>215</v>
      </c>
      <c r="C69" s="159">
        <f>C68/C8</f>
        <v>2.064516129032258</v>
      </c>
      <c r="D69" s="159">
        <f>D68/D8</f>
        <v>1.6579033311561071</v>
      </c>
      <c r="E69" s="38"/>
    </row>
    <row r="71" spans="1:5" ht="15.75" customHeight="1" x14ac:dyDescent="0.25"/>
    <row r="72" spans="1:5" ht="15.75" customHeight="1" x14ac:dyDescent="0.25"/>
  </sheetData>
  <mergeCells count="29">
    <mergeCell ref="A1:E1"/>
    <mergeCell ref="A2:E2"/>
    <mergeCell ref="A3:E3"/>
    <mergeCell ref="A4:E5"/>
    <mergeCell ref="B6:B7"/>
    <mergeCell ref="C6:C7"/>
    <mergeCell ref="D6:D7"/>
    <mergeCell ref="E6:E7"/>
    <mergeCell ref="B48:B49"/>
    <mergeCell ref="C48:C49"/>
    <mergeCell ref="D48:D49"/>
    <mergeCell ref="A18:E19"/>
    <mergeCell ref="B20:B21"/>
    <mergeCell ref="E20:E21"/>
    <mergeCell ref="A26:E27"/>
    <mergeCell ref="B28:B29"/>
    <mergeCell ref="E28:E29"/>
    <mergeCell ref="A40:E41"/>
    <mergeCell ref="B42:B43"/>
    <mergeCell ref="C42:C43"/>
    <mergeCell ref="D42:D43"/>
    <mergeCell ref="E42:E43"/>
    <mergeCell ref="A51:E52"/>
    <mergeCell ref="B53:B54"/>
    <mergeCell ref="E53:E54"/>
    <mergeCell ref="B58:B59"/>
    <mergeCell ref="C58:C59"/>
    <mergeCell ref="D58:D59"/>
    <mergeCell ref="E58:E59"/>
  </mergeCells>
  <pageMargins left="0.70866141732283472" right="0.15748031496062992" top="0.19685039370078741" bottom="0.23622047244094491" header="0.15748031496062992" footer="0.19685039370078741"/>
  <pageSetup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Sheet1</vt:lpstr>
      <vt:lpstr>Sheet2</vt:lpstr>
      <vt:lpstr>Sheet3</vt:lpstr>
      <vt:lpstr>Sheet4</vt:lpstr>
      <vt:lpstr>31-07-2026</vt:lpstr>
      <vt:lpstr>01-08-2026</vt:lpstr>
      <vt:lpstr>02-08-2026</vt:lpstr>
      <vt:lpstr>03-08-2026</vt:lpstr>
      <vt:lpstr>04-08-2026</vt:lpstr>
      <vt:lpstr>05-08-2026</vt:lpstr>
      <vt:lpstr>06-08-2026</vt:lpstr>
      <vt:lpstr>07.08.2026</vt:lpstr>
      <vt:lpstr>08-08-26</vt:lpstr>
      <vt:lpstr>09-08-2026</vt:lpstr>
      <vt:lpstr>10-08-2026</vt:lpstr>
      <vt:lpstr>11-08-2026</vt:lpstr>
      <vt:lpstr>12-08-2026</vt:lpstr>
      <vt:lpstr>13-08-2026</vt:lpstr>
      <vt:lpstr>14-08-2026</vt:lpstr>
      <vt:lpstr>15-08-2026</vt:lpstr>
      <vt:lpstr>16-08-2026</vt:lpstr>
      <vt:lpstr>17-08-2026</vt:lpstr>
      <vt:lpstr>18-08-2026</vt:lpstr>
      <vt:lpstr>19-08-2026</vt:lpstr>
      <vt:lpstr>20-08-2026</vt:lpstr>
      <vt:lpstr>21-08-2026</vt:lpstr>
      <vt:lpstr>22-08-2026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2026-08-25T04:35:37Z</dcterms:modified>
</cp:coreProperties>
</file>