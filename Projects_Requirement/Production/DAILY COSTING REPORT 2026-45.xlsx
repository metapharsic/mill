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K_Mill\mkmill-software-main\mkmill-software-main\Projects_Requirement\Production\"/>
    </mc:Choice>
  </mc:AlternateContent>
  <xr:revisionPtr revIDLastSave="0" documentId="8_{E3B0FBBB-3B1F-4FD1-9483-790B9BA2B00E}" xr6:coauthVersionLast="47" xr6:coauthVersionMax="47" xr10:uidLastSave="{00000000-0000-0000-0000-000000000000}"/>
  <bookViews>
    <workbookView xWindow="-120" yWindow="-120" windowWidth="29040" windowHeight="15720" firstSheet="42" activeTab="48" xr2:uid="{00000000-000D-0000-FFFF-FFFF00000000}"/>
  </bookViews>
  <sheets>
    <sheet name="01-07-26" sheetId="33" r:id="rId1"/>
    <sheet name="02-07-26" sheetId="32" r:id="rId2"/>
    <sheet name="03-07-26" sheetId="31" r:id="rId3"/>
    <sheet name="04-07-26" sheetId="23" r:id="rId4"/>
    <sheet name="05-7-26" sheetId="22" r:id="rId5"/>
    <sheet name="06-07-26" sheetId="21" r:id="rId6"/>
    <sheet name="07-07-26" sheetId="20" r:id="rId7"/>
    <sheet name="08-07-26" sheetId="19" r:id="rId8"/>
    <sheet name="09-07-26" sheetId="18" r:id="rId9"/>
    <sheet name="10-07-26" sheetId="17" r:id="rId10"/>
    <sheet name="11-07-26" sheetId="34" r:id="rId11"/>
    <sheet name="12-7-26" sheetId="13" r:id="rId12"/>
    <sheet name="13-7-26" sheetId="14" r:id="rId13"/>
    <sheet name="14-7-26" sheetId="15" r:id="rId14"/>
    <sheet name="15-07-26" sheetId="35" r:id="rId15"/>
    <sheet name="16-07-26" sheetId="36" r:id="rId16"/>
    <sheet name="17-07-26" sheetId="37" r:id="rId17"/>
    <sheet name="22-07-26" sheetId="41" r:id="rId18"/>
    <sheet name="Sheet1" sheetId="42" r:id="rId19"/>
    <sheet name="Sheet2" sheetId="43" r:id="rId20"/>
    <sheet name="Sheet3" sheetId="44" r:id="rId21"/>
    <sheet name="Sheet4" sheetId="45" r:id="rId22"/>
    <sheet name="Sheet5" sheetId="46" r:id="rId23"/>
    <sheet name="Sheet6" sheetId="47" r:id="rId24"/>
    <sheet name="Sheet7" sheetId="48" r:id="rId25"/>
    <sheet name="Sheet8" sheetId="49" r:id="rId26"/>
    <sheet name="Sheet9" sheetId="50" r:id="rId27"/>
    <sheet name="01-08-2026" sheetId="51" r:id="rId28"/>
    <sheet name="02-08-2026" sheetId="52" r:id="rId29"/>
    <sheet name="03-08-2026" sheetId="53" r:id="rId30"/>
    <sheet name="04-08-2026" sheetId="54" r:id="rId31"/>
    <sheet name="05-08-2026" sheetId="55" r:id="rId32"/>
    <sheet name="06-08-2026" sheetId="56" r:id="rId33"/>
    <sheet name="7-08-2026" sheetId="57" r:id="rId34"/>
    <sheet name="08-08-2026" sheetId="58" r:id="rId35"/>
    <sheet name="09-08-2026" sheetId="59" r:id="rId36"/>
    <sheet name="10-08-2026" sheetId="60" r:id="rId37"/>
    <sheet name="11-08-2026" sheetId="61" r:id="rId38"/>
    <sheet name="12-08-2026" sheetId="62" r:id="rId39"/>
    <sheet name="13-08-2026" sheetId="63" r:id="rId40"/>
    <sheet name="14-08-2026" sheetId="64" r:id="rId41"/>
    <sheet name="15-08-2026" sheetId="65" r:id="rId42"/>
    <sheet name="16.08.2026" sheetId="66" r:id="rId43"/>
    <sheet name="17-08-2026" sheetId="67" r:id="rId44"/>
    <sheet name="18-08-2026" sheetId="68" r:id="rId45"/>
    <sheet name="19.08.2026" sheetId="69" r:id="rId46"/>
    <sheet name="20.08.2026" sheetId="70" r:id="rId47"/>
    <sheet name="21.08.2026" sheetId="71" r:id="rId48"/>
    <sheet name="22.08.2026" sheetId="72" r:id="rId49"/>
  </sheets>
  <definedNames>
    <definedName name="_xlnm.Print_Area" localSheetId="16">'17-07-26'!$A$1:$O$37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72" l="1"/>
  <c r="C39" i="72"/>
  <c r="L31" i="72"/>
  <c r="N31" i="72" s="1"/>
  <c r="I31" i="72"/>
  <c r="H31" i="72"/>
  <c r="L30" i="72"/>
  <c r="N30" i="72" s="1"/>
  <c r="I30" i="72"/>
  <c r="H30" i="72"/>
  <c r="L29" i="72"/>
  <c r="N29" i="72" s="1"/>
  <c r="I29" i="72"/>
  <c r="H29" i="72"/>
  <c r="L28" i="72"/>
  <c r="N28" i="72" s="1"/>
  <c r="I28" i="72"/>
  <c r="H28" i="72"/>
  <c r="L27" i="72"/>
  <c r="N27" i="72" s="1"/>
  <c r="I27" i="72"/>
  <c r="H27" i="72"/>
  <c r="N26" i="72"/>
  <c r="L26" i="72"/>
  <c r="I26" i="72"/>
  <c r="H26" i="72"/>
  <c r="L25" i="72"/>
  <c r="N25" i="72" s="1"/>
  <c r="I25" i="72"/>
  <c r="H25" i="72"/>
  <c r="L24" i="72"/>
  <c r="N24" i="72" s="1"/>
  <c r="I24" i="72"/>
  <c r="H24" i="72"/>
  <c r="L23" i="72"/>
  <c r="N23" i="72" s="1"/>
  <c r="I23" i="72"/>
  <c r="H23" i="72"/>
  <c r="L22" i="72"/>
  <c r="N22" i="72" s="1"/>
  <c r="I22" i="72"/>
  <c r="H22" i="72"/>
  <c r="L21" i="72"/>
  <c r="N21" i="72" s="1"/>
  <c r="I21" i="72"/>
  <c r="H21" i="72"/>
  <c r="L20" i="72"/>
  <c r="N20" i="72" s="1"/>
  <c r="I20" i="72"/>
  <c r="H20" i="72"/>
  <c r="L19" i="72"/>
  <c r="N19" i="72" s="1"/>
  <c r="I19" i="72"/>
  <c r="H19" i="72"/>
  <c r="L18" i="72"/>
  <c r="N18" i="72" s="1"/>
  <c r="I18" i="72"/>
  <c r="H18" i="72"/>
  <c r="N17" i="72"/>
  <c r="L17" i="72"/>
  <c r="I17" i="72"/>
  <c r="H17" i="72"/>
  <c r="L16" i="72"/>
  <c r="N16" i="72" s="1"/>
  <c r="I16" i="72"/>
  <c r="H16" i="72"/>
  <c r="L15" i="72"/>
  <c r="N15" i="72" s="1"/>
  <c r="I15" i="72"/>
  <c r="H15" i="72"/>
  <c r="N14" i="72"/>
  <c r="L14" i="72"/>
  <c r="I14" i="72"/>
  <c r="H14" i="72"/>
  <c r="L13" i="72"/>
  <c r="N13" i="72" s="1"/>
  <c r="I13" i="72"/>
  <c r="H13" i="72"/>
  <c r="L12" i="72"/>
  <c r="N12" i="72" s="1"/>
  <c r="I12" i="72"/>
  <c r="H12" i="72"/>
  <c r="L11" i="72"/>
  <c r="N11" i="72" s="1"/>
  <c r="I11" i="72"/>
  <c r="H11" i="72"/>
  <c r="L10" i="72"/>
  <c r="N10" i="72" s="1"/>
  <c r="I10" i="72"/>
  <c r="H10" i="72"/>
  <c r="L9" i="72"/>
  <c r="N9" i="72" s="1"/>
  <c r="I9" i="72"/>
  <c r="H9" i="72"/>
  <c r="L8" i="72"/>
  <c r="N8" i="72" s="1"/>
  <c r="I8" i="72"/>
  <c r="H8" i="72"/>
  <c r="E8" i="72"/>
  <c r="D39" i="71"/>
  <c r="C39" i="71"/>
  <c r="L31" i="71"/>
  <c r="N31" i="71" s="1"/>
  <c r="I31" i="71"/>
  <c r="H31" i="71"/>
  <c r="L30" i="71"/>
  <c r="N30" i="71" s="1"/>
  <c r="I30" i="71"/>
  <c r="H30" i="71"/>
  <c r="L29" i="71"/>
  <c r="N29" i="71" s="1"/>
  <c r="I29" i="71"/>
  <c r="H29" i="71"/>
  <c r="N28" i="71"/>
  <c r="L28" i="71"/>
  <c r="I28" i="71"/>
  <c r="H28" i="71"/>
  <c r="L27" i="71"/>
  <c r="N27" i="71" s="1"/>
  <c r="I27" i="71"/>
  <c r="H27" i="71"/>
  <c r="L26" i="71"/>
  <c r="N26" i="71" s="1"/>
  <c r="I26" i="71"/>
  <c r="H26" i="71"/>
  <c r="N25" i="71"/>
  <c r="L25" i="71"/>
  <c r="I25" i="71"/>
  <c r="H25" i="71"/>
  <c r="L24" i="71"/>
  <c r="N24" i="71" s="1"/>
  <c r="I24" i="71"/>
  <c r="H24" i="71"/>
  <c r="L23" i="71"/>
  <c r="N23" i="71" s="1"/>
  <c r="I23" i="71"/>
  <c r="H23" i="71"/>
  <c r="L22" i="71"/>
  <c r="N22" i="71" s="1"/>
  <c r="I22" i="71"/>
  <c r="H22" i="71"/>
  <c r="L21" i="71"/>
  <c r="N21" i="71" s="1"/>
  <c r="I21" i="71"/>
  <c r="H21" i="71"/>
  <c r="L20" i="71"/>
  <c r="N20" i="71" s="1"/>
  <c r="I20" i="71"/>
  <c r="H20" i="71"/>
  <c r="L19" i="71"/>
  <c r="N19" i="71" s="1"/>
  <c r="I19" i="71"/>
  <c r="H19" i="71"/>
  <c r="L18" i="71"/>
  <c r="N18" i="71" s="1"/>
  <c r="I18" i="71"/>
  <c r="H18" i="71"/>
  <c r="L17" i="71"/>
  <c r="N17" i="71" s="1"/>
  <c r="I17" i="71"/>
  <c r="H17" i="71"/>
  <c r="L16" i="71"/>
  <c r="N16" i="71" s="1"/>
  <c r="I16" i="71"/>
  <c r="H16" i="71"/>
  <c r="L15" i="71"/>
  <c r="N15" i="71" s="1"/>
  <c r="I15" i="71"/>
  <c r="H15" i="71"/>
  <c r="L14" i="71"/>
  <c r="N14" i="71" s="1"/>
  <c r="I14" i="71"/>
  <c r="H14" i="71"/>
  <c r="L13" i="71"/>
  <c r="N13" i="71" s="1"/>
  <c r="I13" i="71"/>
  <c r="H13" i="71"/>
  <c r="L12" i="71"/>
  <c r="N12" i="71" s="1"/>
  <c r="I12" i="71"/>
  <c r="H12" i="71"/>
  <c r="L11" i="71"/>
  <c r="N11" i="71" s="1"/>
  <c r="I11" i="71"/>
  <c r="H11" i="71"/>
  <c r="N10" i="71"/>
  <c r="L10" i="71"/>
  <c r="I10" i="71"/>
  <c r="H10" i="71"/>
  <c r="N9" i="71"/>
  <c r="L9" i="71"/>
  <c r="I9" i="71"/>
  <c r="H9" i="71"/>
  <c r="L8" i="71"/>
  <c r="N8" i="71" s="1"/>
  <c r="I8" i="71"/>
  <c r="H8" i="71"/>
  <c r="E8" i="71"/>
  <c r="D39" i="70"/>
  <c r="C39" i="70"/>
  <c r="L31" i="70"/>
  <c r="N31" i="70" s="1"/>
  <c r="I31" i="70"/>
  <c r="H31" i="70"/>
  <c r="L30" i="70"/>
  <c r="I30" i="70"/>
  <c r="H30" i="70"/>
  <c r="L29" i="70"/>
  <c r="N29" i="70" s="1"/>
  <c r="I29" i="70"/>
  <c r="H29" i="70"/>
  <c r="N28" i="70"/>
  <c r="L28" i="70"/>
  <c r="I28" i="70"/>
  <c r="H28" i="70"/>
  <c r="N27" i="70"/>
  <c r="L27" i="70"/>
  <c r="I27" i="70"/>
  <c r="H27" i="70"/>
  <c r="L26" i="70"/>
  <c r="N26" i="70" s="1"/>
  <c r="I26" i="70"/>
  <c r="H26" i="70"/>
  <c r="N25" i="70"/>
  <c r="L25" i="70"/>
  <c r="I25" i="70"/>
  <c r="H25" i="70"/>
  <c r="N24" i="70"/>
  <c r="L24" i="70"/>
  <c r="I24" i="70"/>
  <c r="H24" i="70"/>
  <c r="L23" i="70"/>
  <c r="N23" i="70" s="1"/>
  <c r="I23" i="70"/>
  <c r="H23" i="70"/>
  <c r="L22" i="70"/>
  <c r="N22" i="70" s="1"/>
  <c r="I22" i="70"/>
  <c r="H22" i="70"/>
  <c r="L21" i="70"/>
  <c r="N21" i="70" s="1"/>
  <c r="I21" i="70"/>
  <c r="H21" i="70"/>
  <c r="L20" i="70"/>
  <c r="N20" i="70" s="1"/>
  <c r="I20" i="70"/>
  <c r="H20" i="70"/>
  <c r="N19" i="70"/>
  <c r="L19" i="70"/>
  <c r="I19" i="70"/>
  <c r="H19" i="70"/>
  <c r="L18" i="70"/>
  <c r="N18" i="70" s="1"/>
  <c r="I18" i="70"/>
  <c r="H18" i="70"/>
  <c r="L17" i="70"/>
  <c r="N17" i="70" s="1"/>
  <c r="I17" i="70"/>
  <c r="H17" i="70"/>
  <c r="N16" i="70"/>
  <c r="L16" i="70"/>
  <c r="I16" i="70"/>
  <c r="H16" i="70"/>
  <c r="N15" i="70"/>
  <c r="L15" i="70"/>
  <c r="I15" i="70"/>
  <c r="H15" i="70"/>
  <c r="L14" i="70"/>
  <c r="N14" i="70" s="1"/>
  <c r="I14" i="70"/>
  <c r="H14" i="70"/>
  <c r="L13" i="70"/>
  <c r="N13" i="70" s="1"/>
  <c r="I13" i="70"/>
  <c r="H13" i="70"/>
  <c r="L12" i="70"/>
  <c r="N12" i="70" s="1"/>
  <c r="I12" i="70"/>
  <c r="H12" i="70"/>
  <c r="L11" i="70"/>
  <c r="N11" i="70" s="1"/>
  <c r="I11" i="70"/>
  <c r="H11" i="70"/>
  <c r="L10" i="70"/>
  <c r="N10" i="70" s="1"/>
  <c r="I10" i="70"/>
  <c r="H10" i="70"/>
  <c r="L9" i="70"/>
  <c r="N9" i="70" s="1"/>
  <c r="I9" i="70"/>
  <c r="H9" i="70"/>
  <c r="L8" i="70"/>
  <c r="N8" i="70" s="1"/>
  <c r="I8" i="70"/>
  <c r="H8" i="70"/>
  <c r="E8" i="70"/>
  <c r="N30" i="70"/>
  <c r="I30" i="69"/>
  <c r="I24" i="69"/>
  <c r="I19" i="69"/>
  <c r="I18" i="69"/>
  <c r="I17" i="69"/>
  <c r="I11" i="69"/>
  <c r="I10" i="69"/>
  <c r="F3" i="69"/>
  <c r="D39" i="69"/>
  <c r="C39" i="69"/>
  <c r="L31" i="69"/>
  <c r="I31" i="69"/>
  <c r="H31" i="69"/>
  <c r="L30" i="69"/>
  <c r="H30" i="69"/>
  <c r="L29" i="69"/>
  <c r="N29" i="69" s="1"/>
  <c r="I29" i="69"/>
  <c r="H29" i="69"/>
  <c r="L28" i="69"/>
  <c r="N28" i="69" s="1"/>
  <c r="I28" i="69"/>
  <c r="H28" i="69"/>
  <c r="L27" i="69"/>
  <c r="N27" i="69" s="1"/>
  <c r="I27" i="69"/>
  <c r="H27" i="69"/>
  <c r="L26" i="69"/>
  <c r="N26" i="69" s="1"/>
  <c r="I26" i="69"/>
  <c r="H26" i="69"/>
  <c r="L25" i="69"/>
  <c r="N25" i="69" s="1"/>
  <c r="I25" i="69"/>
  <c r="H25" i="69"/>
  <c r="L24" i="69"/>
  <c r="N24" i="69" s="1"/>
  <c r="H24" i="69"/>
  <c r="L23" i="69"/>
  <c r="N23" i="69" s="1"/>
  <c r="I23" i="69"/>
  <c r="H23" i="69"/>
  <c r="L22" i="69"/>
  <c r="N22" i="69" s="1"/>
  <c r="I22" i="69"/>
  <c r="H22" i="69"/>
  <c r="L21" i="69"/>
  <c r="N21" i="69" s="1"/>
  <c r="I21" i="69"/>
  <c r="H21" i="69"/>
  <c r="L20" i="69"/>
  <c r="N20" i="69" s="1"/>
  <c r="I20" i="69"/>
  <c r="H20" i="69"/>
  <c r="L19" i="69"/>
  <c r="N19" i="69" s="1"/>
  <c r="H19" i="69"/>
  <c r="N18" i="69"/>
  <c r="L18" i="69"/>
  <c r="H18" i="69"/>
  <c r="L17" i="69"/>
  <c r="N17" i="69" s="1"/>
  <c r="H17" i="69"/>
  <c r="L16" i="69"/>
  <c r="N16" i="69" s="1"/>
  <c r="I16" i="69"/>
  <c r="H16" i="69"/>
  <c r="N15" i="69"/>
  <c r="L15" i="69"/>
  <c r="I15" i="69"/>
  <c r="H15" i="69"/>
  <c r="L14" i="69"/>
  <c r="N14" i="69" s="1"/>
  <c r="I14" i="69"/>
  <c r="H14" i="69"/>
  <c r="L13" i="69"/>
  <c r="N13" i="69" s="1"/>
  <c r="I13" i="69"/>
  <c r="H13" i="69"/>
  <c r="N12" i="69"/>
  <c r="L12" i="69"/>
  <c r="I12" i="69"/>
  <c r="H12" i="69"/>
  <c r="L11" i="69"/>
  <c r="N11" i="69" s="1"/>
  <c r="H11" i="69"/>
  <c r="L10" i="69"/>
  <c r="N10" i="69" s="1"/>
  <c r="H10" i="69"/>
  <c r="L9" i="69"/>
  <c r="N9" i="69" s="1"/>
  <c r="I9" i="69"/>
  <c r="H9" i="69"/>
  <c r="L8" i="69"/>
  <c r="N8" i="69" s="1"/>
  <c r="I8" i="69"/>
  <c r="H8" i="69"/>
  <c r="E8" i="69"/>
  <c r="G19" i="68"/>
  <c r="G19" i="69" s="1"/>
  <c r="E8" i="68"/>
  <c r="I29" i="68"/>
  <c r="I28" i="68"/>
  <c r="I24" i="68"/>
  <c r="I23" i="68"/>
  <c r="I19" i="68"/>
  <c r="I18" i="68"/>
  <c r="I15" i="68"/>
  <c r="I11" i="68"/>
  <c r="D39" i="68"/>
  <c r="C39" i="68"/>
  <c r="L31" i="68"/>
  <c r="N31" i="68" s="1"/>
  <c r="I31" i="68"/>
  <c r="H31" i="68"/>
  <c r="N30" i="68"/>
  <c r="L30" i="68"/>
  <c r="I30" i="68"/>
  <c r="H30" i="68"/>
  <c r="L29" i="68"/>
  <c r="N29" i="68" s="1"/>
  <c r="H29" i="68"/>
  <c r="L28" i="68"/>
  <c r="N28" i="68" s="1"/>
  <c r="H28" i="68"/>
  <c r="L27" i="68"/>
  <c r="N27" i="68" s="1"/>
  <c r="I27" i="68"/>
  <c r="H27" i="68"/>
  <c r="L26" i="68"/>
  <c r="N26" i="68" s="1"/>
  <c r="I26" i="68"/>
  <c r="H26" i="68"/>
  <c r="L25" i="68"/>
  <c r="N25" i="68" s="1"/>
  <c r="I25" i="68"/>
  <c r="H25" i="68"/>
  <c r="L24" i="68"/>
  <c r="N24" i="68" s="1"/>
  <c r="H24" i="68"/>
  <c r="L23" i="68"/>
  <c r="N23" i="68" s="1"/>
  <c r="H23" i="68"/>
  <c r="L22" i="68"/>
  <c r="N22" i="68" s="1"/>
  <c r="I22" i="68"/>
  <c r="H22" i="68"/>
  <c r="L21" i="68"/>
  <c r="N21" i="68" s="1"/>
  <c r="I21" i="68"/>
  <c r="H21" i="68"/>
  <c r="L20" i="68"/>
  <c r="N20" i="68" s="1"/>
  <c r="I20" i="68"/>
  <c r="H20" i="68"/>
  <c r="L19" i="68"/>
  <c r="N19" i="68" s="1"/>
  <c r="H19" i="68"/>
  <c r="L18" i="68"/>
  <c r="N18" i="68" s="1"/>
  <c r="H18" i="68"/>
  <c r="L17" i="68"/>
  <c r="N17" i="68" s="1"/>
  <c r="I17" i="68"/>
  <c r="H17" i="68"/>
  <c r="L16" i="68"/>
  <c r="N16" i="68" s="1"/>
  <c r="I16" i="68"/>
  <c r="H16" i="68"/>
  <c r="L15" i="68"/>
  <c r="N15" i="68" s="1"/>
  <c r="H15" i="68"/>
  <c r="L14" i="68"/>
  <c r="N14" i="68" s="1"/>
  <c r="I14" i="68"/>
  <c r="H14" i="68"/>
  <c r="L13" i="68"/>
  <c r="N13" i="68" s="1"/>
  <c r="I13" i="68"/>
  <c r="H13" i="68"/>
  <c r="L12" i="68"/>
  <c r="N12" i="68" s="1"/>
  <c r="I12" i="68"/>
  <c r="H12" i="68"/>
  <c r="L11" i="68"/>
  <c r="N11" i="68" s="1"/>
  <c r="H11" i="68"/>
  <c r="L10" i="68"/>
  <c r="N10" i="68" s="1"/>
  <c r="I10" i="68"/>
  <c r="H10" i="68"/>
  <c r="L9" i="68"/>
  <c r="N9" i="68" s="1"/>
  <c r="I9" i="68"/>
  <c r="H9" i="68"/>
  <c r="L8" i="68"/>
  <c r="N8" i="68" s="1"/>
  <c r="I8" i="68"/>
  <c r="H8" i="68"/>
  <c r="G19" i="67"/>
  <c r="M19" i="67" s="1"/>
  <c r="O19" i="67" s="1"/>
  <c r="G25" i="67"/>
  <c r="G29" i="67"/>
  <c r="C39" i="67"/>
  <c r="L31" i="67"/>
  <c r="N31" i="67" s="1"/>
  <c r="I31" i="67"/>
  <c r="H31" i="67"/>
  <c r="L30" i="67"/>
  <c r="N30" i="67" s="1"/>
  <c r="I30" i="67"/>
  <c r="H30" i="67"/>
  <c r="L29" i="67"/>
  <c r="N29" i="67" s="1"/>
  <c r="I29" i="67"/>
  <c r="H29" i="67"/>
  <c r="L28" i="67"/>
  <c r="N28" i="67" s="1"/>
  <c r="I28" i="67"/>
  <c r="H28" i="67"/>
  <c r="L27" i="67"/>
  <c r="N27" i="67" s="1"/>
  <c r="I27" i="67"/>
  <c r="H27" i="67"/>
  <c r="N26" i="67"/>
  <c r="L26" i="67"/>
  <c r="I26" i="67"/>
  <c r="H26" i="67"/>
  <c r="L25" i="67"/>
  <c r="N25" i="67" s="1"/>
  <c r="I25" i="67"/>
  <c r="H25" i="67"/>
  <c r="N24" i="67"/>
  <c r="L24" i="67"/>
  <c r="I24" i="67"/>
  <c r="H24" i="67"/>
  <c r="L23" i="67"/>
  <c r="N23" i="67" s="1"/>
  <c r="I23" i="67"/>
  <c r="H23" i="67"/>
  <c r="L22" i="67"/>
  <c r="N22" i="67" s="1"/>
  <c r="I22" i="67"/>
  <c r="H22" i="67"/>
  <c r="L21" i="67"/>
  <c r="N21" i="67" s="1"/>
  <c r="I21" i="67"/>
  <c r="H21" i="67"/>
  <c r="N20" i="67"/>
  <c r="L20" i="67"/>
  <c r="I20" i="67"/>
  <c r="H20" i="67"/>
  <c r="L19" i="67"/>
  <c r="N19" i="67" s="1"/>
  <c r="I19" i="67"/>
  <c r="H19" i="67"/>
  <c r="N18" i="67"/>
  <c r="L18" i="67"/>
  <c r="I18" i="67"/>
  <c r="H18" i="67"/>
  <c r="N17" i="67"/>
  <c r="L17" i="67"/>
  <c r="I17" i="67"/>
  <c r="H17" i="67"/>
  <c r="L16" i="67"/>
  <c r="N16" i="67" s="1"/>
  <c r="I16" i="67"/>
  <c r="H16" i="67"/>
  <c r="L15" i="67"/>
  <c r="N15" i="67" s="1"/>
  <c r="I15" i="67"/>
  <c r="H15" i="67"/>
  <c r="L14" i="67"/>
  <c r="N14" i="67" s="1"/>
  <c r="I14" i="67"/>
  <c r="H14" i="67"/>
  <c r="L13" i="67"/>
  <c r="N13" i="67" s="1"/>
  <c r="I13" i="67"/>
  <c r="H13" i="67"/>
  <c r="L12" i="67"/>
  <c r="N12" i="67" s="1"/>
  <c r="I12" i="67"/>
  <c r="H12" i="67"/>
  <c r="N11" i="67"/>
  <c r="L11" i="67"/>
  <c r="I11" i="67"/>
  <c r="H11" i="67"/>
  <c r="L10" i="67"/>
  <c r="N10" i="67" s="1"/>
  <c r="I10" i="67"/>
  <c r="H10" i="67"/>
  <c r="N9" i="67"/>
  <c r="L9" i="67"/>
  <c r="I9" i="67"/>
  <c r="H9" i="67"/>
  <c r="L8" i="67"/>
  <c r="N8" i="67" s="1"/>
  <c r="I8" i="67"/>
  <c r="H8" i="67"/>
  <c r="F36" i="66"/>
  <c r="F35" i="66"/>
  <c r="F34" i="66"/>
  <c r="F33" i="66"/>
  <c r="G12" i="66"/>
  <c r="G13" i="66"/>
  <c r="G14" i="66"/>
  <c r="M14" i="66" s="1"/>
  <c r="O14" i="66" s="1"/>
  <c r="G19" i="66"/>
  <c r="J19" i="66" s="1"/>
  <c r="G25" i="66"/>
  <c r="M25" i="66" s="1"/>
  <c r="O25" i="66" s="1"/>
  <c r="G26" i="66"/>
  <c r="G29" i="66"/>
  <c r="M29" i="66" s="1"/>
  <c r="O29" i="66" s="1"/>
  <c r="C39" i="66"/>
  <c r="F37" i="66" s="1"/>
  <c r="L31" i="66"/>
  <c r="N31" i="66" s="1"/>
  <c r="I31" i="66"/>
  <c r="H31" i="66"/>
  <c r="L30" i="66"/>
  <c r="N30" i="66" s="1"/>
  <c r="I30" i="66"/>
  <c r="H30" i="66"/>
  <c r="L29" i="66"/>
  <c r="N29" i="66" s="1"/>
  <c r="I29" i="66"/>
  <c r="H29" i="66"/>
  <c r="L28" i="66"/>
  <c r="N28" i="66" s="1"/>
  <c r="I28" i="66"/>
  <c r="H28" i="66"/>
  <c r="L27" i="66"/>
  <c r="N27" i="66" s="1"/>
  <c r="I27" i="66"/>
  <c r="H27" i="66"/>
  <c r="J27" i="66"/>
  <c r="L26" i="66"/>
  <c r="N26" i="66" s="1"/>
  <c r="I26" i="66"/>
  <c r="H26" i="66"/>
  <c r="L25" i="66"/>
  <c r="N25" i="66" s="1"/>
  <c r="J25" i="66"/>
  <c r="I25" i="66"/>
  <c r="H25" i="66"/>
  <c r="N24" i="66"/>
  <c r="L24" i="66"/>
  <c r="I24" i="66"/>
  <c r="H24" i="66"/>
  <c r="L23" i="66"/>
  <c r="N23" i="66" s="1"/>
  <c r="I23" i="66"/>
  <c r="H23" i="66"/>
  <c r="L22" i="66"/>
  <c r="N22" i="66" s="1"/>
  <c r="I22" i="66"/>
  <c r="H22" i="66"/>
  <c r="L21" i="66"/>
  <c r="N21" i="66" s="1"/>
  <c r="I21" i="66"/>
  <c r="H21" i="66"/>
  <c r="L20" i="66"/>
  <c r="N20" i="66" s="1"/>
  <c r="I20" i="66"/>
  <c r="H20" i="66"/>
  <c r="L19" i="66"/>
  <c r="N19" i="66" s="1"/>
  <c r="I19" i="66"/>
  <c r="H19" i="66"/>
  <c r="N18" i="66"/>
  <c r="L18" i="66"/>
  <c r="I18" i="66"/>
  <c r="H18" i="66"/>
  <c r="L17" i="66"/>
  <c r="N17" i="66" s="1"/>
  <c r="I17" i="66"/>
  <c r="H17" i="66"/>
  <c r="N16" i="66"/>
  <c r="L16" i="66"/>
  <c r="I16" i="66"/>
  <c r="H16" i="66"/>
  <c r="L15" i="66"/>
  <c r="N15" i="66" s="1"/>
  <c r="I15" i="66"/>
  <c r="H15" i="66"/>
  <c r="L14" i="66"/>
  <c r="N14" i="66" s="1"/>
  <c r="I14" i="66"/>
  <c r="H14" i="66"/>
  <c r="N13" i="66"/>
  <c r="L13" i="66"/>
  <c r="I13" i="66"/>
  <c r="H13" i="66"/>
  <c r="L12" i="66"/>
  <c r="N12" i="66" s="1"/>
  <c r="I12" i="66"/>
  <c r="H12" i="66"/>
  <c r="L11" i="66"/>
  <c r="N11" i="66" s="1"/>
  <c r="I11" i="66"/>
  <c r="H11" i="66"/>
  <c r="L10" i="66"/>
  <c r="N10" i="66" s="1"/>
  <c r="I10" i="66"/>
  <c r="H10" i="66"/>
  <c r="L9" i="66"/>
  <c r="N9" i="66" s="1"/>
  <c r="I9" i="66"/>
  <c r="H9" i="66"/>
  <c r="L8" i="66"/>
  <c r="N8" i="66" s="1"/>
  <c r="I8" i="66"/>
  <c r="H8" i="66"/>
  <c r="G9" i="65"/>
  <c r="G10" i="65"/>
  <c r="G11" i="65"/>
  <c r="G11" i="66" s="1"/>
  <c r="G12" i="65"/>
  <c r="J12" i="65" s="1"/>
  <c r="G13" i="65"/>
  <c r="J13" i="65" s="1"/>
  <c r="G14" i="65"/>
  <c r="M14" i="65" s="1"/>
  <c r="O14" i="65" s="1"/>
  <c r="G15" i="65"/>
  <c r="M15" i="65" s="1"/>
  <c r="O15" i="65" s="1"/>
  <c r="G16" i="65"/>
  <c r="G19" i="65"/>
  <c r="G20" i="65"/>
  <c r="J20" i="65" s="1"/>
  <c r="G21" i="65"/>
  <c r="G22" i="65"/>
  <c r="G23" i="65"/>
  <c r="G23" i="66" s="1"/>
  <c r="G25" i="65"/>
  <c r="M25" i="65" s="1"/>
  <c r="O25" i="65" s="1"/>
  <c r="G26" i="65"/>
  <c r="J26" i="65" s="1"/>
  <c r="G27" i="65"/>
  <c r="G27" i="66" s="1"/>
  <c r="G28" i="65"/>
  <c r="G29" i="65"/>
  <c r="M29" i="65" s="1"/>
  <c r="O29" i="65" s="1"/>
  <c r="G8" i="65"/>
  <c r="M26" i="65"/>
  <c r="O26" i="65" s="1"/>
  <c r="J11" i="65"/>
  <c r="M23" i="65"/>
  <c r="O23" i="65" s="1"/>
  <c r="J14" i="65"/>
  <c r="M19" i="65"/>
  <c r="O19" i="65" s="1"/>
  <c r="M20" i="65"/>
  <c r="O20" i="65" s="1"/>
  <c r="D38" i="65"/>
  <c r="C38" i="65"/>
  <c r="L31" i="65"/>
  <c r="N31" i="65" s="1"/>
  <c r="I31" i="65"/>
  <c r="H31" i="65"/>
  <c r="N30" i="65"/>
  <c r="L30" i="65"/>
  <c r="I30" i="65"/>
  <c r="H30" i="65"/>
  <c r="L29" i="65"/>
  <c r="N29" i="65" s="1"/>
  <c r="I29" i="65"/>
  <c r="H29" i="65"/>
  <c r="L28" i="65"/>
  <c r="N28" i="65" s="1"/>
  <c r="I28" i="65"/>
  <c r="H28" i="65"/>
  <c r="L27" i="65"/>
  <c r="N27" i="65" s="1"/>
  <c r="J27" i="65"/>
  <c r="I27" i="65"/>
  <c r="H27" i="65"/>
  <c r="L26" i="65"/>
  <c r="N26" i="65" s="1"/>
  <c r="I26" i="65"/>
  <c r="H26" i="65"/>
  <c r="N25" i="65"/>
  <c r="L25" i="65"/>
  <c r="I25" i="65"/>
  <c r="H25" i="65"/>
  <c r="N24" i="65"/>
  <c r="L24" i="65"/>
  <c r="I24" i="65"/>
  <c r="H24" i="65"/>
  <c r="L23" i="65"/>
  <c r="N23" i="65" s="1"/>
  <c r="J23" i="65"/>
  <c r="I23" i="65"/>
  <c r="H23" i="65"/>
  <c r="L22" i="65"/>
  <c r="N22" i="65" s="1"/>
  <c r="I22" i="65"/>
  <c r="H22" i="65"/>
  <c r="L21" i="65"/>
  <c r="N21" i="65" s="1"/>
  <c r="I21" i="65"/>
  <c r="H21" i="65"/>
  <c r="N20" i="65"/>
  <c r="L20" i="65"/>
  <c r="I20" i="65"/>
  <c r="H20" i="65"/>
  <c r="L19" i="65"/>
  <c r="N19" i="65" s="1"/>
  <c r="J19" i="65"/>
  <c r="I19" i="65"/>
  <c r="H19" i="65"/>
  <c r="L18" i="65"/>
  <c r="N18" i="65" s="1"/>
  <c r="I18" i="65"/>
  <c r="H18" i="65"/>
  <c r="L17" i="65"/>
  <c r="N17" i="65" s="1"/>
  <c r="I17" i="65"/>
  <c r="H17" i="65"/>
  <c r="L16" i="65"/>
  <c r="N16" i="65" s="1"/>
  <c r="I16" i="65"/>
  <c r="H16" i="65"/>
  <c r="L15" i="65"/>
  <c r="N15" i="65" s="1"/>
  <c r="I15" i="65"/>
  <c r="H15" i="65"/>
  <c r="L14" i="65"/>
  <c r="N14" i="65" s="1"/>
  <c r="I14" i="65"/>
  <c r="H14" i="65"/>
  <c r="L13" i="65"/>
  <c r="N13" i="65" s="1"/>
  <c r="I13" i="65"/>
  <c r="H13" i="65"/>
  <c r="L12" i="65"/>
  <c r="N12" i="65" s="1"/>
  <c r="I12" i="65"/>
  <c r="H12" i="65"/>
  <c r="M11" i="65"/>
  <c r="O11" i="65" s="1"/>
  <c r="L11" i="65"/>
  <c r="N11" i="65" s="1"/>
  <c r="I11" i="65"/>
  <c r="H11" i="65"/>
  <c r="L10" i="65"/>
  <c r="N10" i="65" s="1"/>
  <c r="I10" i="65"/>
  <c r="H10" i="65"/>
  <c r="L9" i="65"/>
  <c r="N9" i="65" s="1"/>
  <c r="I9" i="65"/>
  <c r="H9" i="65"/>
  <c r="L8" i="65"/>
  <c r="N8" i="65" s="1"/>
  <c r="I8" i="65"/>
  <c r="H8" i="65"/>
  <c r="J26" i="64"/>
  <c r="D38" i="64"/>
  <c r="C38" i="64"/>
  <c r="L31" i="64"/>
  <c r="N31" i="64" s="1"/>
  <c r="I31" i="64"/>
  <c r="H31" i="64"/>
  <c r="L30" i="64"/>
  <c r="N30" i="64" s="1"/>
  <c r="I30" i="64"/>
  <c r="H30" i="64"/>
  <c r="L29" i="64"/>
  <c r="N29" i="64" s="1"/>
  <c r="I29" i="64"/>
  <c r="H29" i="64"/>
  <c r="J29" i="64"/>
  <c r="L28" i="64"/>
  <c r="N28" i="64" s="1"/>
  <c r="I28" i="64"/>
  <c r="H28" i="64"/>
  <c r="J28" i="64"/>
  <c r="N27" i="64"/>
  <c r="L27" i="64"/>
  <c r="I27" i="64"/>
  <c r="H27" i="64"/>
  <c r="M27" i="64"/>
  <c r="O27" i="64" s="1"/>
  <c r="L26" i="64"/>
  <c r="N26" i="64" s="1"/>
  <c r="I26" i="64"/>
  <c r="H26" i="64"/>
  <c r="L25" i="64"/>
  <c r="N25" i="64" s="1"/>
  <c r="I25" i="64"/>
  <c r="H25" i="64"/>
  <c r="J25" i="64"/>
  <c r="N24" i="64"/>
  <c r="L24" i="64"/>
  <c r="I24" i="64"/>
  <c r="H24" i="64"/>
  <c r="L23" i="64"/>
  <c r="N23" i="64" s="1"/>
  <c r="I23" i="64"/>
  <c r="H23" i="64"/>
  <c r="J23" i="64"/>
  <c r="L22" i="64"/>
  <c r="N22" i="64" s="1"/>
  <c r="I22" i="64"/>
  <c r="H22" i="64"/>
  <c r="J22" i="64"/>
  <c r="L21" i="64"/>
  <c r="N21" i="64" s="1"/>
  <c r="I21" i="64"/>
  <c r="H21" i="64"/>
  <c r="M21" i="64"/>
  <c r="O21" i="64" s="1"/>
  <c r="L20" i="64"/>
  <c r="N20" i="64" s="1"/>
  <c r="I20" i="64"/>
  <c r="H20" i="64"/>
  <c r="J20" i="64"/>
  <c r="L19" i="64"/>
  <c r="N19" i="64" s="1"/>
  <c r="I19" i="64"/>
  <c r="H19" i="64"/>
  <c r="J19" i="64"/>
  <c r="L18" i="64"/>
  <c r="N18" i="64" s="1"/>
  <c r="I18" i="64"/>
  <c r="H18" i="64"/>
  <c r="L17" i="64"/>
  <c r="N17" i="64" s="1"/>
  <c r="I17" i="64"/>
  <c r="H17" i="64"/>
  <c r="L16" i="64"/>
  <c r="N16" i="64" s="1"/>
  <c r="I16" i="64"/>
  <c r="H16" i="64"/>
  <c r="J16" i="64"/>
  <c r="N15" i="64"/>
  <c r="L15" i="64"/>
  <c r="I15" i="64"/>
  <c r="H15" i="64"/>
  <c r="M15" i="64"/>
  <c r="O15" i="64" s="1"/>
  <c r="L14" i="64"/>
  <c r="N14" i="64" s="1"/>
  <c r="I14" i="64"/>
  <c r="H14" i="64"/>
  <c r="J14" i="64"/>
  <c r="L13" i="64"/>
  <c r="N13" i="64" s="1"/>
  <c r="I13" i="64"/>
  <c r="H13" i="64"/>
  <c r="J13" i="64"/>
  <c r="L12" i="64"/>
  <c r="N12" i="64" s="1"/>
  <c r="I12" i="64"/>
  <c r="H12" i="64"/>
  <c r="M12" i="64"/>
  <c r="O12" i="64" s="1"/>
  <c r="L11" i="64"/>
  <c r="N11" i="64" s="1"/>
  <c r="I11" i="64"/>
  <c r="H11" i="64"/>
  <c r="J11" i="64"/>
  <c r="L10" i="64"/>
  <c r="N10" i="64" s="1"/>
  <c r="I10" i="64"/>
  <c r="H10" i="64"/>
  <c r="J10" i="64"/>
  <c r="N9" i="64"/>
  <c r="L9" i="64"/>
  <c r="I9" i="64"/>
  <c r="H9" i="64"/>
  <c r="M9" i="64"/>
  <c r="O9" i="64" s="1"/>
  <c r="L8" i="64"/>
  <c r="N8" i="64" s="1"/>
  <c r="I8" i="64"/>
  <c r="H8" i="64"/>
  <c r="J8" i="64"/>
  <c r="G9" i="63"/>
  <c r="M9" i="63" s="1"/>
  <c r="O9" i="63" s="1"/>
  <c r="G10" i="63"/>
  <c r="M10" i="63" s="1"/>
  <c r="O10" i="63" s="1"/>
  <c r="G11" i="63"/>
  <c r="J11" i="63" s="1"/>
  <c r="G12" i="63"/>
  <c r="M12" i="63" s="1"/>
  <c r="O12" i="63" s="1"/>
  <c r="G13" i="63"/>
  <c r="M13" i="63" s="1"/>
  <c r="O13" i="63" s="1"/>
  <c r="G14" i="63"/>
  <c r="J14" i="63" s="1"/>
  <c r="G19" i="63"/>
  <c r="M19" i="63" s="1"/>
  <c r="O19" i="63" s="1"/>
  <c r="G20" i="63"/>
  <c r="M20" i="63" s="1"/>
  <c r="O20" i="63" s="1"/>
  <c r="G21" i="63"/>
  <c r="M21" i="63" s="1"/>
  <c r="O21" i="63" s="1"/>
  <c r="G22" i="63"/>
  <c r="M22" i="63" s="1"/>
  <c r="O22" i="63" s="1"/>
  <c r="G23" i="63"/>
  <c r="M23" i="63" s="1"/>
  <c r="O23" i="63" s="1"/>
  <c r="G25" i="63"/>
  <c r="M25" i="63" s="1"/>
  <c r="O25" i="63" s="1"/>
  <c r="G26" i="63"/>
  <c r="M26" i="63" s="1"/>
  <c r="O26" i="63" s="1"/>
  <c r="G27" i="63"/>
  <c r="J27" i="63" s="1"/>
  <c r="G28" i="63"/>
  <c r="M28" i="63" s="1"/>
  <c r="O28" i="63" s="1"/>
  <c r="G29" i="63"/>
  <c r="G8" i="63"/>
  <c r="M8" i="63" s="1"/>
  <c r="O8" i="63" s="1"/>
  <c r="D38" i="63"/>
  <c r="C38" i="63"/>
  <c r="N31" i="63"/>
  <c r="L31" i="63"/>
  <c r="I31" i="63"/>
  <c r="H31" i="63"/>
  <c r="L30" i="63"/>
  <c r="N30" i="63" s="1"/>
  <c r="I30" i="63"/>
  <c r="H30" i="63"/>
  <c r="L29" i="63"/>
  <c r="N29" i="63" s="1"/>
  <c r="I29" i="63"/>
  <c r="H29" i="63"/>
  <c r="L28" i="63"/>
  <c r="N28" i="63" s="1"/>
  <c r="J28" i="63"/>
  <c r="I28" i="63"/>
  <c r="H28" i="63"/>
  <c r="L27" i="63"/>
  <c r="N27" i="63" s="1"/>
  <c r="I27" i="63"/>
  <c r="H27" i="63"/>
  <c r="L26" i="63"/>
  <c r="N26" i="63" s="1"/>
  <c r="J26" i="63"/>
  <c r="I26" i="63"/>
  <c r="H26" i="63"/>
  <c r="N25" i="63"/>
  <c r="L25" i="63"/>
  <c r="J25" i="63"/>
  <c r="I25" i="63"/>
  <c r="H25" i="63"/>
  <c r="N24" i="63"/>
  <c r="L24" i="63"/>
  <c r="I24" i="63"/>
  <c r="H24" i="63"/>
  <c r="N23" i="63"/>
  <c r="L23" i="63"/>
  <c r="J23" i="63"/>
  <c r="I23" i="63"/>
  <c r="H23" i="63"/>
  <c r="L22" i="63"/>
  <c r="N22" i="63" s="1"/>
  <c r="I22" i="63"/>
  <c r="H22" i="63"/>
  <c r="L21" i="63"/>
  <c r="N21" i="63" s="1"/>
  <c r="I21" i="63"/>
  <c r="H21" i="63"/>
  <c r="L20" i="63"/>
  <c r="N20" i="63" s="1"/>
  <c r="J20" i="63"/>
  <c r="I20" i="63"/>
  <c r="H20" i="63"/>
  <c r="L19" i="63"/>
  <c r="N19" i="63" s="1"/>
  <c r="I19" i="63"/>
  <c r="H19" i="63"/>
  <c r="L18" i="63"/>
  <c r="N18" i="63" s="1"/>
  <c r="I18" i="63"/>
  <c r="H18" i="63"/>
  <c r="L17" i="63"/>
  <c r="N17" i="63" s="1"/>
  <c r="I17" i="63"/>
  <c r="H17" i="63"/>
  <c r="L16" i="63"/>
  <c r="N16" i="63" s="1"/>
  <c r="I16" i="63"/>
  <c r="H16" i="63"/>
  <c r="L15" i="63"/>
  <c r="N15" i="63" s="1"/>
  <c r="I15" i="63"/>
  <c r="H15" i="63"/>
  <c r="M14" i="63"/>
  <c r="O14" i="63" s="1"/>
  <c r="L14" i="63"/>
  <c r="N14" i="63" s="1"/>
  <c r="I14" i="63"/>
  <c r="H14" i="63"/>
  <c r="L13" i="63"/>
  <c r="N13" i="63" s="1"/>
  <c r="I13" i="63"/>
  <c r="H13" i="63"/>
  <c r="N12" i="63"/>
  <c r="L12" i="63"/>
  <c r="I12" i="63"/>
  <c r="H12" i="63"/>
  <c r="M11" i="63"/>
  <c r="O11" i="63" s="1"/>
  <c r="L11" i="63"/>
  <c r="N11" i="63" s="1"/>
  <c r="I11" i="63"/>
  <c r="H11" i="63"/>
  <c r="L10" i="63"/>
  <c r="N10" i="63" s="1"/>
  <c r="J10" i="63"/>
  <c r="I10" i="63"/>
  <c r="H10" i="63"/>
  <c r="L9" i="63"/>
  <c r="N9" i="63" s="1"/>
  <c r="I9" i="63"/>
  <c r="H9" i="63"/>
  <c r="N8" i="63"/>
  <c r="L8" i="63"/>
  <c r="J8" i="63"/>
  <c r="I8" i="63"/>
  <c r="H8" i="63"/>
  <c r="D38" i="62"/>
  <c r="C38" i="62"/>
  <c r="L31" i="62"/>
  <c r="N31" i="62" s="1"/>
  <c r="I31" i="62"/>
  <c r="H31" i="62"/>
  <c r="L30" i="62"/>
  <c r="N30" i="62" s="1"/>
  <c r="I30" i="62"/>
  <c r="H30" i="62"/>
  <c r="N29" i="62"/>
  <c r="M29" i="62"/>
  <c r="O29" i="62" s="1"/>
  <c r="L29" i="62"/>
  <c r="I29" i="62"/>
  <c r="H29" i="62"/>
  <c r="J29" i="62"/>
  <c r="L28" i="62"/>
  <c r="N28" i="62" s="1"/>
  <c r="J28" i="62"/>
  <c r="I28" i="62"/>
  <c r="H28" i="62"/>
  <c r="M28" i="62"/>
  <c r="O28" i="62" s="1"/>
  <c r="L27" i="62"/>
  <c r="N27" i="62" s="1"/>
  <c r="I27" i="62"/>
  <c r="H27" i="62"/>
  <c r="M27" i="62"/>
  <c r="O27" i="62" s="1"/>
  <c r="M26" i="62"/>
  <c r="O26" i="62" s="1"/>
  <c r="L26" i="62"/>
  <c r="N26" i="62" s="1"/>
  <c r="I26" i="62"/>
  <c r="H26" i="62"/>
  <c r="J26" i="62"/>
  <c r="L25" i="62"/>
  <c r="N25" i="62" s="1"/>
  <c r="J25" i="62"/>
  <c r="I25" i="62"/>
  <c r="H25" i="62"/>
  <c r="M25" i="62"/>
  <c r="O25" i="62" s="1"/>
  <c r="N24" i="62"/>
  <c r="L24" i="62"/>
  <c r="I24" i="62"/>
  <c r="H24" i="62"/>
  <c r="M23" i="62"/>
  <c r="O23" i="62" s="1"/>
  <c r="L23" i="62"/>
  <c r="N23" i="62" s="1"/>
  <c r="I23" i="62"/>
  <c r="H23" i="62"/>
  <c r="J23" i="62"/>
  <c r="L22" i="62"/>
  <c r="N22" i="62" s="1"/>
  <c r="J22" i="62"/>
  <c r="I22" i="62"/>
  <c r="H22" i="62"/>
  <c r="M22" i="62"/>
  <c r="O22" i="62" s="1"/>
  <c r="L21" i="62"/>
  <c r="N21" i="62" s="1"/>
  <c r="I21" i="62"/>
  <c r="H21" i="62"/>
  <c r="M21" i="62"/>
  <c r="O21" i="62" s="1"/>
  <c r="M20" i="62"/>
  <c r="O20" i="62" s="1"/>
  <c r="L20" i="62"/>
  <c r="N20" i="62" s="1"/>
  <c r="I20" i="62"/>
  <c r="H20" i="62"/>
  <c r="J20" i="62"/>
  <c r="L19" i="62"/>
  <c r="N19" i="62" s="1"/>
  <c r="J19" i="62"/>
  <c r="I19" i="62"/>
  <c r="H19" i="62"/>
  <c r="M19" i="62"/>
  <c r="O19" i="62" s="1"/>
  <c r="L18" i="62"/>
  <c r="N18" i="62" s="1"/>
  <c r="I18" i="62"/>
  <c r="H18" i="62"/>
  <c r="L17" i="62"/>
  <c r="N17" i="62" s="1"/>
  <c r="I17" i="62"/>
  <c r="H17" i="62"/>
  <c r="L16" i="62"/>
  <c r="N16" i="62" s="1"/>
  <c r="I16" i="62"/>
  <c r="H16" i="62"/>
  <c r="L15" i="62"/>
  <c r="N15" i="62" s="1"/>
  <c r="I15" i="62"/>
  <c r="H15" i="62"/>
  <c r="M14" i="62"/>
  <c r="O14" i="62" s="1"/>
  <c r="L14" i="62"/>
  <c r="N14" i="62" s="1"/>
  <c r="I14" i="62"/>
  <c r="H14" i="62"/>
  <c r="J14" i="62"/>
  <c r="L13" i="62"/>
  <c r="N13" i="62" s="1"/>
  <c r="J13" i="62"/>
  <c r="I13" i="62"/>
  <c r="H13" i="62"/>
  <c r="M13" i="62"/>
  <c r="O13" i="62" s="1"/>
  <c r="L12" i="62"/>
  <c r="N12" i="62" s="1"/>
  <c r="I12" i="62"/>
  <c r="H12" i="62"/>
  <c r="M12" i="62"/>
  <c r="O12" i="62" s="1"/>
  <c r="O11" i="62"/>
  <c r="N11" i="62"/>
  <c r="M11" i="62"/>
  <c r="L11" i="62"/>
  <c r="I11" i="62"/>
  <c r="H11" i="62"/>
  <c r="J11" i="62"/>
  <c r="L10" i="62"/>
  <c r="N10" i="62" s="1"/>
  <c r="J10" i="62"/>
  <c r="I10" i="62"/>
  <c r="H10" i="62"/>
  <c r="M10" i="62"/>
  <c r="O10" i="62" s="1"/>
  <c r="N9" i="62"/>
  <c r="L9" i="62"/>
  <c r="I9" i="62"/>
  <c r="H9" i="62"/>
  <c r="M9" i="62"/>
  <c r="O9" i="62" s="1"/>
  <c r="O8" i="62"/>
  <c r="N8" i="62"/>
  <c r="M8" i="62"/>
  <c r="L8" i="62"/>
  <c r="I8" i="62"/>
  <c r="H8" i="62"/>
  <c r="J8" i="62"/>
  <c r="I30" i="61"/>
  <c r="I28" i="61"/>
  <c r="I23" i="61"/>
  <c r="I18" i="61"/>
  <c r="I17" i="61"/>
  <c r="I12" i="61"/>
  <c r="I10" i="61"/>
  <c r="D38" i="61"/>
  <c r="C38" i="61"/>
  <c r="N31" i="61"/>
  <c r="L31" i="61"/>
  <c r="I31" i="61"/>
  <c r="H31" i="61"/>
  <c r="N30" i="61"/>
  <c r="L30" i="61"/>
  <c r="H30" i="61"/>
  <c r="L29" i="61"/>
  <c r="N29" i="61" s="1"/>
  <c r="I29" i="61"/>
  <c r="H29" i="61"/>
  <c r="N28" i="61"/>
  <c r="L28" i="61"/>
  <c r="H28" i="61"/>
  <c r="N27" i="61"/>
  <c r="L27" i="61"/>
  <c r="I27" i="61"/>
  <c r="H27" i="61"/>
  <c r="L26" i="61"/>
  <c r="N26" i="61" s="1"/>
  <c r="I26" i="61"/>
  <c r="H26" i="61"/>
  <c r="L25" i="61"/>
  <c r="N25" i="61" s="1"/>
  <c r="I25" i="61"/>
  <c r="H25" i="61"/>
  <c r="N24" i="61"/>
  <c r="L24" i="61"/>
  <c r="I24" i="61"/>
  <c r="H24" i="61"/>
  <c r="L23" i="61"/>
  <c r="N23" i="61" s="1"/>
  <c r="H23" i="61"/>
  <c r="L22" i="61"/>
  <c r="N22" i="61" s="1"/>
  <c r="I22" i="61"/>
  <c r="H22" i="61"/>
  <c r="N21" i="61"/>
  <c r="L21" i="61"/>
  <c r="I21" i="61"/>
  <c r="H21" i="61"/>
  <c r="L20" i="61"/>
  <c r="N20" i="61" s="1"/>
  <c r="I20" i="61"/>
  <c r="H20" i="61"/>
  <c r="L19" i="61"/>
  <c r="N19" i="61" s="1"/>
  <c r="I19" i="61"/>
  <c r="H19" i="61"/>
  <c r="L18" i="61"/>
  <c r="N18" i="61" s="1"/>
  <c r="H18" i="61"/>
  <c r="L17" i="61"/>
  <c r="N17" i="61" s="1"/>
  <c r="H17" i="61"/>
  <c r="L16" i="61"/>
  <c r="N16" i="61" s="1"/>
  <c r="I16" i="61"/>
  <c r="H16" i="61"/>
  <c r="L15" i="61"/>
  <c r="N15" i="61" s="1"/>
  <c r="I15" i="61"/>
  <c r="H15" i="61"/>
  <c r="L14" i="61"/>
  <c r="N14" i="61" s="1"/>
  <c r="I14" i="61"/>
  <c r="H14" i="61"/>
  <c r="L13" i="61"/>
  <c r="N13" i="61" s="1"/>
  <c r="I13" i="61"/>
  <c r="H13" i="61"/>
  <c r="L12" i="61"/>
  <c r="N12" i="61" s="1"/>
  <c r="H12" i="61"/>
  <c r="L11" i="61"/>
  <c r="N11" i="61" s="1"/>
  <c r="I11" i="61"/>
  <c r="H11" i="61"/>
  <c r="L10" i="61"/>
  <c r="N10" i="61" s="1"/>
  <c r="H10" i="61"/>
  <c r="L9" i="61"/>
  <c r="N9" i="61" s="1"/>
  <c r="I9" i="61"/>
  <c r="H9" i="61"/>
  <c r="L8" i="61"/>
  <c r="N8" i="61" s="1"/>
  <c r="I8" i="61"/>
  <c r="H8" i="61"/>
  <c r="G16" i="60"/>
  <c r="D38" i="60"/>
  <c r="C38" i="60"/>
  <c r="L31" i="60"/>
  <c r="N31" i="60" s="1"/>
  <c r="I31" i="60"/>
  <c r="H31" i="60"/>
  <c r="L30" i="60"/>
  <c r="N30" i="60" s="1"/>
  <c r="I30" i="60"/>
  <c r="H30" i="60"/>
  <c r="L29" i="60"/>
  <c r="N29" i="60" s="1"/>
  <c r="I29" i="60"/>
  <c r="H29" i="60"/>
  <c r="N28" i="60"/>
  <c r="L28" i="60"/>
  <c r="I28" i="60"/>
  <c r="H28" i="60"/>
  <c r="N27" i="60"/>
  <c r="L27" i="60"/>
  <c r="I27" i="60"/>
  <c r="H27" i="60"/>
  <c r="L26" i="60"/>
  <c r="N26" i="60" s="1"/>
  <c r="I26" i="60"/>
  <c r="H26" i="60"/>
  <c r="N25" i="60"/>
  <c r="L25" i="60"/>
  <c r="I25" i="60"/>
  <c r="H25" i="60"/>
  <c r="N24" i="60"/>
  <c r="L24" i="60"/>
  <c r="I24" i="60"/>
  <c r="H24" i="60"/>
  <c r="L23" i="60"/>
  <c r="N23" i="60" s="1"/>
  <c r="I23" i="60"/>
  <c r="H23" i="60"/>
  <c r="L22" i="60"/>
  <c r="N22" i="60" s="1"/>
  <c r="I22" i="60"/>
  <c r="H22" i="60"/>
  <c r="L21" i="60"/>
  <c r="N21" i="60" s="1"/>
  <c r="I21" i="60"/>
  <c r="H21" i="60"/>
  <c r="L20" i="60"/>
  <c r="N20" i="60" s="1"/>
  <c r="I20" i="60"/>
  <c r="H20" i="60"/>
  <c r="N19" i="60"/>
  <c r="L19" i="60"/>
  <c r="I19" i="60"/>
  <c r="H19" i="60"/>
  <c r="N18" i="60"/>
  <c r="L18" i="60"/>
  <c r="I18" i="60"/>
  <c r="H18" i="60"/>
  <c r="L17" i="60"/>
  <c r="N17" i="60" s="1"/>
  <c r="I17" i="60"/>
  <c r="H17" i="60"/>
  <c r="N16" i="60"/>
  <c r="L16" i="60"/>
  <c r="I16" i="60"/>
  <c r="H16" i="60"/>
  <c r="L15" i="60"/>
  <c r="N15" i="60" s="1"/>
  <c r="I15" i="60"/>
  <c r="H15" i="60"/>
  <c r="L14" i="60"/>
  <c r="N14" i="60" s="1"/>
  <c r="I14" i="60"/>
  <c r="H14" i="60"/>
  <c r="N13" i="60"/>
  <c r="L13" i="60"/>
  <c r="I13" i="60"/>
  <c r="H13" i="60"/>
  <c r="L12" i="60"/>
  <c r="N12" i="60" s="1"/>
  <c r="I12" i="60"/>
  <c r="H12" i="60"/>
  <c r="L11" i="60"/>
  <c r="N11" i="60" s="1"/>
  <c r="I11" i="60"/>
  <c r="H11" i="60"/>
  <c r="N10" i="60"/>
  <c r="L10" i="60"/>
  <c r="I10" i="60"/>
  <c r="H10" i="60"/>
  <c r="N9" i="60"/>
  <c r="L9" i="60"/>
  <c r="I9" i="60"/>
  <c r="H9" i="60"/>
  <c r="L8" i="60"/>
  <c r="N8" i="60" s="1"/>
  <c r="I8" i="60"/>
  <c r="H8" i="60"/>
  <c r="G10" i="59"/>
  <c r="G14" i="59"/>
  <c r="G15" i="59"/>
  <c r="G16" i="59"/>
  <c r="J16" i="59" s="1"/>
  <c r="G20" i="59"/>
  <c r="G20" i="60" s="1"/>
  <c r="G21" i="59"/>
  <c r="M21" i="59" s="1"/>
  <c r="O21" i="59" s="1"/>
  <c r="G22" i="59"/>
  <c r="G26" i="59"/>
  <c r="G27" i="59"/>
  <c r="G28" i="59"/>
  <c r="G9" i="59"/>
  <c r="M9" i="59" s="1"/>
  <c r="O9" i="59" s="1"/>
  <c r="D38" i="59"/>
  <c r="C38" i="59"/>
  <c r="L31" i="59"/>
  <c r="N31" i="59" s="1"/>
  <c r="I31" i="59"/>
  <c r="H31" i="59"/>
  <c r="L30" i="59"/>
  <c r="N30" i="59" s="1"/>
  <c r="I30" i="59"/>
  <c r="H30" i="59"/>
  <c r="L29" i="59"/>
  <c r="N29" i="59" s="1"/>
  <c r="I29" i="59"/>
  <c r="H29" i="59"/>
  <c r="L28" i="59"/>
  <c r="N28" i="59" s="1"/>
  <c r="I28" i="59"/>
  <c r="H28" i="59"/>
  <c r="L27" i="59"/>
  <c r="N27" i="59" s="1"/>
  <c r="I27" i="59"/>
  <c r="H27" i="59"/>
  <c r="L26" i="59"/>
  <c r="N26" i="59" s="1"/>
  <c r="I26" i="59"/>
  <c r="H26" i="59"/>
  <c r="L25" i="59"/>
  <c r="N25" i="59" s="1"/>
  <c r="I25" i="59"/>
  <c r="H25" i="59"/>
  <c r="N24" i="59"/>
  <c r="L24" i="59"/>
  <c r="I24" i="59"/>
  <c r="H24" i="59"/>
  <c r="L23" i="59"/>
  <c r="N23" i="59" s="1"/>
  <c r="I23" i="59"/>
  <c r="H23" i="59"/>
  <c r="L22" i="59"/>
  <c r="N22" i="59" s="1"/>
  <c r="I22" i="59"/>
  <c r="H22" i="59"/>
  <c r="L21" i="59"/>
  <c r="N21" i="59" s="1"/>
  <c r="I21" i="59"/>
  <c r="H21" i="59"/>
  <c r="J21" i="59"/>
  <c r="L20" i="59"/>
  <c r="N20" i="59" s="1"/>
  <c r="I20" i="59"/>
  <c r="H20" i="59"/>
  <c r="J20" i="59"/>
  <c r="L19" i="59"/>
  <c r="N19" i="59" s="1"/>
  <c r="I19" i="59"/>
  <c r="H19" i="59"/>
  <c r="L18" i="59"/>
  <c r="N18" i="59" s="1"/>
  <c r="I18" i="59"/>
  <c r="H18" i="59"/>
  <c r="L17" i="59"/>
  <c r="N17" i="59" s="1"/>
  <c r="I17" i="59"/>
  <c r="H17" i="59"/>
  <c r="N16" i="59"/>
  <c r="L16" i="59"/>
  <c r="I16" i="59"/>
  <c r="H16" i="59"/>
  <c r="N15" i="59"/>
  <c r="M15" i="59"/>
  <c r="O15" i="59" s="1"/>
  <c r="L15" i="59"/>
  <c r="I15" i="59"/>
  <c r="H15" i="59"/>
  <c r="L14" i="59"/>
  <c r="N14" i="59" s="1"/>
  <c r="I14" i="59"/>
  <c r="H14" i="59"/>
  <c r="L13" i="59"/>
  <c r="N13" i="59" s="1"/>
  <c r="I13" i="59"/>
  <c r="H13" i="59"/>
  <c r="L12" i="59"/>
  <c r="N12" i="59" s="1"/>
  <c r="I12" i="59"/>
  <c r="H12" i="59"/>
  <c r="L11" i="59"/>
  <c r="N11" i="59" s="1"/>
  <c r="I11" i="59"/>
  <c r="H11" i="59"/>
  <c r="L10" i="59"/>
  <c r="N10" i="59" s="1"/>
  <c r="I10" i="59"/>
  <c r="H10" i="59"/>
  <c r="L9" i="59"/>
  <c r="N9" i="59" s="1"/>
  <c r="I9" i="59"/>
  <c r="H9" i="59"/>
  <c r="L8" i="59"/>
  <c r="N8" i="59" s="1"/>
  <c r="I8" i="59"/>
  <c r="H8" i="59"/>
  <c r="G10" i="58"/>
  <c r="G11" i="58"/>
  <c r="G12" i="58"/>
  <c r="G13" i="58"/>
  <c r="G14" i="58"/>
  <c r="M14" i="58" s="1"/>
  <c r="O14" i="58" s="1"/>
  <c r="G15" i="58"/>
  <c r="M15" i="58" s="1"/>
  <c r="O15" i="58" s="1"/>
  <c r="G16" i="58"/>
  <c r="M16" i="58" s="1"/>
  <c r="O16" i="58" s="1"/>
  <c r="G17" i="58"/>
  <c r="J17" i="58" s="1"/>
  <c r="G19" i="58"/>
  <c r="G20" i="58"/>
  <c r="J20" i="58" s="1"/>
  <c r="G21" i="58"/>
  <c r="J21" i="58" s="1"/>
  <c r="G22" i="58"/>
  <c r="G23" i="58"/>
  <c r="G25" i="58"/>
  <c r="G26" i="58"/>
  <c r="J26" i="58" s="1"/>
  <c r="G27" i="58"/>
  <c r="G28" i="58"/>
  <c r="J28" i="58" s="1"/>
  <c r="G29" i="58"/>
  <c r="J29" i="58" s="1"/>
  <c r="G9" i="58"/>
  <c r="J9" i="58" s="1"/>
  <c r="I24" i="58"/>
  <c r="I23" i="58"/>
  <c r="I22" i="58"/>
  <c r="I11" i="58"/>
  <c r="I10" i="58"/>
  <c r="I9" i="58"/>
  <c r="D38" i="58"/>
  <c r="C38" i="58"/>
  <c r="L31" i="58"/>
  <c r="N31" i="58" s="1"/>
  <c r="I31" i="58"/>
  <c r="H31" i="58"/>
  <c r="L30" i="58"/>
  <c r="N30" i="58" s="1"/>
  <c r="I30" i="58"/>
  <c r="H30" i="58"/>
  <c r="L29" i="58"/>
  <c r="N29" i="58" s="1"/>
  <c r="I29" i="58"/>
  <c r="H29" i="58"/>
  <c r="M28" i="58"/>
  <c r="O28" i="58" s="1"/>
  <c r="L28" i="58"/>
  <c r="N28" i="58" s="1"/>
  <c r="I28" i="58"/>
  <c r="H28" i="58"/>
  <c r="M27" i="58"/>
  <c r="O27" i="58" s="1"/>
  <c r="L27" i="58"/>
  <c r="N27" i="58" s="1"/>
  <c r="J27" i="58"/>
  <c r="I27" i="58"/>
  <c r="H27" i="58"/>
  <c r="L26" i="58"/>
  <c r="N26" i="58" s="1"/>
  <c r="I26" i="58"/>
  <c r="H26" i="58"/>
  <c r="N25" i="58"/>
  <c r="L25" i="58"/>
  <c r="I25" i="58"/>
  <c r="H25" i="58"/>
  <c r="L24" i="58"/>
  <c r="N24" i="58" s="1"/>
  <c r="H24" i="58"/>
  <c r="L23" i="58"/>
  <c r="N23" i="58" s="1"/>
  <c r="H23" i="58"/>
  <c r="M22" i="58"/>
  <c r="O22" i="58" s="1"/>
  <c r="L22" i="58"/>
  <c r="N22" i="58" s="1"/>
  <c r="J22" i="58"/>
  <c r="H22" i="58"/>
  <c r="M21" i="58"/>
  <c r="O21" i="58" s="1"/>
  <c r="L21" i="58"/>
  <c r="N21" i="58" s="1"/>
  <c r="I21" i="58"/>
  <c r="H21" i="58"/>
  <c r="L20" i="58"/>
  <c r="N20" i="58" s="1"/>
  <c r="I20" i="58"/>
  <c r="H20" i="58"/>
  <c r="L19" i="58"/>
  <c r="N19" i="58" s="1"/>
  <c r="I19" i="58"/>
  <c r="H19" i="58"/>
  <c r="L18" i="58"/>
  <c r="N18" i="58" s="1"/>
  <c r="I18" i="58"/>
  <c r="H18" i="58"/>
  <c r="L17" i="58"/>
  <c r="N17" i="58" s="1"/>
  <c r="I17" i="58"/>
  <c r="H17" i="58"/>
  <c r="L16" i="58"/>
  <c r="N16" i="58" s="1"/>
  <c r="J16" i="58"/>
  <c r="I16" i="58"/>
  <c r="H16" i="58"/>
  <c r="N15" i="58"/>
  <c r="L15" i="58"/>
  <c r="J15" i="58"/>
  <c r="I15" i="58"/>
  <c r="H15" i="58"/>
  <c r="L14" i="58"/>
  <c r="N14" i="58" s="1"/>
  <c r="J14" i="58"/>
  <c r="I14" i="58"/>
  <c r="H14" i="58"/>
  <c r="L13" i="58"/>
  <c r="N13" i="58" s="1"/>
  <c r="I13" i="58"/>
  <c r="H13" i="58"/>
  <c r="L12" i="58"/>
  <c r="N12" i="58" s="1"/>
  <c r="I12" i="58"/>
  <c r="H12" i="58"/>
  <c r="L11" i="58"/>
  <c r="N11" i="58" s="1"/>
  <c r="H11" i="58"/>
  <c r="M10" i="58"/>
  <c r="O10" i="58" s="1"/>
  <c r="L10" i="58"/>
  <c r="N10" i="58" s="1"/>
  <c r="J10" i="58"/>
  <c r="H10" i="58"/>
  <c r="L9" i="58"/>
  <c r="N9" i="58" s="1"/>
  <c r="H9" i="58"/>
  <c r="N8" i="58"/>
  <c r="L8" i="58"/>
  <c r="I8" i="58"/>
  <c r="H8" i="58"/>
  <c r="I20" i="57"/>
  <c r="I19" i="57"/>
  <c r="G8" i="57"/>
  <c r="J10" i="57"/>
  <c r="J9" i="57"/>
  <c r="J11" i="57"/>
  <c r="J12" i="57"/>
  <c r="M16" i="57"/>
  <c r="O16" i="57" s="1"/>
  <c r="M17" i="57"/>
  <c r="O17" i="57" s="1"/>
  <c r="J22" i="57"/>
  <c r="J23" i="57"/>
  <c r="J25" i="57"/>
  <c r="J26" i="57"/>
  <c r="J28" i="57"/>
  <c r="J29" i="57"/>
  <c r="D38" i="57"/>
  <c r="C38" i="57"/>
  <c r="L31" i="57"/>
  <c r="N31" i="57" s="1"/>
  <c r="I31" i="57"/>
  <c r="H31" i="57"/>
  <c r="L30" i="57"/>
  <c r="N30" i="57" s="1"/>
  <c r="I30" i="57"/>
  <c r="H30" i="57"/>
  <c r="L29" i="57"/>
  <c r="N29" i="57" s="1"/>
  <c r="I29" i="57"/>
  <c r="H29" i="57"/>
  <c r="L28" i="57"/>
  <c r="N28" i="57" s="1"/>
  <c r="I28" i="57"/>
  <c r="H28" i="57"/>
  <c r="M27" i="57"/>
  <c r="O27" i="57" s="1"/>
  <c r="L27" i="57"/>
  <c r="N27" i="57" s="1"/>
  <c r="J27" i="57"/>
  <c r="I27" i="57"/>
  <c r="H27" i="57"/>
  <c r="M26" i="57"/>
  <c r="O26" i="57" s="1"/>
  <c r="L26" i="57"/>
  <c r="N26" i="57" s="1"/>
  <c r="I26" i="57"/>
  <c r="H26" i="57"/>
  <c r="N25" i="57"/>
  <c r="M25" i="57"/>
  <c r="O25" i="57" s="1"/>
  <c r="L25" i="57"/>
  <c r="I25" i="57"/>
  <c r="H25" i="57"/>
  <c r="L24" i="57"/>
  <c r="N24" i="57" s="1"/>
  <c r="I24" i="57"/>
  <c r="H24" i="57"/>
  <c r="M23" i="57"/>
  <c r="O23" i="57" s="1"/>
  <c r="L23" i="57"/>
  <c r="N23" i="57" s="1"/>
  <c r="I23" i="57"/>
  <c r="H23" i="57"/>
  <c r="M22" i="57"/>
  <c r="O22" i="57" s="1"/>
  <c r="L22" i="57"/>
  <c r="N22" i="57" s="1"/>
  <c r="I22" i="57"/>
  <c r="H22" i="57"/>
  <c r="M21" i="57"/>
  <c r="O21" i="57" s="1"/>
  <c r="L21" i="57"/>
  <c r="N21" i="57" s="1"/>
  <c r="J21" i="57"/>
  <c r="I21" i="57"/>
  <c r="H21" i="57"/>
  <c r="M20" i="57"/>
  <c r="O20" i="57" s="1"/>
  <c r="L20" i="57"/>
  <c r="N20" i="57" s="1"/>
  <c r="J20" i="57"/>
  <c r="H20" i="57"/>
  <c r="M19" i="57"/>
  <c r="O19" i="57" s="1"/>
  <c r="L19" i="57"/>
  <c r="N19" i="57" s="1"/>
  <c r="J19" i="57"/>
  <c r="H19" i="57"/>
  <c r="L18" i="57"/>
  <c r="N18" i="57" s="1"/>
  <c r="I18" i="57"/>
  <c r="H18" i="57"/>
  <c r="N17" i="57"/>
  <c r="L17" i="57"/>
  <c r="I17" i="57"/>
  <c r="H17" i="57"/>
  <c r="L16" i="57"/>
  <c r="N16" i="57" s="1"/>
  <c r="I16" i="57"/>
  <c r="H16" i="57"/>
  <c r="M15" i="57"/>
  <c r="O15" i="57" s="1"/>
  <c r="L15" i="57"/>
  <c r="N15" i="57" s="1"/>
  <c r="J15" i="57"/>
  <c r="I15" i="57"/>
  <c r="H15" i="57"/>
  <c r="M14" i="57"/>
  <c r="O14" i="57" s="1"/>
  <c r="L14" i="57"/>
  <c r="N14" i="57" s="1"/>
  <c r="J14" i="57"/>
  <c r="I14" i="57"/>
  <c r="H14" i="57"/>
  <c r="M13" i="57"/>
  <c r="O13" i="57" s="1"/>
  <c r="L13" i="57"/>
  <c r="N13" i="57" s="1"/>
  <c r="J13" i="57"/>
  <c r="I13" i="57"/>
  <c r="H13" i="57"/>
  <c r="M12" i="57"/>
  <c r="O12" i="57" s="1"/>
  <c r="L12" i="57"/>
  <c r="N12" i="57" s="1"/>
  <c r="I12" i="57"/>
  <c r="H12" i="57"/>
  <c r="M11" i="57"/>
  <c r="O11" i="57" s="1"/>
  <c r="L11" i="57"/>
  <c r="N11" i="57" s="1"/>
  <c r="I11" i="57"/>
  <c r="H11" i="57"/>
  <c r="M10" i="57"/>
  <c r="O10" i="57" s="1"/>
  <c r="L10" i="57"/>
  <c r="N10" i="57" s="1"/>
  <c r="I10" i="57"/>
  <c r="H10" i="57"/>
  <c r="L9" i="57"/>
  <c r="N9" i="57" s="1"/>
  <c r="I9" i="57"/>
  <c r="H9" i="57"/>
  <c r="N8" i="57"/>
  <c r="L8" i="57"/>
  <c r="I8" i="57"/>
  <c r="H8" i="57"/>
  <c r="D38" i="56"/>
  <c r="C38" i="56"/>
  <c r="L31" i="56"/>
  <c r="N31" i="56" s="1"/>
  <c r="I31" i="56"/>
  <c r="H31" i="56"/>
  <c r="G31" i="56"/>
  <c r="N30" i="56"/>
  <c r="L30" i="56"/>
  <c r="I30" i="56"/>
  <c r="H30" i="56"/>
  <c r="N29" i="56"/>
  <c r="M29" i="56"/>
  <c r="O29" i="56" s="1"/>
  <c r="L29" i="56"/>
  <c r="J29" i="56"/>
  <c r="I29" i="56"/>
  <c r="H29" i="56"/>
  <c r="N28" i="56"/>
  <c r="M28" i="56"/>
  <c r="O28" i="56" s="1"/>
  <c r="L28" i="56"/>
  <c r="J28" i="56"/>
  <c r="I28" i="56"/>
  <c r="H28" i="56"/>
  <c r="O27" i="56"/>
  <c r="M27" i="56"/>
  <c r="L27" i="56"/>
  <c r="N27" i="56" s="1"/>
  <c r="J27" i="56"/>
  <c r="I27" i="56"/>
  <c r="H27" i="56"/>
  <c r="M26" i="56"/>
  <c r="O26" i="56" s="1"/>
  <c r="L26" i="56"/>
  <c r="N26" i="56" s="1"/>
  <c r="J26" i="56"/>
  <c r="I26" i="56"/>
  <c r="H26" i="56"/>
  <c r="N25" i="56"/>
  <c r="M25" i="56"/>
  <c r="O25" i="56" s="1"/>
  <c r="L25" i="56"/>
  <c r="J25" i="56"/>
  <c r="I25" i="56"/>
  <c r="H25" i="56"/>
  <c r="L24" i="56"/>
  <c r="N24" i="56" s="1"/>
  <c r="I24" i="56"/>
  <c r="H24" i="56"/>
  <c r="M23" i="56"/>
  <c r="O23" i="56" s="1"/>
  <c r="L23" i="56"/>
  <c r="N23" i="56" s="1"/>
  <c r="J23" i="56"/>
  <c r="I23" i="56"/>
  <c r="H23" i="56"/>
  <c r="M22" i="56"/>
  <c r="O22" i="56" s="1"/>
  <c r="L22" i="56"/>
  <c r="N22" i="56" s="1"/>
  <c r="J22" i="56"/>
  <c r="I22" i="56"/>
  <c r="H22" i="56"/>
  <c r="M21" i="56"/>
  <c r="O21" i="56" s="1"/>
  <c r="L21" i="56"/>
  <c r="N21" i="56" s="1"/>
  <c r="J21" i="56"/>
  <c r="I21" i="56"/>
  <c r="H21" i="56"/>
  <c r="N20" i="56"/>
  <c r="M20" i="56"/>
  <c r="O20" i="56" s="1"/>
  <c r="L20" i="56"/>
  <c r="J20" i="56"/>
  <c r="I20" i="56"/>
  <c r="H20" i="56"/>
  <c r="M19" i="56"/>
  <c r="O19" i="56" s="1"/>
  <c r="L19" i="56"/>
  <c r="N19" i="56" s="1"/>
  <c r="J19" i="56"/>
  <c r="I19" i="56"/>
  <c r="H19" i="56"/>
  <c r="N18" i="56"/>
  <c r="L18" i="56"/>
  <c r="I18" i="56"/>
  <c r="H18" i="56"/>
  <c r="O17" i="56"/>
  <c r="M17" i="56"/>
  <c r="L17" i="56"/>
  <c r="N17" i="56" s="1"/>
  <c r="J17" i="56"/>
  <c r="I17" i="56"/>
  <c r="H17" i="56"/>
  <c r="M16" i="56"/>
  <c r="O16" i="56" s="1"/>
  <c r="L16" i="56"/>
  <c r="N16" i="56" s="1"/>
  <c r="J16" i="56"/>
  <c r="I16" i="56"/>
  <c r="H16" i="56"/>
  <c r="M15" i="56"/>
  <c r="O15" i="56" s="1"/>
  <c r="L15" i="56"/>
  <c r="N15" i="56" s="1"/>
  <c r="J15" i="56"/>
  <c r="I15" i="56"/>
  <c r="H15" i="56"/>
  <c r="M14" i="56"/>
  <c r="O14" i="56" s="1"/>
  <c r="L14" i="56"/>
  <c r="N14" i="56" s="1"/>
  <c r="J14" i="56"/>
  <c r="I14" i="56"/>
  <c r="H14" i="56"/>
  <c r="M13" i="56"/>
  <c r="O13" i="56" s="1"/>
  <c r="L13" i="56"/>
  <c r="N13" i="56" s="1"/>
  <c r="J13" i="56"/>
  <c r="I13" i="56"/>
  <c r="H13" i="56"/>
  <c r="M12" i="56"/>
  <c r="O12" i="56" s="1"/>
  <c r="L12" i="56"/>
  <c r="N12" i="56" s="1"/>
  <c r="J12" i="56"/>
  <c r="I12" i="56"/>
  <c r="H12" i="56"/>
  <c r="M11" i="56"/>
  <c r="O11" i="56" s="1"/>
  <c r="L11" i="56"/>
  <c r="N11" i="56" s="1"/>
  <c r="J11" i="56"/>
  <c r="I11" i="56"/>
  <c r="H11" i="56"/>
  <c r="M10" i="56"/>
  <c r="O10" i="56" s="1"/>
  <c r="L10" i="56"/>
  <c r="N10" i="56" s="1"/>
  <c r="J10" i="56"/>
  <c r="I10" i="56"/>
  <c r="H10" i="56"/>
  <c r="M9" i="56"/>
  <c r="O9" i="56" s="1"/>
  <c r="L9" i="56"/>
  <c r="N9" i="56" s="1"/>
  <c r="J9" i="56"/>
  <c r="I9" i="56"/>
  <c r="H9" i="56"/>
  <c r="M8" i="56"/>
  <c r="O8" i="56" s="1"/>
  <c r="L8" i="56"/>
  <c r="N8" i="56" s="1"/>
  <c r="J8" i="56"/>
  <c r="I8" i="56"/>
  <c r="H8" i="56"/>
  <c r="D38" i="55"/>
  <c r="C38" i="55"/>
  <c r="L31" i="55"/>
  <c r="N31" i="55" s="1"/>
  <c r="I31" i="55"/>
  <c r="H31" i="55"/>
  <c r="L30" i="55"/>
  <c r="N30" i="55" s="1"/>
  <c r="I30" i="55"/>
  <c r="H30" i="55"/>
  <c r="O29" i="55"/>
  <c r="M29" i="55"/>
  <c r="L29" i="55"/>
  <c r="N29" i="55" s="1"/>
  <c r="J29" i="55"/>
  <c r="I29" i="55"/>
  <c r="H29" i="55"/>
  <c r="M28" i="55"/>
  <c r="O28" i="55" s="1"/>
  <c r="L28" i="55"/>
  <c r="N28" i="55" s="1"/>
  <c r="J28" i="55"/>
  <c r="I28" i="55"/>
  <c r="H28" i="55"/>
  <c r="M27" i="55"/>
  <c r="O27" i="55" s="1"/>
  <c r="L27" i="55"/>
  <c r="N27" i="55" s="1"/>
  <c r="J27" i="55"/>
  <c r="I27" i="55"/>
  <c r="H27" i="55"/>
  <c r="N26" i="55"/>
  <c r="M26" i="55"/>
  <c r="O26" i="55" s="1"/>
  <c r="L26" i="55"/>
  <c r="J26" i="55"/>
  <c r="I26" i="55"/>
  <c r="H26" i="55"/>
  <c r="N25" i="55"/>
  <c r="M25" i="55"/>
  <c r="O25" i="55" s="1"/>
  <c r="L25" i="55"/>
  <c r="J25" i="55"/>
  <c r="I25" i="55"/>
  <c r="H25" i="55"/>
  <c r="N24" i="55"/>
  <c r="L24" i="55"/>
  <c r="I24" i="55"/>
  <c r="H24" i="55"/>
  <c r="M23" i="55"/>
  <c r="O23" i="55" s="1"/>
  <c r="L23" i="55"/>
  <c r="N23" i="55" s="1"/>
  <c r="J23" i="55"/>
  <c r="I23" i="55"/>
  <c r="H23" i="55"/>
  <c r="M22" i="55"/>
  <c r="O22" i="55" s="1"/>
  <c r="L22" i="55"/>
  <c r="N22" i="55" s="1"/>
  <c r="J22" i="55"/>
  <c r="I22" i="55"/>
  <c r="H22" i="55"/>
  <c r="M21" i="55"/>
  <c r="O21" i="55" s="1"/>
  <c r="L21" i="55"/>
  <c r="N21" i="55" s="1"/>
  <c r="J21" i="55"/>
  <c r="I21" i="55"/>
  <c r="H21" i="55"/>
  <c r="M20" i="55"/>
  <c r="O20" i="55" s="1"/>
  <c r="L20" i="55"/>
  <c r="N20" i="55" s="1"/>
  <c r="J20" i="55"/>
  <c r="I20" i="55"/>
  <c r="H20" i="55"/>
  <c r="M19" i="55"/>
  <c r="O19" i="55" s="1"/>
  <c r="L19" i="55"/>
  <c r="N19" i="55" s="1"/>
  <c r="J19" i="55"/>
  <c r="I19" i="55"/>
  <c r="H19" i="55"/>
  <c r="L18" i="55"/>
  <c r="N18" i="55" s="1"/>
  <c r="I18" i="55"/>
  <c r="H18" i="55"/>
  <c r="M17" i="55"/>
  <c r="O17" i="55" s="1"/>
  <c r="L17" i="55"/>
  <c r="N17" i="55" s="1"/>
  <c r="J17" i="55"/>
  <c r="I17" i="55"/>
  <c r="H17" i="55"/>
  <c r="M16" i="55"/>
  <c r="O16" i="55" s="1"/>
  <c r="L16" i="55"/>
  <c r="N16" i="55" s="1"/>
  <c r="J16" i="55"/>
  <c r="I16" i="55"/>
  <c r="H16" i="55"/>
  <c r="M15" i="55"/>
  <c r="O15" i="55" s="1"/>
  <c r="L15" i="55"/>
  <c r="N15" i="55" s="1"/>
  <c r="J15" i="55"/>
  <c r="I15" i="55"/>
  <c r="H15" i="55"/>
  <c r="N14" i="55"/>
  <c r="M14" i="55"/>
  <c r="O14" i="55" s="1"/>
  <c r="L14" i="55"/>
  <c r="J14" i="55"/>
  <c r="I14" i="55"/>
  <c r="H14" i="55"/>
  <c r="M13" i="55"/>
  <c r="O13" i="55" s="1"/>
  <c r="L13" i="55"/>
  <c r="N13" i="55" s="1"/>
  <c r="J13" i="55"/>
  <c r="I13" i="55"/>
  <c r="H13" i="55"/>
  <c r="M12" i="55"/>
  <c r="O12" i="55" s="1"/>
  <c r="L12" i="55"/>
  <c r="N12" i="55" s="1"/>
  <c r="J12" i="55"/>
  <c r="I12" i="55"/>
  <c r="H12" i="55"/>
  <c r="M11" i="55"/>
  <c r="O11" i="55" s="1"/>
  <c r="L11" i="55"/>
  <c r="N11" i="55" s="1"/>
  <c r="J11" i="55"/>
  <c r="I11" i="55"/>
  <c r="H11" i="55"/>
  <c r="M10" i="55"/>
  <c r="O10" i="55" s="1"/>
  <c r="L10" i="55"/>
  <c r="N10" i="55" s="1"/>
  <c r="J10" i="55"/>
  <c r="I10" i="55"/>
  <c r="H10" i="55"/>
  <c r="M9" i="55"/>
  <c r="O9" i="55" s="1"/>
  <c r="L9" i="55"/>
  <c r="N9" i="55" s="1"/>
  <c r="J9" i="55"/>
  <c r="I9" i="55"/>
  <c r="H9" i="55"/>
  <c r="M8" i="55"/>
  <c r="O8" i="55" s="1"/>
  <c r="L8" i="55"/>
  <c r="N8" i="55" s="1"/>
  <c r="J8" i="55"/>
  <c r="I8" i="55"/>
  <c r="H8" i="55"/>
  <c r="I8" i="53"/>
  <c r="D38" i="54"/>
  <c r="C38" i="54"/>
  <c r="L31" i="54"/>
  <c r="N31" i="54" s="1"/>
  <c r="I31" i="54"/>
  <c r="H31" i="54"/>
  <c r="L30" i="54"/>
  <c r="N30" i="54" s="1"/>
  <c r="I30" i="54"/>
  <c r="H30" i="54"/>
  <c r="M29" i="54"/>
  <c r="O29" i="54" s="1"/>
  <c r="L29" i="54"/>
  <c r="N29" i="54" s="1"/>
  <c r="J29" i="54"/>
  <c r="I29" i="54"/>
  <c r="H29" i="54"/>
  <c r="M28" i="54"/>
  <c r="O28" i="54" s="1"/>
  <c r="L28" i="54"/>
  <c r="N28" i="54" s="1"/>
  <c r="J28" i="54"/>
  <c r="I28" i="54"/>
  <c r="H28" i="54"/>
  <c r="M27" i="54"/>
  <c r="O27" i="54" s="1"/>
  <c r="L27" i="54"/>
  <c r="N27" i="54" s="1"/>
  <c r="J27" i="54"/>
  <c r="I27" i="54"/>
  <c r="H27" i="54"/>
  <c r="M26" i="54"/>
  <c r="O26" i="54" s="1"/>
  <c r="L26" i="54"/>
  <c r="N26" i="54" s="1"/>
  <c r="J26" i="54"/>
  <c r="I26" i="54"/>
  <c r="H26" i="54"/>
  <c r="N25" i="54"/>
  <c r="M25" i="54"/>
  <c r="O25" i="54" s="1"/>
  <c r="L25" i="54"/>
  <c r="J25" i="54"/>
  <c r="I25" i="54"/>
  <c r="H25" i="54"/>
  <c r="N24" i="54"/>
  <c r="L24" i="54"/>
  <c r="I24" i="54"/>
  <c r="H24" i="54"/>
  <c r="M23" i="54"/>
  <c r="O23" i="54" s="1"/>
  <c r="L23" i="54"/>
  <c r="N23" i="54" s="1"/>
  <c r="J23" i="54"/>
  <c r="I23" i="54"/>
  <c r="H23" i="54"/>
  <c r="M22" i="54"/>
  <c r="O22" i="54" s="1"/>
  <c r="L22" i="54"/>
  <c r="N22" i="54" s="1"/>
  <c r="J22" i="54"/>
  <c r="I22" i="54"/>
  <c r="H22" i="54"/>
  <c r="M21" i="54"/>
  <c r="O21" i="54" s="1"/>
  <c r="L21" i="54"/>
  <c r="N21" i="54" s="1"/>
  <c r="J21" i="54"/>
  <c r="I21" i="54"/>
  <c r="H21" i="54"/>
  <c r="M20" i="54"/>
  <c r="O20" i="54" s="1"/>
  <c r="L20" i="54"/>
  <c r="N20" i="54" s="1"/>
  <c r="J20" i="54"/>
  <c r="I20" i="54"/>
  <c r="H20" i="54"/>
  <c r="M19" i="54"/>
  <c r="O19" i="54" s="1"/>
  <c r="L19" i="54"/>
  <c r="N19" i="54" s="1"/>
  <c r="J19" i="54"/>
  <c r="I19" i="54"/>
  <c r="H19" i="54"/>
  <c r="L18" i="54"/>
  <c r="N18" i="54" s="1"/>
  <c r="I18" i="54"/>
  <c r="H18" i="54"/>
  <c r="M17" i="54"/>
  <c r="O17" i="54" s="1"/>
  <c r="L17" i="54"/>
  <c r="N17" i="54" s="1"/>
  <c r="J17" i="54"/>
  <c r="I17" i="54"/>
  <c r="H17" i="54"/>
  <c r="M16" i="54"/>
  <c r="O16" i="54" s="1"/>
  <c r="L16" i="54"/>
  <c r="N16" i="54" s="1"/>
  <c r="J16" i="54"/>
  <c r="I16" i="54"/>
  <c r="H16" i="54"/>
  <c r="M15" i="54"/>
  <c r="O15" i="54" s="1"/>
  <c r="L15" i="54"/>
  <c r="N15" i="54" s="1"/>
  <c r="J15" i="54"/>
  <c r="I15" i="54"/>
  <c r="H15" i="54"/>
  <c r="M14" i="54"/>
  <c r="O14" i="54" s="1"/>
  <c r="L14" i="54"/>
  <c r="N14" i="54" s="1"/>
  <c r="J14" i="54"/>
  <c r="I14" i="54"/>
  <c r="H14" i="54"/>
  <c r="M13" i="54"/>
  <c r="O13" i="54" s="1"/>
  <c r="L13" i="54"/>
  <c r="N13" i="54" s="1"/>
  <c r="J13" i="54"/>
  <c r="I13" i="54"/>
  <c r="H13" i="54"/>
  <c r="M12" i="54"/>
  <c r="O12" i="54" s="1"/>
  <c r="L12" i="54"/>
  <c r="N12" i="54" s="1"/>
  <c r="J12" i="54"/>
  <c r="I12" i="54"/>
  <c r="H12" i="54"/>
  <c r="M11" i="54"/>
  <c r="O11" i="54" s="1"/>
  <c r="L11" i="54"/>
  <c r="N11" i="54" s="1"/>
  <c r="J11" i="54"/>
  <c r="I11" i="54"/>
  <c r="H11" i="54"/>
  <c r="M10" i="54"/>
  <c r="O10" i="54" s="1"/>
  <c r="L10" i="54"/>
  <c r="N10" i="54" s="1"/>
  <c r="J10" i="54"/>
  <c r="I10" i="54"/>
  <c r="H10" i="54"/>
  <c r="M9" i="54"/>
  <c r="O9" i="54" s="1"/>
  <c r="L9" i="54"/>
  <c r="N9" i="54" s="1"/>
  <c r="J9" i="54"/>
  <c r="I9" i="54"/>
  <c r="H9" i="54"/>
  <c r="O8" i="54"/>
  <c r="N8" i="54"/>
  <c r="M8" i="54"/>
  <c r="L8" i="54"/>
  <c r="J8" i="54"/>
  <c r="I8" i="54"/>
  <c r="H8" i="54"/>
  <c r="D38" i="53"/>
  <c r="C38" i="53"/>
  <c r="L31" i="53"/>
  <c r="N31" i="53" s="1"/>
  <c r="I31" i="53"/>
  <c r="H31" i="53"/>
  <c r="L30" i="53"/>
  <c r="N30" i="53" s="1"/>
  <c r="I30" i="53"/>
  <c r="H30" i="53"/>
  <c r="M29" i="53"/>
  <c r="O29" i="53" s="1"/>
  <c r="L29" i="53"/>
  <c r="N29" i="53" s="1"/>
  <c r="J29" i="53"/>
  <c r="I29" i="53"/>
  <c r="H29" i="53"/>
  <c r="M28" i="53"/>
  <c r="O28" i="53" s="1"/>
  <c r="L28" i="53"/>
  <c r="N28" i="53" s="1"/>
  <c r="J28" i="53"/>
  <c r="I28" i="53"/>
  <c r="H28" i="53"/>
  <c r="M27" i="53"/>
  <c r="O27" i="53" s="1"/>
  <c r="L27" i="53"/>
  <c r="N27" i="53" s="1"/>
  <c r="J27" i="53"/>
  <c r="I27" i="53"/>
  <c r="H27" i="53"/>
  <c r="M26" i="53"/>
  <c r="O26" i="53" s="1"/>
  <c r="L26" i="53"/>
  <c r="N26" i="53" s="1"/>
  <c r="J26" i="53"/>
  <c r="I26" i="53"/>
  <c r="H26" i="53"/>
  <c r="N25" i="53"/>
  <c r="M25" i="53"/>
  <c r="O25" i="53" s="1"/>
  <c r="L25" i="53"/>
  <c r="J25" i="53"/>
  <c r="I25" i="53"/>
  <c r="H25" i="53"/>
  <c r="N24" i="53"/>
  <c r="L24" i="53"/>
  <c r="I24" i="53"/>
  <c r="H24" i="53"/>
  <c r="M23" i="53"/>
  <c r="O23" i="53" s="1"/>
  <c r="L23" i="53"/>
  <c r="N23" i="53" s="1"/>
  <c r="J23" i="53"/>
  <c r="I23" i="53"/>
  <c r="H23" i="53"/>
  <c r="M22" i="53"/>
  <c r="O22" i="53" s="1"/>
  <c r="L22" i="53"/>
  <c r="N22" i="53" s="1"/>
  <c r="J22" i="53"/>
  <c r="I22" i="53"/>
  <c r="H22" i="53"/>
  <c r="M21" i="53"/>
  <c r="O21" i="53" s="1"/>
  <c r="L21" i="53"/>
  <c r="N21" i="53" s="1"/>
  <c r="J21" i="53"/>
  <c r="I21" i="53"/>
  <c r="H21" i="53"/>
  <c r="M20" i="53"/>
  <c r="O20" i="53" s="1"/>
  <c r="L20" i="53"/>
  <c r="N20" i="53" s="1"/>
  <c r="J20" i="53"/>
  <c r="I20" i="53"/>
  <c r="H20" i="53"/>
  <c r="M19" i="53"/>
  <c r="O19" i="53" s="1"/>
  <c r="L19" i="53"/>
  <c r="N19" i="53" s="1"/>
  <c r="J19" i="53"/>
  <c r="I19" i="53"/>
  <c r="H19" i="53"/>
  <c r="L18" i="53"/>
  <c r="N18" i="53" s="1"/>
  <c r="I18" i="53"/>
  <c r="H18" i="53"/>
  <c r="M17" i="53"/>
  <c r="O17" i="53" s="1"/>
  <c r="L17" i="53"/>
  <c r="N17" i="53" s="1"/>
  <c r="J17" i="53"/>
  <c r="I17" i="53"/>
  <c r="H17" i="53"/>
  <c r="M16" i="53"/>
  <c r="O16" i="53" s="1"/>
  <c r="L16" i="53"/>
  <c r="N16" i="53" s="1"/>
  <c r="J16" i="53"/>
  <c r="I16" i="53"/>
  <c r="H16" i="53"/>
  <c r="N15" i="53"/>
  <c r="M15" i="53"/>
  <c r="O15" i="53" s="1"/>
  <c r="L15" i="53"/>
  <c r="J15" i="53"/>
  <c r="I15" i="53"/>
  <c r="H15" i="53"/>
  <c r="N14" i="53"/>
  <c r="M14" i="53"/>
  <c r="O14" i="53" s="1"/>
  <c r="L14" i="53"/>
  <c r="J14" i="53"/>
  <c r="I14" i="53"/>
  <c r="H14" i="53"/>
  <c r="M13" i="53"/>
  <c r="O13" i="53" s="1"/>
  <c r="L13" i="53"/>
  <c r="N13" i="53" s="1"/>
  <c r="J13" i="53"/>
  <c r="I13" i="53"/>
  <c r="H13" i="53"/>
  <c r="M12" i="53"/>
  <c r="O12" i="53" s="1"/>
  <c r="L12" i="53"/>
  <c r="N12" i="53" s="1"/>
  <c r="J12" i="53"/>
  <c r="I12" i="53"/>
  <c r="H12" i="53"/>
  <c r="M11" i="53"/>
  <c r="O11" i="53" s="1"/>
  <c r="L11" i="53"/>
  <c r="N11" i="53" s="1"/>
  <c r="J11" i="53"/>
  <c r="I11" i="53"/>
  <c r="H11" i="53"/>
  <c r="M10" i="53"/>
  <c r="O10" i="53" s="1"/>
  <c r="L10" i="53"/>
  <c r="N10" i="53" s="1"/>
  <c r="J10" i="53"/>
  <c r="I10" i="53"/>
  <c r="H10" i="53"/>
  <c r="M9" i="53"/>
  <c r="O9" i="53" s="1"/>
  <c r="L9" i="53"/>
  <c r="N9" i="53" s="1"/>
  <c r="J9" i="53"/>
  <c r="I9" i="53"/>
  <c r="H9" i="53"/>
  <c r="M8" i="53"/>
  <c r="O8" i="53" s="1"/>
  <c r="L8" i="53"/>
  <c r="N8" i="53" s="1"/>
  <c r="J8" i="53"/>
  <c r="H8" i="53"/>
  <c r="D38" i="52"/>
  <c r="C38" i="52"/>
  <c r="L31" i="52"/>
  <c r="N31" i="52" s="1"/>
  <c r="I31" i="52"/>
  <c r="H31" i="52"/>
  <c r="G31" i="52"/>
  <c r="J31" i="52" s="1"/>
  <c r="L30" i="52"/>
  <c r="N30" i="52" s="1"/>
  <c r="I30" i="52"/>
  <c r="H30" i="52"/>
  <c r="N29" i="52"/>
  <c r="M29" i="52"/>
  <c r="O29" i="52" s="1"/>
  <c r="L29" i="52"/>
  <c r="J29" i="52"/>
  <c r="I29" i="52"/>
  <c r="H29" i="52"/>
  <c r="M28" i="52"/>
  <c r="O28" i="52" s="1"/>
  <c r="L28" i="52"/>
  <c r="N28" i="52" s="1"/>
  <c r="J28" i="52"/>
  <c r="I28" i="52"/>
  <c r="H28" i="52"/>
  <c r="N27" i="52"/>
  <c r="M27" i="52"/>
  <c r="O27" i="52" s="1"/>
  <c r="L27" i="52"/>
  <c r="J27" i="52"/>
  <c r="I27" i="52"/>
  <c r="H27" i="52"/>
  <c r="M26" i="52"/>
  <c r="O26" i="52" s="1"/>
  <c r="L26" i="52"/>
  <c r="N26" i="52" s="1"/>
  <c r="J26" i="52"/>
  <c r="I26" i="52"/>
  <c r="H26" i="52"/>
  <c r="M25" i="52"/>
  <c r="O25" i="52" s="1"/>
  <c r="L25" i="52"/>
  <c r="N25" i="52" s="1"/>
  <c r="J25" i="52"/>
  <c r="I25" i="52"/>
  <c r="H25" i="52"/>
  <c r="L24" i="52"/>
  <c r="N24" i="52" s="1"/>
  <c r="I24" i="52"/>
  <c r="H24" i="52"/>
  <c r="O23" i="52"/>
  <c r="M23" i="52"/>
  <c r="L23" i="52"/>
  <c r="N23" i="52" s="1"/>
  <c r="J23" i="52"/>
  <c r="I23" i="52"/>
  <c r="H23" i="52"/>
  <c r="N22" i="52"/>
  <c r="M22" i="52"/>
  <c r="O22" i="52" s="1"/>
  <c r="L22" i="52"/>
  <c r="J22" i="52"/>
  <c r="I22" i="52"/>
  <c r="H22" i="52"/>
  <c r="O21" i="52"/>
  <c r="M21" i="52"/>
  <c r="L21" i="52"/>
  <c r="N21" i="52" s="1"/>
  <c r="J21" i="52"/>
  <c r="I21" i="52"/>
  <c r="H21" i="52"/>
  <c r="M20" i="52"/>
  <c r="O20" i="52" s="1"/>
  <c r="L20" i="52"/>
  <c r="N20" i="52" s="1"/>
  <c r="J20" i="52"/>
  <c r="I20" i="52"/>
  <c r="H20" i="52"/>
  <c r="M19" i="52"/>
  <c r="O19" i="52" s="1"/>
  <c r="L19" i="52"/>
  <c r="N19" i="52" s="1"/>
  <c r="J19" i="52"/>
  <c r="I19" i="52"/>
  <c r="H19" i="52"/>
  <c r="L18" i="52"/>
  <c r="N18" i="52" s="1"/>
  <c r="I18" i="52"/>
  <c r="H18" i="52"/>
  <c r="M17" i="52"/>
  <c r="O17" i="52" s="1"/>
  <c r="L17" i="52"/>
  <c r="N17" i="52" s="1"/>
  <c r="J17" i="52"/>
  <c r="I17" i="52"/>
  <c r="H17" i="52"/>
  <c r="M16" i="52"/>
  <c r="O16" i="52" s="1"/>
  <c r="L16" i="52"/>
  <c r="N16" i="52" s="1"/>
  <c r="J16" i="52"/>
  <c r="I16" i="52"/>
  <c r="H16" i="52"/>
  <c r="M15" i="52"/>
  <c r="O15" i="52" s="1"/>
  <c r="L15" i="52"/>
  <c r="N15" i="52" s="1"/>
  <c r="J15" i="52"/>
  <c r="I15" i="52"/>
  <c r="H15" i="52"/>
  <c r="M14" i="52"/>
  <c r="O14" i="52" s="1"/>
  <c r="L14" i="52"/>
  <c r="N14" i="52" s="1"/>
  <c r="J14" i="52"/>
  <c r="I14" i="52"/>
  <c r="H14" i="52"/>
  <c r="M13" i="52"/>
  <c r="O13" i="52" s="1"/>
  <c r="L13" i="52"/>
  <c r="N13" i="52" s="1"/>
  <c r="J13" i="52"/>
  <c r="I13" i="52"/>
  <c r="H13" i="52"/>
  <c r="M12" i="52"/>
  <c r="O12" i="52" s="1"/>
  <c r="L12" i="52"/>
  <c r="N12" i="52" s="1"/>
  <c r="J12" i="52"/>
  <c r="I12" i="52"/>
  <c r="H12" i="52"/>
  <c r="N11" i="52"/>
  <c r="M11" i="52"/>
  <c r="O11" i="52" s="1"/>
  <c r="L11" i="52"/>
  <c r="J11" i="52"/>
  <c r="I11" i="52"/>
  <c r="H11" i="52"/>
  <c r="M10" i="52"/>
  <c r="O10" i="52" s="1"/>
  <c r="L10" i="52"/>
  <c r="N10" i="52" s="1"/>
  <c r="J10" i="52"/>
  <c r="I10" i="52"/>
  <c r="H10" i="52"/>
  <c r="M9" i="52"/>
  <c r="O9" i="52" s="1"/>
  <c r="L9" i="52"/>
  <c r="N9" i="52" s="1"/>
  <c r="J9" i="52"/>
  <c r="I9" i="52"/>
  <c r="H9" i="52"/>
  <c r="M8" i="52"/>
  <c r="O8" i="52" s="1"/>
  <c r="L8" i="52"/>
  <c r="N8" i="52" s="1"/>
  <c r="J8" i="52"/>
  <c r="I8" i="52"/>
  <c r="H8" i="52"/>
  <c r="D38" i="51"/>
  <c r="C38" i="51"/>
  <c r="N31" i="51"/>
  <c r="L31" i="51"/>
  <c r="I31" i="51"/>
  <c r="H31" i="51"/>
  <c r="L30" i="51"/>
  <c r="N30" i="51" s="1"/>
  <c r="I30" i="51"/>
  <c r="H30" i="51"/>
  <c r="M29" i="51"/>
  <c r="O29" i="51" s="1"/>
  <c r="L29" i="51"/>
  <c r="N29" i="51" s="1"/>
  <c r="J29" i="51"/>
  <c r="I29" i="51"/>
  <c r="H29" i="51"/>
  <c r="M28" i="51"/>
  <c r="O28" i="51" s="1"/>
  <c r="L28" i="51"/>
  <c r="N28" i="51" s="1"/>
  <c r="J28" i="51"/>
  <c r="I28" i="51"/>
  <c r="H28" i="51"/>
  <c r="M27" i="51"/>
  <c r="O27" i="51" s="1"/>
  <c r="L27" i="51"/>
  <c r="N27" i="51" s="1"/>
  <c r="J27" i="51"/>
  <c r="I27" i="51"/>
  <c r="H27" i="51"/>
  <c r="M26" i="51"/>
  <c r="O26" i="51" s="1"/>
  <c r="L26" i="51"/>
  <c r="N26" i="51" s="1"/>
  <c r="J26" i="51"/>
  <c r="I26" i="51"/>
  <c r="H26" i="51"/>
  <c r="N25" i="51"/>
  <c r="M25" i="51"/>
  <c r="O25" i="51" s="1"/>
  <c r="L25" i="51"/>
  <c r="J25" i="51"/>
  <c r="I25" i="51"/>
  <c r="H25" i="51"/>
  <c r="L24" i="51"/>
  <c r="N24" i="51" s="1"/>
  <c r="I24" i="51"/>
  <c r="H24" i="51"/>
  <c r="M23" i="51"/>
  <c r="O23" i="51" s="1"/>
  <c r="L23" i="51"/>
  <c r="N23" i="51" s="1"/>
  <c r="J23" i="51"/>
  <c r="I23" i="51"/>
  <c r="H23" i="51"/>
  <c r="N22" i="51"/>
  <c r="M22" i="51"/>
  <c r="O22" i="51" s="1"/>
  <c r="L22" i="51"/>
  <c r="J22" i="51"/>
  <c r="I22" i="51"/>
  <c r="H22" i="51"/>
  <c r="M21" i="51"/>
  <c r="O21" i="51" s="1"/>
  <c r="L21" i="51"/>
  <c r="N21" i="51" s="1"/>
  <c r="J21" i="51"/>
  <c r="I21" i="51"/>
  <c r="H21" i="51"/>
  <c r="M20" i="51"/>
  <c r="O20" i="51" s="1"/>
  <c r="L20" i="51"/>
  <c r="N20" i="51" s="1"/>
  <c r="J20" i="51"/>
  <c r="I20" i="51"/>
  <c r="H20" i="51"/>
  <c r="M19" i="51"/>
  <c r="O19" i="51" s="1"/>
  <c r="L19" i="51"/>
  <c r="N19" i="51" s="1"/>
  <c r="J19" i="51"/>
  <c r="I19" i="51"/>
  <c r="H19" i="51"/>
  <c r="L18" i="51"/>
  <c r="N18" i="51" s="1"/>
  <c r="I18" i="51"/>
  <c r="H18" i="51"/>
  <c r="L17" i="51"/>
  <c r="N17" i="51" s="1"/>
  <c r="J17" i="51"/>
  <c r="I17" i="51"/>
  <c r="H17" i="51"/>
  <c r="M17" i="51"/>
  <c r="O17" i="51" s="1"/>
  <c r="M16" i="51"/>
  <c r="O16" i="51" s="1"/>
  <c r="L16" i="51"/>
  <c r="N16" i="51" s="1"/>
  <c r="J16" i="51"/>
  <c r="I16" i="51"/>
  <c r="H16" i="51"/>
  <c r="M15" i="51"/>
  <c r="O15" i="51" s="1"/>
  <c r="L15" i="51"/>
  <c r="N15" i="51" s="1"/>
  <c r="J15" i="51"/>
  <c r="I15" i="51"/>
  <c r="H15" i="51"/>
  <c r="M14" i="51"/>
  <c r="O14" i="51" s="1"/>
  <c r="L14" i="51"/>
  <c r="N14" i="51" s="1"/>
  <c r="J14" i="51"/>
  <c r="I14" i="51"/>
  <c r="H14" i="51"/>
  <c r="M13" i="51"/>
  <c r="O13" i="51" s="1"/>
  <c r="L13" i="51"/>
  <c r="N13" i="51" s="1"/>
  <c r="J13" i="51"/>
  <c r="I13" i="51"/>
  <c r="H13" i="51"/>
  <c r="M12" i="51"/>
  <c r="O12" i="51" s="1"/>
  <c r="L12" i="51"/>
  <c r="N12" i="51" s="1"/>
  <c r="J12" i="51"/>
  <c r="I12" i="51"/>
  <c r="H12" i="51"/>
  <c r="M11" i="51"/>
  <c r="O11" i="51" s="1"/>
  <c r="L11" i="51"/>
  <c r="N11" i="51" s="1"/>
  <c r="J11" i="51"/>
  <c r="I11" i="51"/>
  <c r="H11" i="51"/>
  <c r="M10" i="51"/>
  <c r="O10" i="51" s="1"/>
  <c r="L10" i="51"/>
  <c r="N10" i="51" s="1"/>
  <c r="J10" i="51"/>
  <c r="I10" i="51"/>
  <c r="H10" i="51"/>
  <c r="M9" i="51"/>
  <c r="O9" i="51" s="1"/>
  <c r="L9" i="51"/>
  <c r="N9" i="51" s="1"/>
  <c r="J9" i="51"/>
  <c r="I9" i="51"/>
  <c r="H9" i="51"/>
  <c r="M8" i="51"/>
  <c r="O8" i="51" s="1"/>
  <c r="L8" i="51"/>
  <c r="N8" i="51" s="1"/>
  <c r="J8" i="51"/>
  <c r="I8" i="51"/>
  <c r="H8" i="51"/>
  <c r="D38" i="50"/>
  <c r="C38" i="50"/>
  <c r="N31" i="50"/>
  <c r="L31" i="50"/>
  <c r="I31" i="50"/>
  <c r="H31" i="50"/>
  <c r="L30" i="50"/>
  <c r="N30" i="50" s="1"/>
  <c r="I30" i="50"/>
  <c r="H30" i="50"/>
  <c r="O29" i="50"/>
  <c r="M29" i="50"/>
  <c r="L29" i="50"/>
  <c r="N29" i="50" s="1"/>
  <c r="J29" i="50"/>
  <c r="I29" i="50"/>
  <c r="H29" i="50"/>
  <c r="M28" i="50"/>
  <c r="O28" i="50" s="1"/>
  <c r="L28" i="50"/>
  <c r="N28" i="50" s="1"/>
  <c r="J28" i="50"/>
  <c r="I28" i="50"/>
  <c r="H28" i="50"/>
  <c r="N27" i="50"/>
  <c r="M27" i="50"/>
  <c r="O27" i="50" s="1"/>
  <c r="L27" i="50"/>
  <c r="J27" i="50"/>
  <c r="I27" i="50"/>
  <c r="H27" i="50"/>
  <c r="M26" i="50"/>
  <c r="O26" i="50" s="1"/>
  <c r="L26" i="50"/>
  <c r="N26" i="50" s="1"/>
  <c r="J26" i="50"/>
  <c r="I26" i="50"/>
  <c r="H26" i="50"/>
  <c r="N25" i="50"/>
  <c r="M25" i="50"/>
  <c r="O25" i="50" s="1"/>
  <c r="L25" i="50"/>
  <c r="J25" i="50"/>
  <c r="I25" i="50"/>
  <c r="H25" i="50"/>
  <c r="L24" i="50"/>
  <c r="N24" i="50" s="1"/>
  <c r="I24" i="50"/>
  <c r="H24" i="50"/>
  <c r="M23" i="50"/>
  <c r="O23" i="50" s="1"/>
  <c r="L23" i="50"/>
  <c r="N23" i="50" s="1"/>
  <c r="J23" i="50"/>
  <c r="I23" i="50"/>
  <c r="H23" i="50"/>
  <c r="M22" i="50"/>
  <c r="O22" i="50" s="1"/>
  <c r="L22" i="50"/>
  <c r="N22" i="50" s="1"/>
  <c r="J22" i="50"/>
  <c r="I22" i="50"/>
  <c r="H22" i="50"/>
  <c r="M21" i="50"/>
  <c r="L21" i="50"/>
  <c r="N21" i="50" s="1"/>
  <c r="J21" i="50"/>
  <c r="I21" i="50"/>
  <c r="H21" i="50"/>
  <c r="M20" i="50"/>
  <c r="L20" i="50"/>
  <c r="N20" i="50" s="1"/>
  <c r="J20" i="50"/>
  <c r="I20" i="50"/>
  <c r="H20" i="50"/>
  <c r="M19" i="50"/>
  <c r="L19" i="50"/>
  <c r="N19" i="50" s="1"/>
  <c r="J19" i="50"/>
  <c r="I19" i="50"/>
  <c r="H19" i="50"/>
  <c r="L18" i="50"/>
  <c r="N18" i="50" s="1"/>
  <c r="I18" i="50"/>
  <c r="H18" i="50"/>
  <c r="N17" i="50"/>
  <c r="L17" i="50"/>
  <c r="I17" i="50"/>
  <c r="H17" i="50"/>
  <c r="M16" i="50"/>
  <c r="O16" i="50" s="1"/>
  <c r="L16" i="50"/>
  <c r="N16" i="50" s="1"/>
  <c r="J16" i="50"/>
  <c r="I16" i="50"/>
  <c r="H16" i="50"/>
  <c r="M15" i="50"/>
  <c r="O15" i="50" s="1"/>
  <c r="L15" i="50"/>
  <c r="N15" i="50" s="1"/>
  <c r="J15" i="50"/>
  <c r="I15" i="50"/>
  <c r="H15" i="50"/>
  <c r="M14" i="50"/>
  <c r="O14" i="50" s="1"/>
  <c r="L14" i="50"/>
  <c r="N14" i="50" s="1"/>
  <c r="J14" i="50"/>
  <c r="I14" i="50"/>
  <c r="H14" i="50"/>
  <c r="M13" i="50"/>
  <c r="O13" i="50" s="1"/>
  <c r="L13" i="50"/>
  <c r="N13" i="50" s="1"/>
  <c r="J13" i="50"/>
  <c r="I13" i="50"/>
  <c r="H13" i="50"/>
  <c r="M12" i="50"/>
  <c r="O12" i="50" s="1"/>
  <c r="L12" i="50"/>
  <c r="N12" i="50" s="1"/>
  <c r="J12" i="50"/>
  <c r="I12" i="50"/>
  <c r="H12" i="50"/>
  <c r="M11" i="50"/>
  <c r="O11" i="50" s="1"/>
  <c r="L11" i="50"/>
  <c r="N11" i="50" s="1"/>
  <c r="J11" i="50"/>
  <c r="I11" i="50"/>
  <c r="H11" i="50"/>
  <c r="M10" i="50"/>
  <c r="O10" i="50" s="1"/>
  <c r="L10" i="50"/>
  <c r="N10" i="50" s="1"/>
  <c r="J10" i="50"/>
  <c r="I10" i="50"/>
  <c r="H10" i="50"/>
  <c r="N9" i="50"/>
  <c r="M9" i="50"/>
  <c r="O9" i="50" s="1"/>
  <c r="L9" i="50"/>
  <c r="J9" i="50"/>
  <c r="I9" i="50"/>
  <c r="H9" i="50"/>
  <c r="M8" i="50"/>
  <c r="O8" i="50" s="1"/>
  <c r="L8" i="50"/>
  <c r="N8" i="50" s="1"/>
  <c r="J8" i="50"/>
  <c r="I8" i="50"/>
  <c r="H8" i="50"/>
  <c r="D38" i="49"/>
  <c r="C38" i="49"/>
  <c r="L31" i="49"/>
  <c r="N31" i="49" s="1"/>
  <c r="I31" i="49"/>
  <c r="H31" i="49"/>
  <c r="L30" i="49"/>
  <c r="N30" i="49" s="1"/>
  <c r="I30" i="49"/>
  <c r="H30" i="49"/>
  <c r="O29" i="49"/>
  <c r="M29" i="49"/>
  <c r="L29" i="49"/>
  <c r="N29" i="49" s="1"/>
  <c r="J29" i="49"/>
  <c r="I29" i="49"/>
  <c r="H29" i="49"/>
  <c r="M28" i="49"/>
  <c r="O28" i="49" s="1"/>
  <c r="L28" i="49"/>
  <c r="N28" i="49" s="1"/>
  <c r="J28" i="49"/>
  <c r="I28" i="49"/>
  <c r="H28" i="49"/>
  <c r="N27" i="49"/>
  <c r="M27" i="49"/>
  <c r="O27" i="49" s="1"/>
  <c r="L27" i="49"/>
  <c r="J27" i="49"/>
  <c r="I27" i="49"/>
  <c r="H27" i="49"/>
  <c r="M26" i="49"/>
  <c r="O26" i="49" s="1"/>
  <c r="L26" i="49"/>
  <c r="N26" i="49" s="1"/>
  <c r="J26" i="49"/>
  <c r="I26" i="49"/>
  <c r="H26" i="49"/>
  <c r="M25" i="49"/>
  <c r="O25" i="49" s="1"/>
  <c r="L25" i="49"/>
  <c r="N25" i="49" s="1"/>
  <c r="J25" i="49"/>
  <c r="I25" i="49"/>
  <c r="H25" i="49"/>
  <c r="L24" i="49"/>
  <c r="N24" i="49" s="1"/>
  <c r="I24" i="49"/>
  <c r="H24" i="49"/>
  <c r="M23" i="49"/>
  <c r="O23" i="49" s="1"/>
  <c r="L23" i="49"/>
  <c r="N23" i="49" s="1"/>
  <c r="J23" i="49"/>
  <c r="I23" i="49"/>
  <c r="H23" i="49"/>
  <c r="M22" i="49"/>
  <c r="O22" i="49" s="1"/>
  <c r="L22" i="49"/>
  <c r="N22" i="49" s="1"/>
  <c r="J22" i="49"/>
  <c r="I22" i="49"/>
  <c r="H22" i="49"/>
  <c r="M21" i="49"/>
  <c r="L21" i="49"/>
  <c r="N21" i="49" s="1"/>
  <c r="J21" i="49"/>
  <c r="I21" i="49"/>
  <c r="H21" i="49"/>
  <c r="M20" i="49"/>
  <c r="L20" i="49"/>
  <c r="N20" i="49" s="1"/>
  <c r="J20" i="49"/>
  <c r="I20" i="49"/>
  <c r="H20" i="49"/>
  <c r="M19" i="49"/>
  <c r="L19" i="49"/>
  <c r="N19" i="49" s="1"/>
  <c r="J19" i="49"/>
  <c r="I19" i="49"/>
  <c r="H19" i="49"/>
  <c r="L18" i="49"/>
  <c r="N18" i="49" s="1"/>
  <c r="I18" i="49"/>
  <c r="H18" i="49"/>
  <c r="N17" i="49"/>
  <c r="L17" i="49"/>
  <c r="I17" i="49"/>
  <c r="H17" i="49"/>
  <c r="M16" i="49"/>
  <c r="O16" i="49" s="1"/>
  <c r="L16" i="49"/>
  <c r="N16" i="49" s="1"/>
  <c r="J16" i="49"/>
  <c r="I16" i="49"/>
  <c r="H16" i="49"/>
  <c r="M15" i="49"/>
  <c r="O15" i="49" s="1"/>
  <c r="L15" i="49"/>
  <c r="N15" i="49" s="1"/>
  <c r="J15" i="49"/>
  <c r="I15" i="49"/>
  <c r="H15" i="49"/>
  <c r="M14" i="49"/>
  <c r="O14" i="49" s="1"/>
  <c r="L14" i="49"/>
  <c r="N14" i="49" s="1"/>
  <c r="J14" i="49"/>
  <c r="I14" i="49"/>
  <c r="H14" i="49"/>
  <c r="M13" i="49"/>
  <c r="O13" i="49" s="1"/>
  <c r="L13" i="49"/>
  <c r="N13" i="49" s="1"/>
  <c r="J13" i="49"/>
  <c r="I13" i="49"/>
  <c r="H13" i="49"/>
  <c r="M12" i="49"/>
  <c r="O12" i="49" s="1"/>
  <c r="L12" i="49"/>
  <c r="N12" i="49" s="1"/>
  <c r="J12" i="49"/>
  <c r="I12" i="49"/>
  <c r="H12" i="49"/>
  <c r="M11" i="49"/>
  <c r="O11" i="49" s="1"/>
  <c r="L11" i="49"/>
  <c r="N11" i="49" s="1"/>
  <c r="J11" i="49"/>
  <c r="I11" i="49"/>
  <c r="H11" i="49"/>
  <c r="M10" i="49"/>
  <c r="O10" i="49" s="1"/>
  <c r="L10" i="49"/>
  <c r="N10" i="49" s="1"/>
  <c r="J10" i="49"/>
  <c r="I10" i="49"/>
  <c r="H10" i="49"/>
  <c r="M9" i="49"/>
  <c r="O9" i="49" s="1"/>
  <c r="L9" i="49"/>
  <c r="N9" i="49" s="1"/>
  <c r="J9" i="49"/>
  <c r="I9" i="49"/>
  <c r="H9" i="49"/>
  <c r="O8" i="49"/>
  <c r="M8" i="49"/>
  <c r="L8" i="49"/>
  <c r="N8" i="49" s="1"/>
  <c r="J8" i="49"/>
  <c r="I8" i="49"/>
  <c r="H8" i="49"/>
  <c r="D38" i="48"/>
  <c r="C38" i="48"/>
  <c r="L31" i="48"/>
  <c r="N31" i="48" s="1"/>
  <c r="I31" i="48"/>
  <c r="H31" i="48"/>
  <c r="G31" i="48"/>
  <c r="J31" i="48" s="1"/>
  <c r="L30" i="48"/>
  <c r="N30" i="48" s="1"/>
  <c r="I30" i="48"/>
  <c r="H30" i="48"/>
  <c r="N29" i="48"/>
  <c r="M29" i="48"/>
  <c r="O29" i="48" s="1"/>
  <c r="L29" i="48"/>
  <c r="J29" i="48"/>
  <c r="I29" i="48"/>
  <c r="H29" i="48"/>
  <c r="O28" i="48"/>
  <c r="M28" i="48"/>
  <c r="L28" i="48"/>
  <c r="N28" i="48" s="1"/>
  <c r="J28" i="48"/>
  <c r="I28" i="48"/>
  <c r="H28" i="48"/>
  <c r="M27" i="48"/>
  <c r="O27" i="48" s="1"/>
  <c r="L27" i="48"/>
  <c r="N27" i="48" s="1"/>
  <c r="J27" i="48"/>
  <c r="I27" i="48"/>
  <c r="H27" i="48"/>
  <c r="M26" i="48"/>
  <c r="O26" i="48" s="1"/>
  <c r="L26" i="48"/>
  <c r="N26" i="48" s="1"/>
  <c r="J26" i="48"/>
  <c r="I26" i="48"/>
  <c r="H26" i="48"/>
  <c r="M25" i="48"/>
  <c r="O25" i="48" s="1"/>
  <c r="L25" i="48"/>
  <c r="N25" i="48" s="1"/>
  <c r="J25" i="48"/>
  <c r="I25" i="48"/>
  <c r="H25" i="48"/>
  <c r="L24" i="48"/>
  <c r="N24" i="48" s="1"/>
  <c r="I24" i="48"/>
  <c r="H24" i="48"/>
  <c r="O23" i="48"/>
  <c r="M23" i="48"/>
  <c r="L23" i="48"/>
  <c r="N23" i="48" s="1"/>
  <c r="J23" i="48"/>
  <c r="I23" i="48"/>
  <c r="H23" i="48"/>
  <c r="M22" i="48"/>
  <c r="O22" i="48" s="1"/>
  <c r="L22" i="48"/>
  <c r="N22" i="48" s="1"/>
  <c r="J22" i="48"/>
  <c r="I22" i="48"/>
  <c r="H22" i="48"/>
  <c r="M21" i="48"/>
  <c r="L21" i="48"/>
  <c r="N21" i="48" s="1"/>
  <c r="J21" i="48"/>
  <c r="I21" i="48"/>
  <c r="H21" i="48"/>
  <c r="M20" i="48"/>
  <c r="L20" i="48"/>
  <c r="N20" i="48" s="1"/>
  <c r="J20" i="48"/>
  <c r="I20" i="48"/>
  <c r="H20" i="48"/>
  <c r="M19" i="48"/>
  <c r="L19" i="48"/>
  <c r="N19" i="48" s="1"/>
  <c r="J19" i="48"/>
  <c r="I19" i="48"/>
  <c r="H19" i="48"/>
  <c r="L18" i="48"/>
  <c r="N18" i="48" s="1"/>
  <c r="I18" i="48"/>
  <c r="H18" i="48"/>
  <c r="N17" i="48"/>
  <c r="L17" i="48"/>
  <c r="I17" i="48"/>
  <c r="H17" i="48"/>
  <c r="O16" i="48"/>
  <c r="M16" i="48"/>
  <c r="L16" i="48"/>
  <c r="N16" i="48" s="1"/>
  <c r="J16" i="48"/>
  <c r="I16" i="48"/>
  <c r="H16" i="48"/>
  <c r="M15" i="48"/>
  <c r="O15" i="48" s="1"/>
  <c r="L15" i="48"/>
  <c r="N15" i="48" s="1"/>
  <c r="J15" i="48"/>
  <c r="I15" i="48"/>
  <c r="H15" i="48"/>
  <c r="M14" i="48"/>
  <c r="O14" i="48" s="1"/>
  <c r="L14" i="48"/>
  <c r="N14" i="48" s="1"/>
  <c r="J14" i="48"/>
  <c r="I14" i="48"/>
  <c r="H14" i="48"/>
  <c r="M13" i="48"/>
  <c r="O13" i="48" s="1"/>
  <c r="L13" i="48"/>
  <c r="N13" i="48" s="1"/>
  <c r="J13" i="48"/>
  <c r="I13" i="48"/>
  <c r="H13" i="48"/>
  <c r="M12" i="48"/>
  <c r="O12" i="48" s="1"/>
  <c r="L12" i="48"/>
  <c r="N12" i="48" s="1"/>
  <c r="J12" i="48"/>
  <c r="I12" i="48"/>
  <c r="H12" i="48"/>
  <c r="M11" i="48"/>
  <c r="O11" i="48" s="1"/>
  <c r="L11" i="48"/>
  <c r="N11" i="48" s="1"/>
  <c r="J11" i="48"/>
  <c r="I11" i="48"/>
  <c r="H11" i="48"/>
  <c r="M10" i="48"/>
  <c r="O10" i="48" s="1"/>
  <c r="L10" i="48"/>
  <c r="N10" i="48" s="1"/>
  <c r="J10" i="48"/>
  <c r="I10" i="48"/>
  <c r="H10" i="48"/>
  <c r="M9" i="48"/>
  <c r="O9" i="48" s="1"/>
  <c r="L9" i="48"/>
  <c r="N9" i="48" s="1"/>
  <c r="J9" i="48"/>
  <c r="I9" i="48"/>
  <c r="H9" i="48"/>
  <c r="M8" i="48"/>
  <c r="O8" i="48" s="1"/>
  <c r="L8" i="48"/>
  <c r="N8" i="48" s="1"/>
  <c r="J8" i="48"/>
  <c r="I8" i="48"/>
  <c r="H8" i="48"/>
  <c r="F38" i="47"/>
  <c r="E38" i="47"/>
  <c r="N31" i="47"/>
  <c r="P31" i="47" s="1"/>
  <c r="K31" i="47"/>
  <c r="J31" i="47"/>
  <c r="P30" i="47"/>
  <c r="N30" i="47"/>
  <c r="K30" i="47"/>
  <c r="J30" i="47"/>
  <c r="O29" i="47"/>
  <c r="Q29" i="47" s="1"/>
  <c r="N29" i="47"/>
  <c r="P29" i="47" s="1"/>
  <c r="L29" i="47"/>
  <c r="K29" i="47"/>
  <c r="J29" i="47"/>
  <c r="P28" i="47"/>
  <c r="O28" i="47"/>
  <c r="Q28" i="47" s="1"/>
  <c r="N28" i="47"/>
  <c r="L28" i="47"/>
  <c r="K28" i="47"/>
  <c r="J28" i="47"/>
  <c r="O27" i="47"/>
  <c r="Q27" i="47" s="1"/>
  <c r="N27" i="47"/>
  <c r="P27" i="47" s="1"/>
  <c r="L27" i="47"/>
  <c r="K27" i="47"/>
  <c r="J27" i="47"/>
  <c r="O26" i="47"/>
  <c r="Q26" i="47" s="1"/>
  <c r="N26" i="47"/>
  <c r="P26" i="47" s="1"/>
  <c r="L26" i="47"/>
  <c r="K26" i="47"/>
  <c r="J26" i="47"/>
  <c r="O25" i="47"/>
  <c r="Q25" i="47" s="1"/>
  <c r="N25" i="47"/>
  <c r="P25" i="47" s="1"/>
  <c r="L25" i="47"/>
  <c r="K25" i="47"/>
  <c r="J25" i="47"/>
  <c r="N24" i="47"/>
  <c r="P24" i="47" s="1"/>
  <c r="K24" i="47"/>
  <c r="J24" i="47"/>
  <c r="O23" i="47"/>
  <c r="Q23" i="47" s="1"/>
  <c r="N23" i="47"/>
  <c r="P23" i="47" s="1"/>
  <c r="L23" i="47"/>
  <c r="K23" i="47"/>
  <c r="J23" i="47"/>
  <c r="Q22" i="47"/>
  <c r="O22" i="47"/>
  <c r="N22" i="47"/>
  <c r="P22" i="47" s="1"/>
  <c r="L22" i="47"/>
  <c r="K22" i="47"/>
  <c r="J22" i="47"/>
  <c r="O21" i="47"/>
  <c r="N21" i="47"/>
  <c r="P21" i="47" s="1"/>
  <c r="L21" i="47"/>
  <c r="K21" i="47"/>
  <c r="J21" i="47"/>
  <c r="P20" i="47"/>
  <c r="O20" i="47"/>
  <c r="N20" i="47"/>
  <c r="L20" i="47"/>
  <c r="K20" i="47"/>
  <c r="J20" i="47"/>
  <c r="O19" i="47"/>
  <c r="N19" i="47"/>
  <c r="P19" i="47" s="1"/>
  <c r="L19" i="47"/>
  <c r="K19" i="47"/>
  <c r="J19" i="47"/>
  <c r="N18" i="47"/>
  <c r="P18" i="47" s="1"/>
  <c r="K18" i="47"/>
  <c r="J18" i="47"/>
  <c r="N17" i="47"/>
  <c r="P17" i="47" s="1"/>
  <c r="K17" i="47"/>
  <c r="J17" i="47"/>
  <c r="P16" i="47"/>
  <c r="O16" i="47"/>
  <c r="Q16" i="47" s="1"/>
  <c r="N16" i="47"/>
  <c r="L16" i="47"/>
  <c r="K16" i="47"/>
  <c r="J16" i="47"/>
  <c r="O15" i="47"/>
  <c r="Q15" i="47" s="1"/>
  <c r="N15" i="47"/>
  <c r="P15" i="47" s="1"/>
  <c r="L15" i="47"/>
  <c r="K15" i="47"/>
  <c r="J15" i="47"/>
  <c r="O14" i="47"/>
  <c r="Q14" i="47" s="1"/>
  <c r="N14" i="47"/>
  <c r="P14" i="47" s="1"/>
  <c r="L14" i="47"/>
  <c r="K14" i="47"/>
  <c r="J14" i="47"/>
  <c r="O13" i="47"/>
  <c r="Q13" i="47" s="1"/>
  <c r="N13" i="47"/>
  <c r="P13" i="47" s="1"/>
  <c r="L13" i="47"/>
  <c r="K13" i="47"/>
  <c r="J13" i="47"/>
  <c r="O12" i="47"/>
  <c r="Q12" i="47" s="1"/>
  <c r="N12" i="47"/>
  <c r="P12" i="47" s="1"/>
  <c r="L12" i="47"/>
  <c r="K12" i="47"/>
  <c r="J12" i="47"/>
  <c r="O11" i="47"/>
  <c r="Q11" i="47" s="1"/>
  <c r="N11" i="47"/>
  <c r="P11" i="47" s="1"/>
  <c r="L11" i="47"/>
  <c r="K11" i="47"/>
  <c r="J11" i="47"/>
  <c r="O10" i="47"/>
  <c r="Q10" i="47" s="1"/>
  <c r="N10" i="47"/>
  <c r="P10" i="47" s="1"/>
  <c r="L10" i="47"/>
  <c r="K10" i="47"/>
  <c r="J10" i="47"/>
  <c r="Q9" i="47"/>
  <c r="O9" i="47"/>
  <c r="N9" i="47"/>
  <c r="P9" i="47" s="1"/>
  <c r="L9" i="47"/>
  <c r="K9" i="47"/>
  <c r="J9" i="47"/>
  <c r="O8" i="47"/>
  <c r="Q8" i="47" s="1"/>
  <c r="N8" i="47"/>
  <c r="P8" i="47" s="1"/>
  <c r="L8" i="47"/>
  <c r="K8" i="47"/>
  <c r="J8" i="47"/>
  <c r="D38" i="46"/>
  <c r="C38" i="46"/>
  <c r="L31" i="46"/>
  <c r="N31" i="46" s="1"/>
  <c r="I31" i="46"/>
  <c r="H31" i="46"/>
  <c r="N30" i="46"/>
  <c r="L30" i="46"/>
  <c r="I30" i="46"/>
  <c r="H30" i="46"/>
  <c r="M29" i="46"/>
  <c r="O29" i="46" s="1"/>
  <c r="L29" i="46"/>
  <c r="N29" i="46" s="1"/>
  <c r="J29" i="46"/>
  <c r="I29" i="46"/>
  <c r="H29" i="46"/>
  <c r="M28" i="46"/>
  <c r="O28" i="46" s="1"/>
  <c r="L28" i="46"/>
  <c r="N28" i="46" s="1"/>
  <c r="J28" i="46"/>
  <c r="I28" i="46"/>
  <c r="H28" i="46"/>
  <c r="M27" i="46"/>
  <c r="O27" i="46" s="1"/>
  <c r="L27" i="46"/>
  <c r="N27" i="46" s="1"/>
  <c r="J27" i="46"/>
  <c r="I27" i="46"/>
  <c r="H27" i="46"/>
  <c r="M26" i="46"/>
  <c r="O26" i="46" s="1"/>
  <c r="L26" i="46"/>
  <c r="N26" i="46" s="1"/>
  <c r="J26" i="46"/>
  <c r="I26" i="46"/>
  <c r="H26" i="46"/>
  <c r="M25" i="46"/>
  <c r="O25" i="46" s="1"/>
  <c r="L25" i="46"/>
  <c r="N25" i="46" s="1"/>
  <c r="J25" i="46"/>
  <c r="I25" i="46"/>
  <c r="H25" i="46"/>
  <c r="L24" i="46"/>
  <c r="N24" i="46" s="1"/>
  <c r="I24" i="46"/>
  <c r="H24" i="46"/>
  <c r="M23" i="46"/>
  <c r="O23" i="46" s="1"/>
  <c r="L23" i="46"/>
  <c r="N23" i="46" s="1"/>
  <c r="J23" i="46"/>
  <c r="I23" i="46"/>
  <c r="H23" i="46"/>
  <c r="M22" i="46"/>
  <c r="O22" i="46" s="1"/>
  <c r="L22" i="46"/>
  <c r="N22" i="46" s="1"/>
  <c r="J22" i="46"/>
  <c r="I22" i="46"/>
  <c r="H22" i="46"/>
  <c r="M21" i="46"/>
  <c r="O21" i="46" s="1"/>
  <c r="L21" i="46"/>
  <c r="N21" i="46" s="1"/>
  <c r="J21" i="46"/>
  <c r="I21" i="46"/>
  <c r="H21" i="46"/>
  <c r="M20" i="46"/>
  <c r="O20" i="46" s="1"/>
  <c r="L20" i="46"/>
  <c r="N20" i="46" s="1"/>
  <c r="J20" i="46"/>
  <c r="I20" i="46"/>
  <c r="H20" i="46"/>
  <c r="M19" i="46"/>
  <c r="O19" i="46" s="1"/>
  <c r="L19" i="46"/>
  <c r="N19" i="46" s="1"/>
  <c r="J19" i="46"/>
  <c r="I19" i="46"/>
  <c r="H19" i="46"/>
  <c r="L18" i="46"/>
  <c r="N18" i="46" s="1"/>
  <c r="I18" i="46"/>
  <c r="H18" i="46"/>
  <c r="N17" i="46"/>
  <c r="L17" i="46"/>
  <c r="I17" i="46"/>
  <c r="H17" i="46"/>
  <c r="N16" i="46"/>
  <c r="M16" i="46"/>
  <c r="O16" i="46" s="1"/>
  <c r="L16" i="46"/>
  <c r="J16" i="46"/>
  <c r="I16" i="46"/>
  <c r="H16" i="46"/>
  <c r="M15" i="46"/>
  <c r="O15" i="46" s="1"/>
  <c r="L15" i="46"/>
  <c r="N15" i="46" s="1"/>
  <c r="J15" i="46"/>
  <c r="I15" i="46"/>
  <c r="H15" i="46"/>
  <c r="M14" i="46"/>
  <c r="O14" i="46" s="1"/>
  <c r="L14" i="46"/>
  <c r="N14" i="46" s="1"/>
  <c r="J14" i="46"/>
  <c r="I14" i="46"/>
  <c r="H14" i="46"/>
  <c r="M13" i="46"/>
  <c r="O13" i="46" s="1"/>
  <c r="L13" i="46"/>
  <c r="N13" i="46" s="1"/>
  <c r="J13" i="46"/>
  <c r="I13" i="46"/>
  <c r="H13" i="46"/>
  <c r="M12" i="46"/>
  <c r="O12" i="46" s="1"/>
  <c r="L12" i="46"/>
  <c r="N12" i="46" s="1"/>
  <c r="J12" i="46"/>
  <c r="I12" i="46"/>
  <c r="H12" i="46"/>
  <c r="M11" i="46"/>
  <c r="O11" i="46" s="1"/>
  <c r="L11" i="46"/>
  <c r="N11" i="46" s="1"/>
  <c r="J11" i="46"/>
  <c r="I11" i="46"/>
  <c r="H11" i="46"/>
  <c r="M10" i="46"/>
  <c r="O10" i="46" s="1"/>
  <c r="L10" i="46"/>
  <c r="N10" i="46" s="1"/>
  <c r="J10" i="46"/>
  <c r="I10" i="46"/>
  <c r="H10" i="46"/>
  <c r="M9" i="46"/>
  <c r="O9" i="46" s="1"/>
  <c r="L9" i="46"/>
  <c r="N9" i="46" s="1"/>
  <c r="J9" i="46"/>
  <c r="I9" i="46"/>
  <c r="H9" i="46"/>
  <c r="M8" i="46"/>
  <c r="O8" i="46" s="1"/>
  <c r="L8" i="46"/>
  <c r="N8" i="46" s="1"/>
  <c r="J8" i="46"/>
  <c r="I8" i="46"/>
  <c r="H8" i="46"/>
  <c r="D38" i="45"/>
  <c r="C38" i="45"/>
  <c r="L31" i="45"/>
  <c r="N31" i="45" s="1"/>
  <c r="I31" i="45"/>
  <c r="H31" i="45"/>
  <c r="L30" i="45"/>
  <c r="N30" i="45" s="1"/>
  <c r="I30" i="45"/>
  <c r="H30" i="45"/>
  <c r="M29" i="45"/>
  <c r="O29" i="45" s="1"/>
  <c r="L29" i="45"/>
  <c r="N29" i="45" s="1"/>
  <c r="J29" i="45"/>
  <c r="I29" i="45"/>
  <c r="H29" i="45"/>
  <c r="M28" i="45"/>
  <c r="O28" i="45" s="1"/>
  <c r="L28" i="45"/>
  <c r="N28" i="45" s="1"/>
  <c r="J28" i="45"/>
  <c r="I28" i="45"/>
  <c r="H28" i="45"/>
  <c r="M27" i="45"/>
  <c r="O27" i="45" s="1"/>
  <c r="L27" i="45"/>
  <c r="N27" i="45" s="1"/>
  <c r="J27" i="45"/>
  <c r="I27" i="45"/>
  <c r="H27" i="45"/>
  <c r="M26" i="45"/>
  <c r="O26" i="45" s="1"/>
  <c r="L26" i="45"/>
  <c r="N26" i="45" s="1"/>
  <c r="J26" i="45"/>
  <c r="I26" i="45"/>
  <c r="H26" i="45"/>
  <c r="M25" i="45"/>
  <c r="O25" i="45" s="1"/>
  <c r="L25" i="45"/>
  <c r="N25" i="45" s="1"/>
  <c r="J25" i="45"/>
  <c r="I25" i="45"/>
  <c r="H25" i="45"/>
  <c r="L24" i="45"/>
  <c r="N24" i="45" s="1"/>
  <c r="I24" i="45"/>
  <c r="H24" i="45"/>
  <c r="M23" i="45"/>
  <c r="O23" i="45" s="1"/>
  <c r="L23" i="45"/>
  <c r="N23" i="45" s="1"/>
  <c r="J23" i="45"/>
  <c r="I23" i="45"/>
  <c r="H23" i="45"/>
  <c r="M22" i="45"/>
  <c r="O22" i="45" s="1"/>
  <c r="L22" i="45"/>
  <c r="N22" i="45" s="1"/>
  <c r="J22" i="45"/>
  <c r="I22" i="45"/>
  <c r="H22" i="45"/>
  <c r="O21" i="45"/>
  <c r="M21" i="45"/>
  <c r="L21" i="45"/>
  <c r="N21" i="45" s="1"/>
  <c r="J21" i="45"/>
  <c r="I21" i="45"/>
  <c r="H21" i="45"/>
  <c r="M20" i="45"/>
  <c r="O20" i="45" s="1"/>
  <c r="L20" i="45"/>
  <c r="N20" i="45" s="1"/>
  <c r="J20" i="45"/>
  <c r="I20" i="45"/>
  <c r="H20" i="45"/>
  <c r="M19" i="45"/>
  <c r="O19" i="45" s="1"/>
  <c r="L19" i="45"/>
  <c r="N19" i="45" s="1"/>
  <c r="J19" i="45"/>
  <c r="I19" i="45"/>
  <c r="H19" i="45"/>
  <c r="L18" i="45"/>
  <c r="N18" i="45" s="1"/>
  <c r="I18" i="45"/>
  <c r="H18" i="45"/>
  <c r="L17" i="45"/>
  <c r="N17" i="45" s="1"/>
  <c r="I17" i="45"/>
  <c r="H17" i="45"/>
  <c r="M16" i="45"/>
  <c r="O16" i="45" s="1"/>
  <c r="L16" i="45"/>
  <c r="N16" i="45" s="1"/>
  <c r="J16" i="45"/>
  <c r="I16" i="45"/>
  <c r="H16" i="45"/>
  <c r="M15" i="45"/>
  <c r="O15" i="45" s="1"/>
  <c r="L15" i="45"/>
  <c r="N15" i="45" s="1"/>
  <c r="J15" i="45"/>
  <c r="I15" i="45"/>
  <c r="H15" i="45"/>
  <c r="M14" i="45"/>
  <c r="O14" i="45" s="1"/>
  <c r="L14" i="45"/>
  <c r="N14" i="45" s="1"/>
  <c r="J14" i="45"/>
  <c r="I14" i="45"/>
  <c r="H14" i="45"/>
  <c r="M13" i="45"/>
  <c r="O13" i="45" s="1"/>
  <c r="L13" i="45"/>
  <c r="N13" i="45" s="1"/>
  <c r="J13" i="45"/>
  <c r="I13" i="45"/>
  <c r="H13" i="45"/>
  <c r="M12" i="45"/>
  <c r="O12" i="45" s="1"/>
  <c r="L12" i="45"/>
  <c r="N12" i="45" s="1"/>
  <c r="J12" i="45"/>
  <c r="I12" i="45"/>
  <c r="H12" i="45"/>
  <c r="M11" i="45"/>
  <c r="O11" i="45" s="1"/>
  <c r="L11" i="45"/>
  <c r="N11" i="45" s="1"/>
  <c r="J11" i="45"/>
  <c r="I11" i="45"/>
  <c r="H11" i="45"/>
  <c r="M10" i="45"/>
  <c r="O10" i="45" s="1"/>
  <c r="L10" i="45"/>
  <c r="N10" i="45" s="1"/>
  <c r="J10" i="45"/>
  <c r="I10" i="45"/>
  <c r="H10" i="45"/>
  <c r="M9" i="45"/>
  <c r="O9" i="45" s="1"/>
  <c r="L9" i="45"/>
  <c r="N9" i="45" s="1"/>
  <c r="J9" i="45"/>
  <c r="I9" i="45"/>
  <c r="H9" i="45"/>
  <c r="M8" i="45"/>
  <c r="O8" i="45" s="1"/>
  <c r="L8" i="45"/>
  <c r="N8" i="45" s="1"/>
  <c r="J8" i="45"/>
  <c r="I8" i="45"/>
  <c r="H8" i="45"/>
  <c r="C38" i="44"/>
  <c r="D38" i="44"/>
  <c r="L31" i="44"/>
  <c r="N31" i="44" s="1"/>
  <c r="I31" i="44"/>
  <c r="H31" i="44"/>
  <c r="L30" i="44"/>
  <c r="N30" i="44" s="1"/>
  <c r="I30" i="44"/>
  <c r="H30" i="44"/>
  <c r="M29" i="44"/>
  <c r="O29" i="44" s="1"/>
  <c r="L29" i="44"/>
  <c r="N29" i="44" s="1"/>
  <c r="J29" i="44"/>
  <c r="I29" i="44"/>
  <c r="H29" i="44"/>
  <c r="M28" i="44"/>
  <c r="O28" i="44" s="1"/>
  <c r="L28" i="44"/>
  <c r="N28" i="44" s="1"/>
  <c r="J28" i="44"/>
  <c r="I28" i="44"/>
  <c r="H28" i="44"/>
  <c r="M27" i="44"/>
  <c r="O27" i="44" s="1"/>
  <c r="L27" i="44"/>
  <c r="N27" i="44" s="1"/>
  <c r="J27" i="44"/>
  <c r="I27" i="44"/>
  <c r="H27" i="44"/>
  <c r="M26" i="44"/>
  <c r="O26" i="44" s="1"/>
  <c r="L26" i="44"/>
  <c r="N26" i="44" s="1"/>
  <c r="J26" i="44"/>
  <c r="I26" i="44"/>
  <c r="H26" i="44"/>
  <c r="N25" i="44"/>
  <c r="M25" i="44"/>
  <c r="O25" i="44" s="1"/>
  <c r="L25" i="44"/>
  <c r="J25" i="44"/>
  <c r="I25" i="44"/>
  <c r="H25" i="44"/>
  <c r="N24" i="44"/>
  <c r="L24" i="44"/>
  <c r="I24" i="44"/>
  <c r="H24" i="44"/>
  <c r="M23" i="44"/>
  <c r="O23" i="44" s="1"/>
  <c r="L23" i="44"/>
  <c r="N23" i="44" s="1"/>
  <c r="J23" i="44"/>
  <c r="I23" i="44"/>
  <c r="H23" i="44"/>
  <c r="M22" i="44"/>
  <c r="O22" i="44" s="1"/>
  <c r="L22" i="44"/>
  <c r="N22" i="44" s="1"/>
  <c r="J22" i="44"/>
  <c r="I22" i="44"/>
  <c r="H22" i="44"/>
  <c r="M21" i="44"/>
  <c r="O21" i="44" s="1"/>
  <c r="L21" i="44"/>
  <c r="N21" i="44" s="1"/>
  <c r="J21" i="44"/>
  <c r="I21" i="44"/>
  <c r="H21" i="44"/>
  <c r="M20" i="44"/>
  <c r="O20" i="44" s="1"/>
  <c r="L20" i="44"/>
  <c r="N20" i="44" s="1"/>
  <c r="J20" i="44"/>
  <c r="I20" i="44"/>
  <c r="H20" i="44"/>
  <c r="M19" i="44"/>
  <c r="O19" i="44" s="1"/>
  <c r="L19" i="44"/>
  <c r="N19" i="44" s="1"/>
  <c r="J19" i="44"/>
  <c r="I19" i="44"/>
  <c r="H19" i="44"/>
  <c r="L18" i="44"/>
  <c r="N18" i="44" s="1"/>
  <c r="I18" i="44"/>
  <c r="H18" i="44"/>
  <c r="L17" i="44"/>
  <c r="N17" i="44" s="1"/>
  <c r="I17" i="44"/>
  <c r="H17" i="44"/>
  <c r="N16" i="44"/>
  <c r="L16" i="44"/>
  <c r="I16" i="44"/>
  <c r="H16" i="44"/>
  <c r="M16" i="44"/>
  <c r="O16" i="44" s="1"/>
  <c r="M15" i="44"/>
  <c r="O15" i="44" s="1"/>
  <c r="L15" i="44"/>
  <c r="N15" i="44" s="1"/>
  <c r="J15" i="44"/>
  <c r="I15" i="44"/>
  <c r="H15" i="44"/>
  <c r="M14" i="44"/>
  <c r="O14" i="44" s="1"/>
  <c r="L14" i="44"/>
  <c r="N14" i="44" s="1"/>
  <c r="J14" i="44"/>
  <c r="I14" i="44"/>
  <c r="H14" i="44"/>
  <c r="M13" i="44"/>
  <c r="O13" i="44" s="1"/>
  <c r="L13" i="44"/>
  <c r="N13" i="44" s="1"/>
  <c r="J13" i="44"/>
  <c r="I13" i="44"/>
  <c r="H13" i="44"/>
  <c r="M12" i="44"/>
  <c r="O12" i="44" s="1"/>
  <c r="L12" i="44"/>
  <c r="N12" i="44" s="1"/>
  <c r="J12" i="44"/>
  <c r="I12" i="44"/>
  <c r="H12" i="44"/>
  <c r="N11" i="44"/>
  <c r="M11" i="44"/>
  <c r="O11" i="44" s="1"/>
  <c r="L11" i="44"/>
  <c r="J11" i="44"/>
  <c r="I11" i="44"/>
  <c r="H11" i="44"/>
  <c r="M10" i="44"/>
  <c r="O10" i="44" s="1"/>
  <c r="L10" i="44"/>
  <c r="N10" i="44" s="1"/>
  <c r="J10" i="44"/>
  <c r="I10" i="44"/>
  <c r="H10" i="44"/>
  <c r="M9" i="44"/>
  <c r="O9" i="44" s="1"/>
  <c r="L9" i="44"/>
  <c r="N9" i="44" s="1"/>
  <c r="J9" i="44"/>
  <c r="I9" i="44"/>
  <c r="H9" i="44"/>
  <c r="M8" i="44"/>
  <c r="O8" i="44" s="1"/>
  <c r="L8" i="44"/>
  <c r="N8" i="44" s="1"/>
  <c r="J8" i="44"/>
  <c r="I8" i="44"/>
  <c r="H8" i="44"/>
  <c r="F37" i="43"/>
  <c r="C37" i="43"/>
  <c r="L31" i="43"/>
  <c r="N31" i="43" s="1"/>
  <c r="I31" i="43"/>
  <c r="H31" i="43"/>
  <c r="L30" i="43"/>
  <c r="N30" i="43" s="1"/>
  <c r="I30" i="43"/>
  <c r="H30" i="43"/>
  <c r="M29" i="43"/>
  <c r="O29" i="43" s="1"/>
  <c r="L29" i="43"/>
  <c r="N29" i="43" s="1"/>
  <c r="J29" i="43"/>
  <c r="I29" i="43"/>
  <c r="H29" i="43"/>
  <c r="M28" i="43"/>
  <c r="O28" i="43" s="1"/>
  <c r="L28" i="43"/>
  <c r="N28" i="43" s="1"/>
  <c r="J28" i="43"/>
  <c r="I28" i="43"/>
  <c r="H28" i="43"/>
  <c r="M27" i="43"/>
  <c r="O27" i="43" s="1"/>
  <c r="L27" i="43"/>
  <c r="N27" i="43" s="1"/>
  <c r="J27" i="43"/>
  <c r="I27" i="43"/>
  <c r="H27" i="43"/>
  <c r="M26" i="43"/>
  <c r="O26" i="43" s="1"/>
  <c r="L26" i="43"/>
  <c r="N26" i="43" s="1"/>
  <c r="J26" i="43"/>
  <c r="I26" i="43"/>
  <c r="H26" i="43"/>
  <c r="N25" i="43"/>
  <c r="M25" i="43"/>
  <c r="O25" i="43" s="1"/>
  <c r="L25" i="43"/>
  <c r="J25" i="43"/>
  <c r="I25" i="43"/>
  <c r="H25" i="43"/>
  <c r="L24" i="43"/>
  <c r="N24" i="43" s="1"/>
  <c r="I24" i="43"/>
  <c r="H24" i="43"/>
  <c r="M23" i="43"/>
  <c r="O23" i="43" s="1"/>
  <c r="L23" i="43"/>
  <c r="N23" i="43" s="1"/>
  <c r="J23" i="43"/>
  <c r="I23" i="43"/>
  <c r="H23" i="43"/>
  <c r="M22" i="43"/>
  <c r="O22" i="43" s="1"/>
  <c r="L22" i="43"/>
  <c r="N22" i="43" s="1"/>
  <c r="J22" i="43"/>
  <c r="I22" i="43"/>
  <c r="H22" i="43"/>
  <c r="O21" i="43"/>
  <c r="M21" i="43"/>
  <c r="L21" i="43"/>
  <c r="N21" i="43" s="1"/>
  <c r="J21" i="43"/>
  <c r="I21" i="43"/>
  <c r="H21" i="43"/>
  <c r="M20" i="43"/>
  <c r="O20" i="43" s="1"/>
  <c r="L20" i="43"/>
  <c r="N20" i="43" s="1"/>
  <c r="J20" i="43"/>
  <c r="I20" i="43"/>
  <c r="H20" i="43"/>
  <c r="M19" i="43"/>
  <c r="O19" i="43" s="1"/>
  <c r="L19" i="43"/>
  <c r="N19" i="43" s="1"/>
  <c r="J19" i="43"/>
  <c r="I19" i="43"/>
  <c r="H19" i="43"/>
  <c r="L18" i="43"/>
  <c r="N18" i="43" s="1"/>
  <c r="I18" i="43"/>
  <c r="H18" i="43"/>
  <c r="L17" i="43"/>
  <c r="N17" i="43" s="1"/>
  <c r="I17" i="43"/>
  <c r="H17" i="43"/>
  <c r="L16" i="43"/>
  <c r="N16" i="43" s="1"/>
  <c r="I16" i="43"/>
  <c r="H16" i="43"/>
  <c r="M15" i="43"/>
  <c r="O15" i="43" s="1"/>
  <c r="L15" i="43"/>
  <c r="N15" i="43" s="1"/>
  <c r="J15" i="43"/>
  <c r="I15" i="43"/>
  <c r="H15" i="43"/>
  <c r="M14" i="43"/>
  <c r="O14" i="43" s="1"/>
  <c r="L14" i="43"/>
  <c r="N14" i="43" s="1"/>
  <c r="J14" i="43"/>
  <c r="I14" i="43"/>
  <c r="H14" i="43"/>
  <c r="M13" i="43"/>
  <c r="O13" i="43" s="1"/>
  <c r="L13" i="43"/>
  <c r="N13" i="43" s="1"/>
  <c r="J13" i="43"/>
  <c r="I13" i="43"/>
  <c r="H13" i="43"/>
  <c r="O12" i="43"/>
  <c r="M12" i="43"/>
  <c r="L12" i="43"/>
  <c r="N12" i="43" s="1"/>
  <c r="J12" i="43"/>
  <c r="I12" i="43"/>
  <c r="H12" i="43"/>
  <c r="M11" i="43"/>
  <c r="O11" i="43" s="1"/>
  <c r="L11" i="43"/>
  <c r="N11" i="43" s="1"/>
  <c r="J11" i="43"/>
  <c r="I11" i="43"/>
  <c r="H11" i="43"/>
  <c r="O10" i="43"/>
  <c r="M10" i="43"/>
  <c r="L10" i="43"/>
  <c r="N10" i="43" s="1"/>
  <c r="J10" i="43"/>
  <c r="I10" i="43"/>
  <c r="H10" i="43"/>
  <c r="O9" i="43"/>
  <c r="M9" i="43"/>
  <c r="L9" i="43"/>
  <c r="N9" i="43" s="1"/>
  <c r="J9" i="43"/>
  <c r="I9" i="43"/>
  <c r="H9" i="43"/>
  <c r="M8" i="43"/>
  <c r="O8" i="43" s="1"/>
  <c r="L8" i="43"/>
  <c r="N8" i="43" s="1"/>
  <c r="J8" i="43"/>
  <c r="I8" i="43"/>
  <c r="H8" i="43"/>
  <c r="I18" i="42"/>
  <c r="F37" i="42"/>
  <c r="C37" i="42"/>
  <c r="L31" i="42"/>
  <c r="N31" i="42" s="1"/>
  <c r="I31" i="42"/>
  <c r="H31" i="42"/>
  <c r="L30" i="42"/>
  <c r="N30" i="42" s="1"/>
  <c r="I30" i="42"/>
  <c r="H30" i="42"/>
  <c r="M29" i="42"/>
  <c r="O29" i="42" s="1"/>
  <c r="L29" i="42"/>
  <c r="N29" i="42" s="1"/>
  <c r="J29" i="42"/>
  <c r="I29" i="42"/>
  <c r="H29" i="42"/>
  <c r="O28" i="42"/>
  <c r="M28" i="42"/>
  <c r="L28" i="42"/>
  <c r="N28" i="42" s="1"/>
  <c r="J28" i="42"/>
  <c r="I28" i="42"/>
  <c r="H28" i="42"/>
  <c r="N27" i="42"/>
  <c r="M27" i="42"/>
  <c r="O27" i="42" s="1"/>
  <c r="L27" i="42"/>
  <c r="J27" i="42"/>
  <c r="I27" i="42"/>
  <c r="H27" i="42"/>
  <c r="M26" i="42"/>
  <c r="O26" i="42" s="1"/>
  <c r="L26" i="42"/>
  <c r="N26" i="42" s="1"/>
  <c r="J26" i="42"/>
  <c r="I26" i="42"/>
  <c r="H26" i="42"/>
  <c r="M25" i="42"/>
  <c r="O25" i="42" s="1"/>
  <c r="L25" i="42"/>
  <c r="N25" i="42" s="1"/>
  <c r="J25" i="42"/>
  <c r="I25" i="42"/>
  <c r="H25" i="42"/>
  <c r="L24" i="42"/>
  <c r="N24" i="42" s="1"/>
  <c r="I24" i="42"/>
  <c r="H24" i="42"/>
  <c r="M23" i="42"/>
  <c r="O23" i="42" s="1"/>
  <c r="L23" i="42"/>
  <c r="N23" i="42" s="1"/>
  <c r="J23" i="42"/>
  <c r="I23" i="42"/>
  <c r="H23" i="42"/>
  <c r="O22" i="42"/>
  <c r="M22" i="42"/>
  <c r="L22" i="42"/>
  <c r="N22" i="42" s="1"/>
  <c r="J22" i="42"/>
  <c r="I22" i="42"/>
  <c r="H22" i="42"/>
  <c r="M21" i="42"/>
  <c r="O21" i="42" s="1"/>
  <c r="L21" i="42"/>
  <c r="N21" i="42" s="1"/>
  <c r="J21" i="42"/>
  <c r="I21" i="42"/>
  <c r="H21" i="42"/>
  <c r="M20" i="42"/>
  <c r="O20" i="42" s="1"/>
  <c r="L20" i="42"/>
  <c r="N20" i="42" s="1"/>
  <c r="J20" i="42"/>
  <c r="I20" i="42"/>
  <c r="H20" i="42"/>
  <c r="M19" i="42"/>
  <c r="O19" i="42" s="1"/>
  <c r="L19" i="42"/>
  <c r="N19" i="42" s="1"/>
  <c r="J19" i="42"/>
  <c r="I19" i="42"/>
  <c r="H19" i="42"/>
  <c r="N18" i="42"/>
  <c r="L18" i="42"/>
  <c r="H18" i="42"/>
  <c r="L17" i="42"/>
  <c r="N17" i="42" s="1"/>
  <c r="I17" i="42"/>
  <c r="H17" i="42"/>
  <c r="L16" i="42"/>
  <c r="N16" i="42" s="1"/>
  <c r="I16" i="42"/>
  <c r="H16" i="42"/>
  <c r="M15" i="42"/>
  <c r="O15" i="42" s="1"/>
  <c r="L15" i="42"/>
  <c r="N15" i="42" s="1"/>
  <c r="J15" i="42"/>
  <c r="I15" i="42"/>
  <c r="H15" i="42"/>
  <c r="O14" i="42"/>
  <c r="M14" i="42"/>
  <c r="L14" i="42"/>
  <c r="N14" i="42" s="1"/>
  <c r="J14" i="42"/>
  <c r="I14" i="42"/>
  <c r="H14" i="42"/>
  <c r="M13" i="42"/>
  <c r="O13" i="42" s="1"/>
  <c r="L13" i="42"/>
  <c r="N13" i="42" s="1"/>
  <c r="J13" i="42"/>
  <c r="I13" i="42"/>
  <c r="H13" i="42"/>
  <c r="M12" i="42"/>
  <c r="O12" i="42" s="1"/>
  <c r="L12" i="42"/>
  <c r="N12" i="42" s="1"/>
  <c r="J12" i="42"/>
  <c r="I12" i="42"/>
  <c r="H12" i="42"/>
  <c r="M11" i="42"/>
  <c r="O11" i="42" s="1"/>
  <c r="L11" i="42"/>
  <c r="N11" i="42" s="1"/>
  <c r="J11" i="42"/>
  <c r="I11" i="42"/>
  <c r="H11" i="42"/>
  <c r="M10" i="42"/>
  <c r="O10" i="42" s="1"/>
  <c r="L10" i="42"/>
  <c r="N10" i="42" s="1"/>
  <c r="J10" i="42"/>
  <c r="I10" i="42"/>
  <c r="H10" i="42"/>
  <c r="M9" i="42"/>
  <c r="O9" i="42" s="1"/>
  <c r="L9" i="42"/>
  <c r="N9" i="42" s="1"/>
  <c r="J9" i="42"/>
  <c r="I9" i="42"/>
  <c r="H9" i="42"/>
  <c r="N8" i="42"/>
  <c r="M8" i="42"/>
  <c r="O8" i="42" s="1"/>
  <c r="L8" i="42"/>
  <c r="J8" i="42"/>
  <c r="I8" i="42"/>
  <c r="H8" i="42"/>
  <c r="F37" i="41"/>
  <c r="C37" i="41"/>
  <c r="N31" i="41"/>
  <c r="L31" i="41"/>
  <c r="I31" i="41"/>
  <c r="H31" i="41"/>
  <c r="N30" i="41"/>
  <c r="L30" i="41"/>
  <c r="I30" i="41"/>
  <c r="H30" i="41"/>
  <c r="M29" i="41"/>
  <c r="O29" i="41" s="1"/>
  <c r="L29" i="41"/>
  <c r="N29" i="41" s="1"/>
  <c r="J29" i="41"/>
  <c r="I29" i="41"/>
  <c r="H29" i="41"/>
  <c r="N28" i="41"/>
  <c r="M28" i="41"/>
  <c r="O28" i="41" s="1"/>
  <c r="L28" i="41"/>
  <c r="J28" i="41"/>
  <c r="I28" i="41"/>
  <c r="H28" i="41"/>
  <c r="M27" i="41"/>
  <c r="O27" i="41" s="1"/>
  <c r="L27" i="41"/>
  <c r="N27" i="41" s="1"/>
  <c r="J27" i="41"/>
  <c r="I27" i="41"/>
  <c r="H27" i="41"/>
  <c r="M26" i="41"/>
  <c r="O26" i="41" s="1"/>
  <c r="L26" i="41"/>
  <c r="N26" i="41" s="1"/>
  <c r="J26" i="41"/>
  <c r="I26" i="41"/>
  <c r="H26" i="41"/>
  <c r="M25" i="41"/>
  <c r="O25" i="41" s="1"/>
  <c r="L25" i="41"/>
  <c r="N25" i="41" s="1"/>
  <c r="J25" i="41"/>
  <c r="I25" i="41"/>
  <c r="H25" i="41"/>
  <c r="L24" i="41"/>
  <c r="N24" i="41" s="1"/>
  <c r="I24" i="41"/>
  <c r="H24" i="41"/>
  <c r="M23" i="41"/>
  <c r="O23" i="41" s="1"/>
  <c r="L23" i="41"/>
  <c r="N23" i="41" s="1"/>
  <c r="J23" i="41"/>
  <c r="I23" i="41"/>
  <c r="H23" i="41"/>
  <c r="M22" i="41"/>
  <c r="O22" i="41" s="1"/>
  <c r="L22" i="41"/>
  <c r="N22" i="41" s="1"/>
  <c r="J22" i="41"/>
  <c r="I22" i="41"/>
  <c r="H22" i="41"/>
  <c r="M21" i="41"/>
  <c r="O21" i="41" s="1"/>
  <c r="L21" i="41"/>
  <c r="N21" i="41" s="1"/>
  <c r="J21" i="41"/>
  <c r="I21" i="41"/>
  <c r="H21" i="41"/>
  <c r="M20" i="41"/>
  <c r="O20" i="41" s="1"/>
  <c r="L20" i="41"/>
  <c r="N20" i="41" s="1"/>
  <c r="J20" i="41"/>
  <c r="I20" i="41"/>
  <c r="H20" i="41"/>
  <c r="N19" i="41"/>
  <c r="M19" i="41"/>
  <c r="O19" i="41" s="1"/>
  <c r="L19" i="41"/>
  <c r="J19" i="41"/>
  <c r="I19" i="41"/>
  <c r="H19" i="41"/>
  <c r="L18" i="41"/>
  <c r="N18" i="41" s="1"/>
  <c r="I18" i="41"/>
  <c r="H18" i="41"/>
  <c r="L17" i="41"/>
  <c r="N17" i="41" s="1"/>
  <c r="I17" i="41"/>
  <c r="H17" i="41"/>
  <c r="N16" i="41"/>
  <c r="L16" i="41"/>
  <c r="I16" i="41"/>
  <c r="H16" i="41"/>
  <c r="M15" i="41"/>
  <c r="O15" i="41" s="1"/>
  <c r="L15" i="41"/>
  <c r="N15" i="41" s="1"/>
  <c r="J15" i="41"/>
  <c r="I15" i="41"/>
  <c r="H15" i="41"/>
  <c r="M14" i="41"/>
  <c r="O14" i="41" s="1"/>
  <c r="L14" i="41"/>
  <c r="N14" i="41" s="1"/>
  <c r="J14" i="41"/>
  <c r="I14" i="41"/>
  <c r="H14" i="41"/>
  <c r="M13" i="41"/>
  <c r="O13" i="41" s="1"/>
  <c r="L13" i="41"/>
  <c r="N13" i="41" s="1"/>
  <c r="J13" i="41"/>
  <c r="I13" i="41"/>
  <c r="H13" i="41"/>
  <c r="M12" i="41"/>
  <c r="O12" i="41" s="1"/>
  <c r="L12" i="41"/>
  <c r="N12" i="41" s="1"/>
  <c r="J12" i="41"/>
  <c r="I12" i="41"/>
  <c r="H12" i="41"/>
  <c r="N11" i="41"/>
  <c r="M11" i="41"/>
  <c r="O11" i="41" s="1"/>
  <c r="L11" i="41"/>
  <c r="J11" i="41"/>
  <c r="I11" i="41"/>
  <c r="H11" i="41"/>
  <c r="N10" i="41"/>
  <c r="M10" i="41"/>
  <c r="O10" i="41" s="1"/>
  <c r="L10" i="41"/>
  <c r="J10" i="41"/>
  <c r="I10" i="41"/>
  <c r="H10" i="41"/>
  <c r="M9" i="41"/>
  <c r="O9" i="41" s="1"/>
  <c r="L9" i="41"/>
  <c r="N9" i="41" s="1"/>
  <c r="J9" i="41"/>
  <c r="I9" i="41"/>
  <c r="H9" i="41"/>
  <c r="M8" i="41"/>
  <c r="O8" i="41" s="1"/>
  <c r="L8" i="41"/>
  <c r="N8" i="41" s="1"/>
  <c r="J8" i="41"/>
  <c r="I8" i="41"/>
  <c r="H8" i="41"/>
  <c r="F37" i="37"/>
  <c r="C37" i="37"/>
  <c r="L31" i="37"/>
  <c r="N31" i="37" s="1"/>
  <c r="I31" i="37"/>
  <c r="H31" i="37"/>
  <c r="L30" i="37"/>
  <c r="N30" i="37" s="1"/>
  <c r="I30" i="37"/>
  <c r="H30" i="37"/>
  <c r="O29" i="37"/>
  <c r="M29" i="37"/>
  <c r="L29" i="37"/>
  <c r="N29" i="37" s="1"/>
  <c r="J29" i="37"/>
  <c r="I29" i="37"/>
  <c r="H29" i="37"/>
  <c r="O28" i="37"/>
  <c r="M28" i="37"/>
  <c r="L28" i="37"/>
  <c r="N28" i="37" s="1"/>
  <c r="J28" i="37"/>
  <c r="I28" i="37"/>
  <c r="H28" i="37"/>
  <c r="O27" i="37"/>
  <c r="N27" i="37"/>
  <c r="M27" i="37"/>
  <c r="L27" i="37"/>
  <c r="J27" i="37"/>
  <c r="I27" i="37"/>
  <c r="H27" i="37"/>
  <c r="N26" i="37"/>
  <c r="M26" i="37"/>
  <c r="O26" i="37" s="1"/>
  <c r="L26" i="37"/>
  <c r="J26" i="37"/>
  <c r="I26" i="37"/>
  <c r="H26" i="37"/>
  <c r="M25" i="37"/>
  <c r="O25" i="37" s="1"/>
  <c r="L25" i="37"/>
  <c r="N25" i="37" s="1"/>
  <c r="J25" i="37"/>
  <c r="I25" i="37"/>
  <c r="H25" i="37"/>
  <c r="N24" i="37"/>
  <c r="L24" i="37"/>
  <c r="I24" i="37"/>
  <c r="H24" i="37"/>
  <c r="O23" i="37"/>
  <c r="N23" i="37"/>
  <c r="M23" i="37"/>
  <c r="L23" i="37"/>
  <c r="J23" i="37"/>
  <c r="I23" i="37"/>
  <c r="H23" i="37"/>
  <c r="O22" i="37"/>
  <c r="N22" i="37"/>
  <c r="M22" i="37"/>
  <c r="L22" i="37"/>
  <c r="J22" i="37"/>
  <c r="I22" i="37"/>
  <c r="H22" i="37"/>
  <c r="N21" i="37"/>
  <c r="M21" i="37"/>
  <c r="O21" i="37" s="1"/>
  <c r="L21" i="37"/>
  <c r="J21" i="37"/>
  <c r="I21" i="37"/>
  <c r="H21" i="37"/>
  <c r="M20" i="37"/>
  <c r="O20" i="37" s="1"/>
  <c r="L20" i="37"/>
  <c r="N20" i="37" s="1"/>
  <c r="J20" i="37"/>
  <c r="I20" i="37"/>
  <c r="H20" i="37"/>
  <c r="O19" i="37"/>
  <c r="N19" i="37"/>
  <c r="M19" i="37"/>
  <c r="L19" i="37"/>
  <c r="J19" i="37"/>
  <c r="I19" i="37"/>
  <c r="H19" i="37"/>
  <c r="N18" i="37"/>
  <c r="L18" i="37"/>
  <c r="I18" i="37"/>
  <c r="H18" i="37"/>
  <c r="N17" i="37"/>
  <c r="L17" i="37"/>
  <c r="I17" i="37"/>
  <c r="H17" i="37"/>
  <c r="N16" i="37"/>
  <c r="L16" i="37"/>
  <c r="I16" i="37"/>
  <c r="H16" i="37"/>
  <c r="N15" i="37"/>
  <c r="M15" i="37"/>
  <c r="O15" i="37" s="1"/>
  <c r="L15" i="37"/>
  <c r="J15" i="37"/>
  <c r="I15" i="37"/>
  <c r="H15" i="37"/>
  <c r="N14" i="37"/>
  <c r="M14" i="37"/>
  <c r="O14" i="37" s="1"/>
  <c r="L14" i="37"/>
  <c r="J14" i="37"/>
  <c r="I14" i="37"/>
  <c r="H14" i="37"/>
  <c r="M13" i="37"/>
  <c r="O13" i="37" s="1"/>
  <c r="L13" i="37"/>
  <c r="N13" i="37" s="1"/>
  <c r="J13" i="37"/>
  <c r="I13" i="37"/>
  <c r="H13" i="37"/>
  <c r="O12" i="37"/>
  <c r="M12" i="37"/>
  <c r="L12" i="37"/>
  <c r="N12" i="37" s="1"/>
  <c r="J12" i="37"/>
  <c r="I12" i="37"/>
  <c r="H12" i="37"/>
  <c r="N11" i="37"/>
  <c r="M11" i="37"/>
  <c r="O11" i="37" s="1"/>
  <c r="L11" i="37"/>
  <c r="J11" i="37"/>
  <c r="I11" i="37"/>
  <c r="H11" i="37"/>
  <c r="M10" i="37"/>
  <c r="O10" i="37" s="1"/>
  <c r="L10" i="37"/>
  <c r="N10" i="37" s="1"/>
  <c r="J10" i="37"/>
  <c r="I10" i="37"/>
  <c r="H10" i="37"/>
  <c r="O9" i="37"/>
  <c r="M9" i="37"/>
  <c r="L9" i="37"/>
  <c r="N9" i="37" s="1"/>
  <c r="J9" i="37"/>
  <c r="I9" i="37"/>
  <c r="H9" i="37"/>
  <c r="M8" i="37"/>
  <c r="O8" i="37" s="1"/>
  <c r="L8" i="37"/>
  <c r="N8" i="37" s="1"/>
  <c r="J8" i="37"/>
  <c r="I8" i="37"/>
  <c r="H8" i="37"/>
  <c r="F40" i="36"/>
  <c r="C40" i="36"/>
  <c r="N34" i="36"/>
  <c r="M34" i="36"/>
  <c r="O34" i="36" s="1"/>
  <c r="L34" i="36"/>
  <c r="J34" i="36"/>
  <c r="I34" i="36"/>
  <c r="I31" i="47" s="1"/>
  <c r="H34" i="36"/>
  <c r="G34" i="36"/>
  <c r="G31" i="46" s="1"/>
  <c r="J31" i="46" s="1"/>
  <c r="N33" i="36"/>
  <c r="L33" i="36"/>
  <c r="I33" i="36"/>
  <c r="I30" i="47" s="1"/>
  <c r="L32" i="36"/>
  <c r="N32" i="36" s="1"/>
  <c r="I32" i="36"/>
  <c r="H32" i="36"/>
  <c r="L31" i="36"/>
  <c r="N31" i="36" s="1"/>
  <c r="I31" i="36"/>
  <c r="H31" i="36"/>
  <c r="N30" i="36"/>
  <c r="L30" i="36"/>
  <c r="I30" i="36"/>
  <c r="H30" i="36"/>
  <c r="N29" i="36"/>
  <c r="L29" i="36"/>
  <c r="I29" i="36"/>
  <c r="H29" i="36"/>
  <c r="L28" i="36"/>
  <c r="N28" i="36" s="1"/>
  <c r="I28" i="36"/>
  <c r="H28" i="36"/>
  <c r="N27" i="36"/>
  <c r="L27" i="36"/>
  <c r="I27" i="36"/>
  <c r="I24" i="47" s="1"/>
  <c r="O24" i="47" s="1"/>
  <c r="Q24" i="47" s="1"/>
  <c r="H27" i="36"/>
  <c r="L26" i="36"/>
  <c r="N26" i="36" s="1"/>
  <c r="I26" i="36"/>
  <c r="H26" i="36"/>
  <c r="L25" i="36"/>
  <c r="N25" i="36" s="1"/>
  <c r="I25" i="36"/>
  <c r="H25" i="36"/>
  <c r="N24" i="36"/>
  <c r="L24" i="36"/>
  <c r="I24" i="36"/>
  <c r="H24" i="36"/>
  <c r="L23" i="36"/>
  <c r="N23" i="36" s="1"/>
  <c r="I23" i="36"/>
  <c r="H23" i="36"/>
  <c r="L22" i="36"/>
  <c r="N22" i="36" s="1"/>
  <c r="I22" i="36"/>
  <c r="H22" i="36"/>
  <c r="N21" i="36"/>
  <c r="L21" i="36"/>
  <c r="I21" i="36"/>
  <c r="I18" i="47" s="1"/>
  <c r="H21" i="36"/>
  <c r="L20" i="36"/>
  <c r="N20" i="36" s="1"/>
  <c r="I20" i="36"/>
  <c r="H20" i="36"/>
  <c r="L19" i="36"/>
  <c r="N19" i="36" s="1"/>
  <c r="I19" i="36"/>
  <c r="H19" i="36"/>
  <c r="N18" i="36"/>
  <c r="L18" i="36"/>
  <c r="I18" i="36"/>
  <c r="H18" i="36"/>
  <c r="N17" i="36"/>
  <c r="L17" i="36"/>
  <c r="I17" i="36"/>
  <c r="H17" i="36"/>
  <c r="L16" i="36"/>
  <c r="N16" i="36" s="1"/>
  <c r="I16" i="36"/>
  <c r="H16" i="36"/>
  <c r="N15" i="36"/>
  <c r="L15" i="36"/>
  <c r="I15" i="36"/>
  <c r="H15" i="36"/>
  <c r="L14" i="36"/>
  <c r="N14" i="36" s="1"/>
  <c r="I14" i="36"/>
  <c r="H14" i="36"/>
  <c r="L13" i="36"/>
  <c r="N13" i="36" s="1"/>
  <c r="I13" i="36"/>
  <c r="H13" i="36"/>
  <c r="N12" i="36"/>
  <c r="L12" i="36"/>
  <c r="I12" i="36"/>
  <c r="H12" i="36"/>
  <c r="N11" i="36"/>
  <c r="L11" i="36"/>
  <c r="I11" i="36"/>
  <c r="H11" i="36"/>
  <c r="F40" i="35"/>
  <c r="C40" i="35"/>
  <c r="O34" i="35"/>
  <c r="N34" i="35"/>
  <c r="L34" i="35"/>
  <c r="I34" i="35"/>
  <c r="H34" i="35"/>
  <c r="G34" i="35"/>
  <c r="M34" i="35" s="1"/>
  <c r="L33" i="35"/>
  <c r="N33" i="35" s="1"/>
  <c r="I33" i="35"/>
  <c r="H33" i="35"/>
  <c r="L32" i="35"/>
  <c r="N32" i="35" s="1"/>
  <c r="I32" i="35"/>
  <c r="H32" i="35"/>
  <c r="N31" i="35"/>
  <c r="L31" i="35"/>
  <c r="I31" i="35"/>
  <c r="H31" i="35"/>
  <c r="L30" i="35"/>
  <c r="N30" i="35" s="1"/>
  <c r="I30" i="35"/>
  <c r="H30" i="35"/>
  <c r="L29" i="35"/>
  <c r="N29" i="35" s="1"/>
  <c r="I29" i="35"/>
  <c r="H29" i="35"/>
  <c r="N28" i="35"/>
  <c r="L28" i="35"/>
  <c r="I28" i="35"/>
  <c r="H28" i="35"/>
  <c r="L27" i="35"/>
  <c r="N27" i="35" s="1"/>
  <c r="I27" i="35"/>
  <c r="H27" i="35"/>
  <c r="L26" i="35"/>
  <c r="N26" i="35" s="1"/>
  <c r="I26" i="35"/>
  <c r="H26" i="35"/>
  <c r="N25" i="35"/>
  <c r="L25" i="35"/>
  <c r="I25" i="35"/>
  <c r="H25" i="35"/>
  <c r="N24" i="35"/>
  <c r="L24" i="35"/>
  <c r="I24" i="35"/>
  <c r="H24" i="35"/>
  <c r="L23" i="35"/>
  <c r="N23" i="35" s="1"/>
  <c r="I23" i="35"/>
  <c r="H23" i="35"/>
  <c r="N22" i="35"/>
  <c r="L22" i="35"/>
  <c r="I22" i="35"/>
  <c r="H22" i="35"/>
  <c r="L21" i="35"/>
  <c r="N21" i="35" s="1"/>
  <c r="I21" i="35"/>
  <c r="H21" i="35"/>
  <c r="L20" i="35"/>
  <c r="N20" i="35" s="1"/>
  <c r="I20" i="35"/>
  <c r="H20" i="35"/>
  <c r="N19" i="35"/>
  <c r="L19" i="35"/>
  <c r="I19" i="35"/>
  <c r="H19" i="35"/>
  <c r="L18" i="35"/>
  <c r="N18" i="35" s="1"/>
  <c r="I18" i="35"/>
  <c r="H18" i="35"/>
  <c r="L17" i="35"/>
  <c r="N17" i="35" s="1"/>
  <c r="I17" i="35"/>
  <c r="H17" i="35"/>
  <c r="N16" i="35"/>
  <c r="L16" i="35"/>
  <c r="I16" i="35"/>
  <c r="H16" i="35"/>
  <c r="L15" i="35"/>
  <c r="N15" i="35" s="1"/>
  <c r="I15" i="35"/>
  <c r="H15" i="35"/>
  <c r="L14" i="35"/>
  <c r="N14" i="35" s="1"/>
  <c r="I14" i="35"/>
  <c r="H14" i="35"/>
  <c r="N13" i="35"/>
  <c r="L13" i="35"/>
  <c r="I13" i="35"/>
  <c r="H13" i="35"/>
  <c r="L12" i="35"/>
  <c r="N12" i="35" s="1"/>
  <c r="I12" i="35"/>
  <c r="H12" i="35"/>
  <c r="L11" i="35"/>
  <c r="N11" i="35" s="1"/>
  <c r="I11" i="35"/>
  <c r="H11" i="35"/>
  <c r="M34" i="15"/>
  <c r="O34" i="15" s="1"/>
  <c r="L34" i="15"/>
  <c r="N34" i="15" s="1"/>
  <c r="J34" i="15"/>
  <c r="I34" i="15"/>
  <c r="H34" i="15"/>
  <c r="N33" i="15"/>
  <c r="L33" i="15"/>
  <c r="I33" i="15"/>
  <c r="H33" i="15"/>
  <c r="N32" i="15"/>
  <c r="L32" i="15"/>
  <c r="I32" i="15"/>
  <c r="H32" i="15"/>
  <c r="L31" i="15"/>
  <c r="N31" i="15" s="1"/>
  <c r="I31" i="15"/>
  <c r="H31" i="15"/>
  <c r="N30" i="15"/>
  <c r="L30" i="15"/>
  <c r="I30" i="15"/>
  <c r="H30" i="15"/>
  <c r="N29" i="15"/>
  <c r="L29" i="15"/>
  <c r="I29" i="15"/>
  <c r="H29" i="15"/>
  <c r="L28" i="15"/>
  <c r="N28" i="15" s="1"/>
  <c r="I28" i="15"/>
  <c r="H28" i="15"/>
  <c r="N27" i="15"/>
  <c r="L27" i="15"/>
  <c r="I27" i="15"/>
  <c r="H27" i="15"/>
  <c r="N26" i="15"/>
  <c r="L26" i="15"/>
  <c r="I26" i="15"/>
  <c r="H26" i="15"/>
  <c r="L25" i="15"/>
  <c r="N25" i="15" s="1"/>
  <c r="I25" i="15"/>
  <c r="H25" i="15"/>
  <c r="N24" i="15"/>
  <c r="L24" i="15"/>
  <c r="I24" i="15"/>
  <c r="H24" i="15"/>
  <c r="N23" i="15"/>
  <c r="L23" i="15"/>
  <c r="I23" i="15"/>
  <c r="H23" i="15"/>
  <c r="L22" i="15"/>
  <c r="N22" i="15" s="1"/>
  <c r="I22" i="15"/>
  <c r="H22" i="15"/>
  <c r="N21" i="15"/>
  <c r="L21" i="15"/>
  <c r="I21" i="15"/>
  <c r="H21" i="15"/>
  <c r="N20" i="15"/>
  <c r="L20" i="15"/>
  <c r="I20" i="15"/>
  <c r="H20" i="15"/>
  <c r="L19" i="15"/>
  <c r="N19" i="15" s="1"/>
  <c r="I19" i="15"/>
  <c r="H19" i="15"/>
  <c r="N18" i="15"/>
  <c r="L18" i="15"/>
  <c r="I18" i="15"/>
  <c r="H18" i="15"/>
  <c r="N17" i="15"/>
  <c r="L17" i="15"/>
  <c r="I17" i="15"/>
  <c r="H17" i="15"/>
  <c r="L16" i="15"/>
  <c r="N16" i="15" s="1"/>
  <c r="I16" i="15"/>
  <c r="H16" i="15"/>
  <c r="N15" i="15"/>
  <c r="L15" i="15"/>
  <c r="I15" i="15"/>
  <c r="H15" i="15"/>
  <c r="N14" i="15"/>
  <c r="L14" i="15"/>
  <c r="I14" i="15"/>
  <c r="H14" i="15"/>
  <c r="L13" i="15"/>
  <c r="N13" i="15" s="1"/>
  <c r="I13" i="15"/>
  <c r="H13" i="15"/>
  <c r="N12" i="15"/>
  <c r="L12" i="15"/>
  <c r="I12" i="15"/>
  <c r="H12" i="15"/>
  <c r="N11" i="15"/>
  <c r="L11" i="15"/>
  <c r="I11" i="15"/>
  <c r="H11" i="15"/>
  <c r="C39" i="14"/>
  <c r="F38" i="14"/>
  <c r="F37" i="14"/>
  <c r="F36" i="14"/>
  <c r="D39" i="14" s="1"/>
  <c r="N34" i="14"/>
  <c r="L34" i="14"/>
  <c r="I34" i="14"/>
  <c r="H34" i="14"/>
  <c r="N33" i="14"/>
  <c r="L33" i="14"/>
  <c r="I33" i="14"/>
  <c r="H33" i="14"/>
  <c r="L32" i="14"/>
  <c r="N32" i="14" s="1"/>
  <c r="I32" i="14"/>
  <c r="H32" i="14"/>
  <c r="N31" i="14"/>
  <c r="L31" i="14"/>
  <c r="I31" i="14"/>
  <c r="H31" i="14"/>
  <c r="N30" i="14"/>
  <c r="L30" i="14"/>
  <c r="I30" i="14"/>
  <c r="H30" i="14"/>
  <c r="L29" i="14"/>
  <c r="N29" i="14" s="1"/>
  <c r="I29" i="14"/>
  <c r="H29" i="14"/>
  <c r="L28" i="14"/>
  <c r="N28" i="14" s="1"/>
  <c r="I28" i="14"/>
  <c r="H28" i="14"/>
  <c r="L27" i="14"/>
  <c r="N27" i="14" s="1"/>
  <c r="I27" i="14"/>
  <c r="H27" i="14"/>
  <c r="L26" i="14"/>
  <c r="N26" i="14" s="1"/>
  <c r="I26" i="14"/>
  <c r="H26" i="14"/>
  <c r="N25" i="14"/>
  <c r="L25" i="14"/>
  <c r="I25" i="14"/>
  <c r="H25" i="14"/>
  <c r="L24" i="14"/>
  <c r="N24" i="14" s="1"/>
  <c r="I24" i="14"/>
  <c r="H24" i="14"/>
  <c r="L23" i="14"/>
  <c r="N23" i="14" s="1"/>
  <c r="I23" i="14"/>
  <c r="H23" i="14"/>
  <c r="L22" i="14"/>
  <c r="N22" i="14" s="1"/>
  <c r="I22" i="14"/>
  <c r="H22" i="14"/>
  <c r="N21" i="14"/>
  <c r="L21" i="14"/>
  <c r="I21" i="14"/>
  <c r="H21" i="14"/>
  <c r="L20" i="14"/>
  <c r="N20" i="14" s="1"/>
  <c r="I20" i="14"/>
  <c r="H20" i="14"/>
  <c r="L19" i="14"/>
  <c r="N19" i="14" s="1"/>
  <c r="I19" i="14"/>
  <c r="H19" i="14"/>
  <c r="L18" i="14"/>
  <c r="N18" i="14" s="1"/>
  <c r="I18" i="14"/>
  <c r="H18" i="14"/>
  <c r="L17" i="14"/>
  <c r="N17" i="14" s="1"/>
  <c r="I17" i="14"/>
  <c r="H17" i="14"/>
  <c r="N16" i="14"/>
  <c r="L16" i="14"/>
  <c r="I16" i="14"/>
  <c r="H16" i="14"/>
  <c r="L15" i="14"/>
  <c r="N15" i="14" s="1"/>
  <c r="I15" i="14"/>
  <c r="H15" i="14"/>
  <c r="L14" i="14"/>
  <c r="N14" i="14" s="1"/>
  <c r="I14" i="14"/>
  <c r="H14" i="14"/>
  <c r="L13" i="14"/>
  <c r="N13" i="14" s="1"/>
  <c r="I13" i="14"/>
  <c r="H13" i="14"/>
  <c r="L12" i="14"/>
  <c r="N12" i="14" s="1"/>
  <c r="N35" i="14" s="1"/>
  <c r="N38" i="14" s="1"/>
  <c r="I12" i="14"/>
  <c r="H12" i="14"/>
  <c r="L11" i="14"/>
  <c r="N11" i="14" s="1"/>
  <c r="I11" i="14"/>
  <c r="H11" i="14"/>
  <c r="D39" i="13"/>
  <c r="C39" i="13"/>
  <c r="N34" i="13"/>
  <c r="L34" i="13"/>
  <c r="I34" i="13"/>
  <c r="H34" i="13"/>
  <c r="N33" i="13"/>
  <c r="L33" i="13"/>
  <c r="I33" i="13"/>
  <c r="H33" i="13"/>
  <c r="N32" i="13"/>
  <c r="L32" i="13"/>
  <c r="I32" i="13"/>
  <c r="H32" i="13"/>
  <c r="L31" i="13"/>
  <c r="N31" i="13" s="1"/>
  <c r="I31" i="13"/>
  <c r="H31" i="13"/>
  <c r="N30" i="13"/>
  <c r="L30" i="13"/>
  <c r="I30" i="13"/>
  <c r="H30" i="13"/>
  <c r="N29" i="13"/>
  <c r="L29" i="13"/>
  <c r="I29" i="13"/>
  <c r="H29" i="13"/>
  <c r="L28" i="13"/>
  <c r="N28" i="13" s="1"/>
  <c r="I28" i="13"/>
  <c r="H28" i="13"/>
  <c r="N27" i="13"/>
  <c r="L27" i="13"/>
  <c r="I27" i="13"/>
  <c r="H27" i="13"/>
  <c r="L26" i="13"/>
  <c r="N26" i="13" s="1"/>
  <c r="I26" i="13"/>
  <c r="H26" i="13"/>
  <c r="L25" i="13"/>
  <c r="N25" i="13" s="1"/>
  <c r="I25" i="13"/>
  <c r="H25" i="13"/>
  <c r="N24" i="13"/>
  <c r="L24" i="13"/>
  <c r="I24" i="13"/>
  <c r="H24" i="13"/>
  <c r="L23" i="13"/>
  <c r="N23" i="13" s="1"/>
  <c r="I23" i="13"/>
  <c r="H23" i="13"/>
  <c r="N22" i="13"/>
  <c r="L22" i="13"/>
  <c r="I22" i="13"/>
  <c r="H22" i="13"/>
  <c r="N21" i="13"/>
  <c r="L21" i="13"/>
  <c r="I21" i="13"/>
  <c r="H21" i="13"/>
  <c r="N20" i="13"/>
  <c r="L20" i="13"/>
  <c r="I20" i="13"/>
  <c r="H20" i="13"/>
  <c r="L19" i="13"/>
  <c r="N19" i="13" s="1"/>
  <c r="I19" i="13"/>
  <c r="H19" i="13"/>
  <c r="L18" i="13"/>
  <c r="N18" i="13" s="1"/>
  <c r="I18" i="13"/>
  <c r="H18" i="13"/>
  <c r="L17" i="13"/>
  <c r="N17" i="13" s="1"/>
  <c r="I17" i="13"/>
  <c r="H17" i="13"/>
  <c r="N16" i="13"/>
  <c r="L16" i="13"/>
  <c r="I16" i="13"/>
  <c r="H16" i="13"/>
  <c r="N15" i="13"/>
  <c r="L15" i="13"/>
  <c r="I15" i="13"/>
  <c r="H15" i="13"/>
  <c r="N14" i="13"/>
  <c r="L14" i="13"/>
  <c r="I14" i="13"/>
  <c r="H14" i="13"/>
  <c r="L13" i="13"/>
  <c r="N13" i="13" s="1"/>
  <c r="I13" i="13"/>
  <c r="H13" i="13"/>
  <c r="L12" i="13"/>
  <c r="N12" i="13" s="1"/>
  <c r="I12" i="13"/>
  <c r="H12" i="13"/>
  <c r="L11" i="13"/>
  <c r="N11" i="13" s="1"/>
  <c r="I11" i="13"/>
  <c r="H11" i="13"/>
  <c r="C41" i="34"/>
  <c r="M32" i="34"/>
  <c r="O32" i="34" s="1"/>
  <c r="L32" i="34"/>
  <c r="J32" i="34"/>
  <c r="I32" i="34"/>
  <c r="H32" i="34"/>
  <c r="G32" i="34"/>
  <c r="G34" i="13" s="1"/>
  <c r="L31" i="34"/>
  <c r="I31" i="34"/>
  <c r="H31" i="34"/>
  <c r="L30" i="34"/>
  <c r="N30" i="34" s="1"/>
  <c r="I30" i="34"/>
  <c r="H30" i="34"/>
  <c r="L29" i="34"/>
  <c r="N29" i="34" s="1"/>
  <c r="I29" i="34"/>
  <c r="H29" i="34"/>
  <c r="L28" i="34"/>
  <c r="N28" i="34" s="1"/>
  <c r="I28" i="34"/>
  <c r="H28" i="34"/>
  <c r="L27" i="34"/>
  <c r="N27" i="34" s="1"/>
  <c r="I27" i="34"/>
  <c r="H27" i="34"/>
  <c r="L26" i="34"/>
  <c r="N26" i="34" s="1"/>
  <c r="I26" i="34"/>
  <c r="H26" i="34"/>
  <c r="L25" i="34"/>
  <c r="N25" i="34" s="1"/>
  <c r="I25" i="34"/>
  <c r="H25" i="34"/>
  <c r="L24" i="34"/>
  <c r="N24" i="34" s="1"/>
  <c r="I24" i="34"/>
  <c r="H24" i="34"/>
  <c r="L23" i="34"/>
  <c r="N23" i="34" s="1"/>
  <c r="I23" i="34"/>
  <c r="H23" i="34"/>
  <c r="L22" i="34"/>
  <c r="N22" i="34" s="1"/>
  <c r="I22" i="34"/>
  <c r="H22" i="34"/>
  <c r="L21" i="34"/>
  <c r="N21" i="34" s="1"/>
  <c r="I21" i="34"/>
  <c r="H21" i="34"/>
  <c r="L20" i="34"/>
  <c r="N20" i="34" s="1"/>
  <c r="I20" i="34"/>
  <c r="H20" i="34"/>
  <c r="L19" i="34"/>
  <c r="N19" i="34" s="1"/>
  <c r="I19" i="34"/>
  <c r="H19" i="34"/>
  <c r="L18" i="34"/>
  <c r="N18" i="34" s="1"/>
  <c r="I18" i="34"/>
  <c r="H18" i="34"/>
  <c r="L17" i="34"/>
  <c r="N17" i="34" s="1"/>
  <c r="I17" i="34"/>
  <c r="H17" i="34"/>
  <c r="L16" i="34"/>
  <c r="N16" i="34" s="1"/>
  <c r="I16" i="34"/>
  <c r="H16" i="34"/>
  <c r="L15" i="34"/>
  <c r="N15" i="34" s="1"/>
  <c r="I15" i="34"/>
  <c r="H15" i="34"/>
  <c r="L14" i="34"/>
  <c r="N14" i="34" s="1"/>
  <c r="I14" i="34"/>
  <c r="H14" i="34"/>
  <c r="L13" i="34"/>
  <c r="N13" i="34" s="1"/>
  <c r="I13" i="34"/>
  <c r="H13" i="34"/>
  <c r="L12" i="34"/>
  <c r="N12" i="34" s="1"/>
  <c r="I12" i="34"/>
  <c r="H12" i="34"/>
  <c r="L11" i="34"/>
  <c r="N11" i="34" s="1"/>
  <c r="I11" i="34"/>
  <c r="H11" i="34"/>
  <c r="L10" i="34"/>
  <c r="N10" i="34" s="1"/>
  <c r="I10" i="34"/>
  <c r="H10" i="34"/>
  <c r="L9" i="34"/>
  <c r="N9" i="34" s="1"/>
  <c r="I9" i="34"/>
  <c r="H9" i="34"/>
  <c r="C41" i="17"/>
  <c r="F37" i="17" s="1"/>
  <c r="F40" i="17"/>
  <c r="F39" i="17"/>
  <c r="F38" i="17"/>
  <c r="F36" i="17"/>
  <c r="M32" i="17"/>
  <c r="O32" i="17" s="1"/>
  <c r="L32" i="17"/>
  <c r="J32" i="17"/>
  <c r="I32" i="17"/>
  <c r="H32" i="17"/>
  <c r="L31" i="17"/>
  <c r="I31" i="17"/>
  <c r="H31" i="17"/>
  <c r="L30" i="17"/>
  <c r="N30" i="17" s="1"/>
  <c r="I30" i="17"/>
  <c r="H30" i="17"/>
  <c r="L29" i="17"/>
  <c r="N29" i="17" s="1"/>
  <c r="I29" i="17"/>
  <c r="H29" i="17"/>
  <c r="L28" i="17"/>
  <c r="N28" i="17" s="1"/>
  <c r="I28" i="17"/>
  <c r="H28" i="17"/>
  <c r="L27" i="17"/>
  <c r="N27" i="17" s="1"/>
  <c r="I27" i="17"/>
  <c r="H27" i="17"/>
  <c r="L26" i="17"/>
  <c r="N26" i="17" s="1"/>
  <c r="I26" i="17"/>
  <c r="H26" i="17"/>
  <c r="L25" i="17"/>
  <c r="N25" i="17" s="1"/>
  <c r="I25" i="17"/>
  <c r="H25" i="17"/>
  <c r="L24" i="17"/>
  <c r="N24" i="17" s="1"/>
  <c r="I24" i="17"/>
  <c r="H24" i="17"/>
  <c r="L23" i="17"/>
  <c r="N23" i="17" s="1"/>
  <c r="I23" i="17"/>
  <c r="H23" i="17"/>
  <c r="L22" i="17"/>
  <c r="N22" i="17" s="1"/>
  <c r="I22" i="17"/>
  <c r="H22" i="17"/>
  <c r="L21" i="17"/>
  <c r="N21" i="17" s="1"/>
  <c r="I21" i="17"/>
  <c r="H21" i="17"/>
  <c r="L20" i="17"/>
  <c r="N20" i="17" s="1"/>
  <c r="I20" i="17"/>
  <c r="H20" i="17"/>
  <c r="L19" i="17"/>
  <c r="N19" i="17" s="1"/>
  <c r="I19" i="17"/>
  <c r="H19" i="17"/>
  <c r="L18" i="17"/>
  <c r="N18" i="17" s="1"/>
  <c r="I18" i="17"/>
  <c r="H18" i="17"/>
  <c r="L17" i="17"/>
  <c r="N17" i="17" s="1"/>
  <c r="I17" i="17"/>
  <c r="H17" i="17"/>
  <c r="L16" i="17"/>
  <c r="N16" i="17" s="1"/>
  <c r="I16" i="17"/>
  <c r="H16" i="17"/>
  <c r="L15" i="17"/>
  <c r="N15" i="17" s="1"/>
  <c r="I15" i="17"/>
  <c r="H15" i="17"/>
  <c r="L14" i="17"/>
  <c r="N14" i="17" s="1"/>
  <c r="I14" i="17"/>
  <c r="H14" i="17"/>
  <c r="L13" i="17"/>
  <c r="N13" i="17" s="1"/>
  <c r="I13" i="17"/>
  <c r="H13" i="17"/>
  <c r="L12" i="17"/>
  <c r="N12" i="17" s="1"/>
  <c r="I12" i="17"/>
  <c r="H12" i="17"/>
  <c r="L11" i="17"/>
  <c r="N11" i="17" s="1"/>
  <c r="I11" i="17"/>
  <c r="H11" i="17"/>
  <c r="L10" i="17"/>
  <c r="N10" i="17" s="1"/>
  <c r="I10" i="17"/>
  <c r="H10" i="17"/>
  <c r="L9" i="17"/>
  <c r="N9" i="17" s="1"/>
  <c r="I9" i="17"/>
  <c r="H9" i="17"/>
  <c r="C41" i="18"/>
  <c r="F36" i="18" s="1"/>
  <c r="F37" i="18"/>
  <c r="L32" i="18"/>
  <c r="I32" i="18"/>
  <c r="H32" i="18"/>
  <c r="L31" i="18"/>
  <c r="I31" i="18"/>
  <c r="H31" i="18"/>
  <c r="L30" i="18"/>
  <c r="N31" i="18" s="1"/>
  <c r="I30" i="18"/>
  <c r="H30" i="18"/>
  <c r="L29" i="18"/>
  <c r="N29" i="18" s="1"/>
  <c r="I29" i="18"/>
  <c r="H29" i="18"/>
  <c r="L28" i="18"/>
  <c r="N28" i="18" s="1"/>
  <c r="I28" i="18"/>
  <c r="H28" i="18"/>
  <c r="N27" i="18"/>
  <c r="L27" i="18"/>
  <c r="I27" i="18"/>
  <c r="H27" i="18"/>
  <c r="L26" i="18"/>
  <c r="N26" i="18" s="1"/>
  <c r="I26" i="18"/>
  <c r="H26" i="18"/>
  <c r="L25" i="18"/>
  <c r="N25" i="18" s="1"/>
  <c r="I25" i="18"/>
  <c r="H25" i="18"/>
  <c r="N24" i="18"/>
  <c r="L24" i="18"/>
  <c r="I24" i="18"/>
  <c r="H24" i="18"/>
  <c r="L23" i="18"/>
  <c r="N23" i="18" s="1"/>
  <c r="I23" i="18"/>
  <c r="H23" i="18"/>
  <c r="L22" i="18"/>
  <c r="N22" i="18" s="1"/>
  <c r="I22" i="18"/>
  <c r="H22" i="18"/>
  <c r="N21" i="18"/>
  <c r="L21" i="18"/>
  <c r="I21" i="18"/>
  <c r="H21" i="18"/>
  <c r="L20" i="18"/>
  <c r="N20" i="18" s="1"/>
  <c r="I20" i="18"/>
  <c r="H20" i="18"/>
  <c r="L19" i="18"/>
  <c r="N19" i="18" s="1"/>
  <c r="I19" i="18"/>
  <c r="H19" i="18"/>
  <c r="L18" i="18"/>
  <c r="N18" i="18" s="1"/>
  <c r="I18" i="18"/>
  <c r="H18" i="18"/>
  <c r="L17" i="18"/>
  <c r="N17" i="18" s="1"/>
  <c r="I17" i="18"/>
  <c r="H17" i="18"/>
  <c r="L16" i="18"/>
  <c r="N16" i="18" s="1"/>
  <c r="I16" i="18"/>
  <c r="H16" i="18"/>
  <c r="L15" i="18"/>
  <c r="N15" i="18" s="1"/>
  <c r="I15" i="18"/>
  <c r="H15" i="18"/>
  <c r="L14" i="18"/>
  <c r="N14" i="18" s="1"/>
  <c r="I14" i="18"/>
  <c r="H14" i="18"/>
  <c r="L13" i="18"/>
  <c r="N13" i="18" s="1"/>
  <c r="I13" i="18"/>
  <c r="H13" i="18"/>
  <c r="L12" i="18"/>
  <c r="N12" i="18" s="1"/>
  <c r="I12" i="18"/>
  <c r="H12" i="18"/>
  <c r="L11" i="18"/>
  <c r="N11" i="18" s="1"/>
  <c r="I11" i="18"/>
  <c r="H11" i="18"/>
  <c r="L10" i="18"/>
  <c r="N10" i="18" s="1"/>
  <c r="I10" i="18"/>
  <c r="H10" i="18"/>
  <c r="N9" i="18"/>
  <c r="L9" i="18"/>
  <c r="I9" i="18"/>
  <c r="H9" i="18"/>
  <c r="C41" i="19"/>
  <c r="F37" i="19"/>
  <c r="F36" i="19"/>
  <c r="F35" i="19"/>
  <c r="F34" i="19"/>
  <c r="L32" i="19"/>
  <c r="I32" i="19"/>
  <c r="H32" i="19"/>
  <c r="L31" i="19"/>
  <c r="I31" i="19"/>
  <c r="H31" i="19"/>
  <c r="L30" i="19"/>
  <c r="N30" i="19" s="1"/>
  <c r="I30" i="19"/>
  <c r="H30" i="19"/>
  <c r="N29" i="19"/>
  <c r="L29" i="19"/>
  <c r="I29" i="19"/>
  <c r="H29" i="19"/>
  <c r="N28" i="19"/>
  <c r="L28" i="19"/>
  <c r="I28" i="19"/>
  <c r="H28" i="19"/>
  <c r="N27" i="19"/>
  <c r="L27" i="19"/>
  <c r="I27" i="19"/>
  <c r="H27" i="19"/>
  <c r="N26" i="19"/>
  <c r="L26" i="19"/>
  <c r="I26" i="19"/>
  <c r="H26" i="19"/>
  <c r="N25" i="19"/>
  <c r="L25" i="19"/>
  <c r="I25" i="19"/>
  <c r="H25" i="19"/>
  <c r="L24" i="19"/>
  <c r="N24" i="19" s="1"/>
  <c r="I24" i="19"/>
  <c r="H24" i="19"/>
  <c r="N23" i="19"/>
  <c r="L23" i="19"/>
  <c r="I23" i="19"/>
  <c r="H23" i="19"/>
  <c r="N22" i="19"/>
  <c r="L22" i="19"/>
  <c r="I22" i="19"/>
  <c r="H22" i="19"/>
  <c r="L21" i="19"/>
  <c r="N21" i="19" s="1"/>
  <c r="I21" i="19"/>
  <c r="H21" i="19"/>
  <c r="N20" i="19"/>
  <c r="L20" i="19"/>
  <c r="I20" i="19"/>
  <c r="H20" i="19"/>
  <c r="N19" i="19"/>
  <c r="L19" i="19"/>
  <c r="I19" i="19"/>
  <c r="H19" i="19"/>
  <c r="L18" i="19"/>
  <c r="N18" i="19" s="1"/>
  <c r="I18" i="19"/>
  <c r="H18" i="19"/>
  <c r="N17" i="19"/>
  <c r="L17" i="19"/>
  <c r="I17" i="19"/>
  <c r="H17" i="19"/>
  <c r="N16" i="19"/>
  <c r="L16" i="19"/>
  <c r="I16" i="19"/>
  <c r="H16" i="19"/>
  <c r="N15" i="19"/>
  <c r="L15" i="19"/>
  <c r="I15" i="19"/>
  <c r="H15" i="19"/>
  <c r="N14" i="19"/>
  <c r="L14" i="19"/>
  <c r="I14" i="19"/>
  <c r="H14" i="19"/>
  <c r="N13" i="19"/>
  <c r="L13" i="19"/>
  <c r="I13" i="19"/>
  <c r="H13" i="19"/>
  <c r="N12" i="19"/>
  <c r="L12" i="19"/>
  <c r="I12" i="19"/>
  <c r="H12" i="19"/>
  <c r="N11" i="19"/>
  <c r="L11" i="19"/>
  <c r="I11" i="19"/>
  <c r="H11" i="19"/>
  <c r="N10" i="19"/>
  <c r="L10" i="19"/>
  <c r="I10" i="19"/>
  <c r="H10" i="19"/>
  <c r="L9" i="19"/>
  <c r="N9" i="19" s="1"/>
  <c r="I9" i="19"/>
  <c r="H9" i="19"/>
  <c r="C41" i="20"/>
  <c r="F37" i="20" s="1"/>
  <c r="L32" i="20"/>
  <c r="I32" i="20"/>
  <c r="H32" i="20"/>
  <c r="L31" i="20"/>
  <c r="I31" i="20"/>
  <c r="H31" i="20"/>
  <c r="L30" i="20"/>
  <c r="N30" i="20" s="1"/>
  <c r="I30" i="20"/>
  <c r="H30" i="20"/>
  <c r="L29" i="20"/>
  <c r="N29" i="20" s="1"/>
  <c r="I29" i="20"/>
  <c r="H29" i="20"/>
  <c r="L28" i="20"/>
  <c r="N28" i="20" s="1"/>
  <c r="I28" i="20"/>
  <c r="H28" i="20"/>
  <c r="L27" i="20"/>
  <c r="N27" i="20" s="1"/>
  <c r="I27" i="20"/>
  <c r="H27" i="20"/>
  <c r="L26" i="20"/>
  <c r="N26" i="20" s="1"/>
  <c r="I26" i="20"/>
  <c r="H26" i="20"/>
  <c r="N25" i="20"/>
  <c r="L25" i="20"/>
  <c r="I25" i="20"/>
  <c r="H25" i="20"/>
  <c r="L24" i="20"/>
  <c r="N24" i="20" s="1"/>
  <c r="I24" i="20"/>
  <c r="H24" i="20"/>
  <c r="L23" i="20"/>
  <c r="N23" i="20" s="1"/>
  <c r="I23" i="20"/>
  <c r="H23" i="20"/>
  <c r="L22" i="20"/>
  <c r="N22" i="20" s="1"/>
  <c r="I22" i="20"/>
  <c r="H22" i="20"/>
  <c r="L21" i="20"/>
  <c r="N21" i="20" s="1"/>
  <c r="I21" i="20"/>
  <c r="H21" i="20"/>
  <c r="L20" i="20"/>
  <c r="N20" i="20" s="1"/>
  <c r="I20" i="20"/>
  <c r="H20" i="20"/>
  <c r="L19" i="20"/>
  <c r="N19" i="20" s="1"/>
  <c r="I19" i="20"/>
  <c r="H19" i="20"/>
  <c r="L18" i="20"/>
  <c r="N18" i="20" s="1"/>
  <c r="I18" i="20"/>
  <c r="H18" i="20"/>
  <c r="L17" i="20"/>
  <c r="N17" i="20" s="1"/>
  <c r="I17" i="20"/>
  <c r="H17" i="20"/>
  <c r="N16" i="20"/>
  <c r="L16" i="20"/>
  <c r="I16" i="20"/>
  <c r="H16" i="20"/>
  <c r="L15" i="20"/>
  <c r="N15" i="20" s="1"/>
  <c r="I15" i="20"/>
  <c r="H15" i="20"/>
  <c r="L14" i="20"/>
  <c r="N14" i="20" s="1"/>
  <c r="I14" i="20"/>
  <c r="H14" i="20"/>
  <c r="L13" i="20"/>
  <c r="N13" i="20" s="1"/>
  <c r="I13" i="20"/>
  <c r="H13" i="20"/>
  <c r="L12" i="20"/>
  <c r="N12" i="20" s="1"/>
  <c r="I12" i="20"/>
  <c r="H12" i="20"/>
  <c r="L11" i="20"/>
  <c r="N11" i="20" s="1"/>
  <c r="I11" i="20"/>
  <c r="H11" i="20"/>
  <c r="L10" i="20"/>
  <c r="N10" i="20" s="1"/>
  <c r="I10" i="20"/>
  <c r="H10" i="20"/>
  <c r="L9" i="20"/>
  <c r="N9" i="20" s="1"/>
  <c r="I9" i="20"/>
  <c r="H9" i="20"/>
  <c r="C41" i="21"/>
  <c r="F37" i="21" s="1"/>
  <c r="F36" i="21"/>
  <c r="F35" i="21"/>
  <c r="F34" i="21"/>
  <c r="L32" i="21"/>
  <c r="I32" i="21"/>
  <c r="H32" i="21"/>
  <c r="N31" i="21"/>
  <c r="L31" i="21"/>
  <c r="I31" i="21"/>
  <c r="H31" i="21"/>
  <c r="N30" i="21"/>
  <c r="L30" i="21"/>
  <c r="I30" i="21"/>
  <c r="H30" i="21"/>
  <c r="G30" i="21"/>
  <c r="M30" i="21" s="1"/>
  <c r="O30" i="21" s="1"/>
  <c r="N29" i="21"/>
  <c r="L29" i="21"/>
  <c r="I29" i="21"/>
  <c r="H29" i="21"/>
  <c r="N28" i="21"/>
  <c r="L28" i="21"/>
  <c r="I28" i="21"/>
  <c r="H28" i="21"/>
  <c r="N27" i="21"/>
  <c r="L27" i="21"/>
  <c r="I27" i="21"/>
  <c r="H27" i="21"/>
  <c r="N26" i="21"/>
  <c r="L26" i="21"/>
  <c r="I26" i="21"/>
  <c r="H26" i="21"/>
  <c r="N25" i="21"/>
  <c r="L25" i="21"/>
  <c r="I25" i="21"/>
  <c r="H25" i="21"/>
  <c r="N24" i="21"/>
  <c r="L24" i="21"/>
  <c r="I24" i="21"/>
  <c r="H24" i="21"/>
  <c r="N23" i="21"/>
  <c r="L23" i="21"/>
  <c r="I23" i="21"/>
  <c r="H23" i="21"/>
  <c r="L22" i="21"/>
  <c r="N22" i="21" s="1"/>
  <c r="I22" i="21"/>
  <c r="H22" i="21"/>
  <c r="N21" i="21"/>
  <c r="L21" i="21"/>
  <c r="I21" i="21"/>
  <c r="H21" i="21"/>
  <c r="N20" i="21"/>
  <c r="L20" i="21"/>
  <c r="I20" i="21"/>
  <c r="H20" i="21"/>
  <c r="L19" i="21"/>
  <c r="N19" i="21" s="1"/>
  <c r="I19" i="21"/>
  <c r="H19" i="21"/>
  <c r="N18" i="21"/>
  <c r="L18" i="21"/>
  <c r="I18" i="21"/>
  <c r="H18" i="21"/>
  <c r="N17" i="21"/>
  <c r="L17" i="21"/>
  <c r="I17" i="21"/>
  <c r="H17" i="21"/>
  <c r="L16" i="21"/>
  <c r="N16" i="21" s="1"/>
  <c r="I16" i="21"/>
  <c r="H16" i="21"/>
  <c r="N15" i="21"/>
  <c r="L15" i="21"/>
  <c r="I15" i="21"/>
  <c r="H15" i="21"/>
  <c r="N14" i="21"/>
  <c r="L14" i="21"/>
  <c r="I14" i="21"/>
  <c r="H14" i="21"/>
  <c r="N13" i="21"/>
  <c r="L13" i="21"/>
  <c r="I13" i="21"/>
  <c r="H13" i="21"/>
  <c r="N12" i="21"/>
  <c r="L12" i="21"/>
  <c r="I12" i="21"/>
  <c r="H12" i="21"/>
  <c r="N11" i="21"/>
  <c r="L11" i="21"/>
  <c r="I11" i="21"/>
  <c r="H11" i="21"/>
  <c r="L10" i="21"/>
  <c r="N10" i="21" s="1"/>
  <c r="I10" i="21"/>
  <c r="H10" i="21"/>
  <c r="N9" i="21"/>
  <c r="L9" i="21"/>
  <c r="I9" i="21"/>
  <c r="H9" i="21"/>
  <c r="C41" i="22"/>
  <c r="F37" i="22" s="1"/>
  <c r="L32" i="22"/>
  <c r="I32" i="22"/>
  <c r="H32" i="22"/>
  <c r="L31" i="22"/>
  <c r="I31" i="22"/>
  <c r="H31" i="22"/>
  <c r="M30" i="22"/>
  <c r="N31" i="22" s="1"/>
  <c r="L30" i="22"/>
  <c r="N30" i="22" s="1"/>
  <c r="I30" i="22"/>
  <c r="H30" i="22"/>
  <c r="L29" i="22"/>
  <c r="N29" i="22" s="1"/>
  <c r="I29" i="22"/>
  <c r="H29" i="22"/>
  <c r="L28" i="22"/>
  <c r="N28" i="22" s="1"/>
  <c r="I28" i="22"/>
  <c r="H28" i="22"/>
  <c r="L27" i="22"/>
  <c r="N27" i="22" s="1"/>
  <c r="I27" i="22"/>
  <c r="H27" i="22"/>
  <c r="G27" i="22"/>
  <c r="G27" i="21" s="1"/>
  <c r="N26" i="22"/>
  <c r="L26" i="22"/>
  <c r="I26" i="22"/>
  <c r="H26" i="22"/>
  <c r="L25" i="22"/>
  <c r="N25" i="22" s="1"/>
  <c r="I25" i="22"/>
  <c r="H25" i="22"/>
  <c r="L24" i="22"/>
  <c r="N24" i="22" s="1"/>
  <c r="I24" i="22"/>
  <c r="H24" i="22"/>
  <c r="L23" i="22"/>
  <c r="N23" i="22" s="1"/>
  <c r="I23" i="22"/>
  <c r="H23" i="22"/>
  <c r="L22" i="22"/>
  <c r="N22" i="22" s="1"/>
  <c r="I22" i="22"/>
  <c r="H22" i="22"/>
  <c r="N21" i="22"/>
  <c r="L21" i="22"/>
  <c r="I21" i="22"/>
  <c r="H21" i="22"/>
  <c r="L20" i="22"/>
  <c r="N20" i="22" s="1"/>
  <c r="I20" i="22"/>
  <c r="H20" i="22"/>
  <c r="N19" i="22"/>
  <c r="L19" i="22"/>
  <c r="I19" i="22"/>
  <c r="H19" i="22"/>
  <c r="N18" i="22"/>
  <c r="L18" i="22"/>
  <c r="I18" i="22"/>
  <c r="H18" i="22"/>
  <c r="L17" i="22"/>
  <c r="N17" i="22" s="1"/>
  <c r="I17" i="22"/>
  <c r="H17" i="22"/>
  <c r="L16" i="22"/>
  <c r="N16" i="22" s="1"/>
  <c r="I16" i="22"/>
  <c r="H16" i="22"/>
  <c r="L15" i="22"/>
  <c r="N15" i="22" s="1"/>
  <c r="I15" i="22"/>
  <c r="H15" i="22"/>
  <c r="N14" i="22"/>
  <c r="L14" i="22"/>
  <c r="I14" i="22"/>
  <c r="H14" i="22"/>
  <c r="N13" i="22"/>
  <c r="L13" i="22"/>
  <c r="I13" i="22"/>
  <c r="H13" i="22"/>
  <c r="L12" i="22"/>
  <c r="N12" i="22" s="1"/>
  <c r="I12" i="22"/>
  <c r="H12" i="22"/>
  <c r="G12" i="22"/>
  <c r="L11" i="22"/>
  <c r="N11" i="22" s="1"/>
  <c r="I11" i="22"/>
  <c r="H11" i="22"/>
  <c r="L10" i="22"/>
  <c r="N10" i="22" s="1"/>
  <c r="I10" i="22"/>
  <c r="H10" i="22"/>
  <c r="N9" i="22"/>
  <c r="L9" i="22"/>
  <c r="I9" i="22"/>
  <c r="H9" i="22"/>
  <c r="C41" i="23"/>
  <c r="F37" i="23"/>
  <c r="L32" i="23"/>
  <c r="I32" i="23"/>
  <c r="H32" i="23"/>
  <c r="L31" i="23"/>
  <c r="I31" i="23"/>
  <c r="H31" i="23"/>
  <c r="N30" i="23"/>
  <c r="M30" i="23"/>
  <c r="N31" i="23" s="1"/>
  <c r="L30" i="23"/>
  <c r="J30" i="23"/>
  <c r="I30" i="23"/>
  <c r="H30" i="23"/>
  <c r="L29" i="23"/>
  <c r="N29" i="23" s="1"/>
  <c r="I29" i="23"/>
  <c r="H29" i="23"/>
  <c r="N28" i="23"/>
  <c r="L28" i="23"/>
  <c r="I28" i="23"/>
  <c r="H28" i="23"/>
  <c r="N27" i="23"/>
  <c r="L27" i="23"/>
  <c r="I27" i="23"/>
  <c r="H27" i="23"/>
  <c r="L26" i="23"/>
  <c r="N26" i="23" s="1"/>
  <c r="I26" i="23"/>
  <c r="H26" i="23"/>
  <c r="N25" i="23"/>
  <c r="L25" i="23"/>
  <c r="I25" i="23"/>
  <c r="H25" i="23"/>
  <c r="N24" i="23"/>
  <c r="M24" i="23"/>
  <c r="O24" i="23" s="1"/>
  <c r="L24" i="23"/>
  <c r="J24" i="23"/>
  <c r="I24" i="23"/>
  <c r="H24" i="23"/>
  <c r="L23" i="23"/>
  <c r="N23" i="23" s="1"/>
  <c r="I23" i="23"/>
  <c r="H23" i="23"/>
  <c r="N22" i="23"/>
  <c r="L22" i="23"/>
  <c r="I22" i="23"/>
  <c r="H22" i="23"/>
  <c r="N21" i="23"/>
  <c r="L21" i="23"/>
  <c r="I21" i="23"/>
  <c r="H21" i="23"/>
  <c r="L20" i="23"/>
  <c r="N20" i="23" s="1"/>
  <c r="I20" i="23"/>
  <c r="H20" i="23"/>
  <c r="N19" i="23"/>
  <c r="L19" i="23"/>
  <c r="I19" i="23"/>
  <c r="H19" i="23"/>
  <c r="G19" i="23"/>
  <c r="N18" i="23"/>
  <c r="M18" i="23"/>
  <c r="O18" i="23" s="1"/>
  <c r="L18" i="23"/>
  <c r="J18" i="23"/>
  <c r="I18" i="23"/>
  <c r="H18" i="23"/>
  <c r="L17" i="23"/>
  <c r="N17" i="23" s="1"/>
  <c r="I17" i="23"/>
  <c r="H17" i="23"/>
  <c r="N16" i="23"/>
  <c r="L16" i="23"/>
  <c r="I16" i="23"/>
  <c r="H16" i="23"/>
  <c r="N15" i="23"/>
  <c r="L15" i="23"/>
  <c r="I15" i="23"/>
  <c r="H15" i="23"/>
  <c r="L14" i="23"/>
  <c r="N14" i="23" s="1"/>
  <c r="I14" i="23"/>
  <c r="H14" i="23"/>
  <c r="N13" i="23"/>
  <c r="L13" i="23"/>
  <c r="I13" i="23"/>
  <c r="H13" i="23"/>
  <c r="N12" i="23"/>
  <c r="M12" i="23"/>
  <c r="O12" i="23" s="1"/>
  <c r="L12" i="23"/>
  <c r="J12" i="23"/>
  <c r="I12" i="23"/>
  <c r="H12" i="23"/>
  <c r="L11" i="23"/>
  <c r="N11" i="23" s="1"/>
  <c r="I11" i="23"/>
  <c r="H11" i="23"/>
  <c r="N10" i="23"/>
  <c r="L10" i="23"/>
  <c r="I10" i="23"/>
  <c r="H10" i="23"/>
  <c r="N9" i="23"/>
  <c r="L9" i="23"/>
  <c r="I9" i="23"/>
  <c r="H9" i="23"/>
  <c r="C41" i="31"/>
  <c r="F34" i="31" s="1"/>
  <c r="F37" i="31"/>
  <c r="F36" i="31"/>
  <c r="L32" i="31"/>
  <c r="I32" i="31"/>
  <c r="H32" i="31"/>
  <c r="G32" i="31"/>
  <c r="L31" i="31"/>
  <c r="I31" i="31"/>
  <c r="H31" i="31"/>
  <c r="G31" i="31"/>
  <c r="J31" i="31" s="1"/>
  <c r="L30" i="31"/>
  <c r="N30" i="31" s="1"/>
  <c r="I30" i="31"/>
  <c r="H30" i="31"/>
  <c r="L29" i="31"/>
  <c r="N29" i="31" s="1"/>
  <c r="I29" i="31"/>
  <c r="H29" i="31"/>
  <c r="G29" i="31"/>
  <c r="M28" i="31"/>
  <c r="O28" i="31" s="1"/>
  <c r="L28" i="31"/>
  <c r="N28" i="31" s="1"/>
  <c r="I28" i="31"/>
  <c r="H28" i="31"/>
  <c r="G28" i="31"/>
  <c r="J28" i="31" s="1"/>
  <c r="N27" i="31"/>
  <c r="L27" i="31"/>
  <c r="J27" i="31"/>
  <c r="I27" i="31"/>
  <c r="H27" i="31"/>
  <c r="L26" i="31"/>
  <c r="N26" i="31" s="1"/>
  <c r="I26" i="31"/>
  <c r="H26" i="31"/>
  <c r="G26" i="31"/>
  <c r="L25" i="31"/>
  <c r="N25" i="31" s="1"/>
  <c r="I25" i="31"/>
  <c r="H25" i="31"/>
  <c r="G25" i="31"/>
  <c r="J25" i="31" s="1"/>
  <c r="M24" i="31"/>
  <c r="O24" i="31" s="1"/>
  <c r="L24" i="31"/>
  <c r="N24" i="31" s="1"/>
  <c r="J24" i="31"/>
  <c r="I24" i="31"/>
  <c r="H24" i="31"/>
  <c r="L23" i="31"/>
  <c r="N23" i="31" s="1"/>
  <c r="I23" i="31"/>
  <c r="H23" i="31"/>
  <c r="G23" i="31"/>
  <c r="L22" i="31"/>
  <c r="N22" i="31" s="1"/>
  <c r="I22" i="31"/>
  <c r="H22" i="31"/>
  <c r="G22" i="31"/>
  <c r="J22" i="31" s="1"/>
  <c r="L21" i="31"/>
  <c r="N21" i="31" s="1"/>
  <c r="I21" i="31"/>
  <c r="H21" i="31"/>
  <c r="L20" i="31"/>
  <c r="N20" i="31" s="1"/>
  <c r="I20" i="31"/>
  <c r="H20" i="31"/>
  <c r="G20" i="31"/>
  <c r="M19" i="31"/>
  <c r="O19" i="31" s="1"/>
  <c r="L19" i="31"/>
  <c r="N19" i="31" s="1"/>
  <c r="I19" i="31"/>
  <c r="H19" i="31"/>
  <c r="G19" i="31"/>
  <c r="J19" i="31" s="1"/>
  <c r="N18" i="31"/>
  <c r="M18" i="31"/>
  <c r="O18" i="31" s="1"/>
  <c r="L18" i="31"/>
  <c r="J18" i="31"/>
  <c r="I18" i="31"/>
  <c r="H18" i="31"/>
  <c r="L17" i="31"/>
  <c r="N17" i="31" s="1"/>
  <c r="I17" i="31"/>
  <c r="H17" i="31"/>
  <c r="G17" i="31"/>
  <c r="L16" i="31"/>
  <c r="N16" i="31" s="1"/>
  <c r="I16" i="31"/>
  <c r="H16" i="31"/>
  <c r="G16" i="31"/>
  <c r="J16" i="31" s="1"/>
  <c r="M15" i="31"/>
  <c r="O15" i="31" s="1"/>
  <c r="L15" i="31"/>
  <c r="N15" i="31" s="1"/>
  <c r="I15" i="31"/>
  <c r="H15" i="31"/>
  <c r="L14" i="31"/>
  <c r="N14" i="31" s="1"/>
  <c r="I14" i="31"/>
  <c r="H14" i="31"/>
  <c r="G14" i="31"/>
  <c r="L13" i="31"/>
  <c r="N13" i="31" s="1"/>
  <c r="I13" i="31"/>
  <c r="H13" i="31"/>
  <c r="G13" i="31"/>
  <c r="J13" i="31" s="1"/>
  <c r="L12" i="31"/>
  <c r="N12" i="31" s="1"/>
  <c r="I12" i="31"/>
  <c r="H12" i="31"/>
  <c r="L11" i="31"/>
  <c r="N11" i="31" s="1"/>
  <c r="I11" i="31"/>
  <c r="H11" i="31"/>
  <c r="G11" i="31"/>
  <c r="M10" i="31"/>
  <c r="O10" i="31" s="1"/>
  <c r="L10" i="31"/>
  <c r="N10" i="31" s="1"/>
  <c r="I10" i="31"/>
  <c r="H10" i="31"/>
  <c r="N9" i="31"/>
  <c r="L9" i="31"/>
  <c r="J9" i="31"/>
  <c r="I9" i="31"/>
  <c r="H9" i="31"/>
  <c r="C41" i="32"/>
  <c r="F36" i="32"/>
  <c r="F35" i="32"/>
  <c r="F34" i="32"/>
  <c r="N32" i="32"/>
  <c r="M32" i="32"/>
  <c r="O32" i="32" s="1"/>
  <c r="L32" i="32"/>
  <c r="I32" i="32"/>
  <c r="H32" i="32"/>
  <c r="G32" i="32"/>
  <c r="J32" i="32" s="1"/>
  <c r="O31" i="32"/>
  <c r="M31" i="32"/>
  <c r="L31" i="32"/>
  <c r="J31" i="32"/>
  <c r="I31" i="32"/>
  <c r="H31" i="32"/>
  <c r="G31" i="32"/>
  <c r="N30" i="32"/>
  <c r="M30" i="32"/>
  <c r="O30" i="32" s="1"/>
  <c r="L30" i="32"/>
  <c r="J30" i="32"/>
  <c r="I30" i="32"/>
  <c r="H30" i="32"/>
  <c r="G30" i="32"/>
  <c r="G30" i="31" s="1"/>
  <c r="G30" i="23" s="1"/>
  <c r="G30" i="22" s="1"/>
  <c r="J30" i="22" s="1"/>
  <c r="N29" i="32"/>
  <c r="M29" i="32"/>
  <c r="O29" i="32" s="1"/>
  <c r="L29" i="32"/>
  <c r="I29" i="32"/>
  <c r="H29" i="32"/>
  <c r="G29" i="32"/>
  <c r="J29" i="32" s="1"/>
  <c r="N28" i="32"/>
  <c r="M28" i="32"/>
  <c r="O28" i="32" s="1"/>
  <c r="L28" i="32"/>
  <c r="J28" i="32"/>
  <c r="I28" i="32"/>
  <c r="H28" i="32"/>
  <c r="G28" i="32"/>
  <c r="N27" i="32"/>
  <c r="L27" i="32"/>
  <c r="J27" i="32"/>
  <c r="I27" i="32"/>
  <c r="H27" i="32"/>
  <c r="G27" i="32"/>
  <c r="G27" i="31" s="1"/>
  <c r="G27" i="23" s="1"/>
  <c r="M27" i="23" s="1"/>
  <c r="O27" i="23" s="1"/>
  <c r="N26" i="32"/>
  <c r="M26" i="32"/>
  <c r="O26" i="32" s="1"/>
  <c r="L26" i="32"/>
  <c r="I26" i="32"/>
  <c r="H26" i="32"/>
  <c r="G26" i="32"/>
  <c r="J26" i="32" s="1"/>
  <c r="M25" i="32"/>
  <c r="O25" i="32" s="1"/>
  <c r="L25" i="32"/>
  <c r="N25" i="32" s="1"/>
  <c r="J25" i="32"/>
  <c r="I25" i="32"/>
  <c r="H25" i="32"/>
  <c r="G25" i="32"/>
  <c r="N24" i="32"/>
  <c r="L24" i="32"/>
  <c r="I24" i="32"/>
  <c r="H24" i="32"/>
  <c r="G24" i="32"/>
  <c r="G24" i="31" s="1"/>
  <c r="G24" i="23" s="1"/>
  <c r="G24" i="22" s="1"/>
  <c r="N23" i="32"/>
  <c r="M23" i="32"/>
  <c r="O23" i="32" s="1"/>
  <c r="L23" i="32"/>
  <c r="I23" i="32"/>
  <c r="H23" i="32"/>
  <c r="G23" i="32"/>
  <c r="J23" i="32" s="1"/>
  <c r="M22" i="32"/>
  <c r="O22" i="32" s="1"/>
  <c r="L22" i="32"/>
  <c r="N22" i="32" s="1"/>
  <c r="J22" i="32"/>
  <c r="I22" i="32"/>
  <c r="H22" i="32"/>
  <c r="G22" i="32"/>
  <c r="N21" i="32"/>
  <c r="M21" i="32"/>
  <c r="O21" i="32" s="1"/>
  <c r="L21" i="32"/>
  <c r="I21" i="32"/>
  <c r="H21" i="32"/>
  <c r="G21" i="32"/>
  <c r="G21" i="31" s="1"/>
  <c r="G21" i="23" s="1"/>
  <c r="G21" i="22" s="1"/>
  <c r="N20" i="32"/>
  <c r="M20" i="32"/>
  <c r="O20" i="32" s="1"/>
  <c r="L20" i="32"/>
  <c r="J20" i="32"/>
  <c r="I20" i="32"/>
  <c r="H20" i="32"/>
  <c r="G20" i="32"/>
  <c r="N19" i="32"/>
  <c r="M19" i="32"/>
  <c r="O19" i="32" s="1"/>
  <c r="L19" i="32"/>
  <c r="J19" i="32"/>
  <c r="I19" i="32"/>
  <c r="H19" i="32"/>
  <c r="G19" i="32"/>
  <c r="N18" i="32"/>
  <c r="M18" i="32"/>
  <c r="O18" i="32" s="1"/>
  <c r="L18" i="32"/>
  <c r="J18" i="32"/>
  <c r="I18" i="32"/>
  <c r="H18" i="32"/>
  <c r="G18" i="32"/>
  <c r="G18" i="31" s="1"/>
  <c r="G18" i="23" s="1"/>
  <c r="G18" i="22" s="1"/>
  <c r="J18" i="22" s="1"/>
  <c r="N17" i="32"/>
  <c r="M17" i="32"/>
  <c r="O17" i="32" s="1"/>
  <c r="L17" i="32"/>
  <c r="J17" i="32"/>
  <c r="I17" i="32"/>
  <c r="H17" i="32"/>
  <c r="G17" i="32"/>
  <c r="O16" i="32"/>
  <c r="N16" i="32"/>
  <c r="M16" i="32"/>
  <c r="L16" i="32"/>
  <c r="I16" i="32"/>
  <c r="H16" i="32"/>
  <c r="G16" i="32"/>
  <c r="J16" i="32" s="1"/>
  <c r="N15" i="32"/>
  <c r="L15" i="32"/>
  <c r="I15" i="32"/>
  <c r="H15" i="32"/>
  <c r="G15" i="32"/>
  <c r="G15" i="31" s="1"/>
  <c r="G15" i="23" s="1"/>
  <c r="G15" i="22" s="1"/>
  <c r="J15" i="22" s="1"/>
  <c r="M14" i="32"/>
  <c r="O14" i="32" s="1"/>
  <c r="L14" i="32"/>
  <c r="N14" i="32" s="1"/>
  <c r="J14" i="32"/>
  <c r="I14" i="32"/>
  <c r="H14" i="32"/>
  <c r="G14" i="32"/>
  <c r="M13" i="32"/>
  <c r="O13" i="32" s="1"/>
  <c r="L13" i="32"/>
  <c r="N13" i="32" s="1"/>
  <c r="I13" i="32"/>
  <c r="H13" i="32"/>
  <c r="G13" i="32"/>
  <c r="J13" i="32" s="1"/>
  <c r="N12" i="32"/>
  <c r="L12" i="32"/>
  <c r="J12" i="32"/>
  <c r="I12" i="32"/>
  <c r="H12" i="32"/>
  <c r="G12" i="32"/>
  <c r="G12" i="31" s="1"/>
  <c r="G12" i="23" s="1"/>
  <c r="N11" i="32"/>
  <c r="M11" i="32"/>
  <c r="O11" i="32" s="1"/>
  <c r="L11" i="32"/>
  <c r="J11" i="32"/>
  <c r="I11" i="32"/>
  <c r="H11" i="32"/>
  <c r="G11" i="32"/>
  <c r="L10" i="32"/>
  <c r="N10" i="32" s="1"/>
  <c r="I10" i="32"/>
  <c r="H10" i="32"/>
  <c r="G10" i="32"/>
  <c r="J10" i="32" s="1"/>
  <c r="N9" i="32"/>
  <c r="L9" i="32"/>
  <c r="I9" i="32"/>
  <c r="H9" i="32"/>
  <c r="G9" i="32"/>
  <c r="G9" i="31" s="1"/>
  <c r="G9" i="23" s="1"/>
  <c r="G9" i="22" s="1"/>
  <c r="D41" i="33"/>
  <c r="C41" i="33"/>
  <c r="O32" i="33"/>
  <c r="M32" i="33"/>
  <c r="L32" i="33"/>
  <c r="J32" i="33"/>
  <c r="I32" i="33"/>
  <c r="H32" i="33"/>
  <c r="N31" i="33"/>
  <c r="M31" i="33"/>
  <c r="N32" i="33" s="1"/>
  <c r="L31" i="33"/>
  <c r="J31" i="33"/>
  <c r="I31" i="33"/>
  <c r="H31" i="33"/>
  <c r="O30" i="33"/>
  <c r="N30" i="33"/>
  <c r="M30" i="33"/>
  <c r="L30" i="33"/>
  <c r="J30" i="33"/>
  <c r="I30" i="33"/>
  <c r="H30" i="33"/>
  <c r="N29" i="33"/>
  <c r="M29" i="33"/>
  <c r="O29" i="33" s="1"/>
  <c r="L29" i="33"/>
  <c r="J29" i="33"/>
  <c r="I29" i="33"/>
  <c r="H29" i="33"/>
  <c r="O28" i="33"/>
  <c r="M28" i="33"/>
  <c r="L28" i="33"/>
  <c r="N28" i="33" s="1"/>
  <c r="J28" i="33"/>
  <c r="I28" i="33"/>
  <c r="H28" i="33"/>
  <c r="O27" i="33"/>
  <c r="M27" i="33"/>
  <c r="L27" i="33"/>
  <c r="N27" i="33" s="1"/>
  <c r="J27" i="33"/>
  <c r="I27" i="33"/>
  <c r="H27" i="33"/>
  <c r="M26" i="33"/>
  <c r="O26" i="33" s="1"/>
  <c r="L26" i="33"/>
  <c r="N26" i="33" s="1"/>
  <c r="J26" i="33"/>
  <c r="I26" i="33"/>
  <c r="H26" i="33"/>
  <c r="M25" i="33"/>
  <c r="O25" i="33" s="1"/>
  <c r="L25" i="33"/>
  <c r="N25" i="33" s="1"/>
  <c r="J25" i="33"/>
  <c r="I25" i="33"/>
  <c r="H25" i="33"/>
  <c r="M24" i="33"/>
  <c r="O24" i="33" s="1"/>
  <c r="L24" i="33"/>
  <c r="N24" i="33" s="1"/>
  <c r="J24" i="33"/>
  <c r="I24" i="33"/>
  <c r="H24" i="33"/>
  <c r="O23" i="33"/>
  <c r="N23" i="33"/>
  <c r="M23" i="33"/>
  <c r="L23" i="33"/>
  <c r="J23" i="33"/>
  <c r="I23" i="33"/>
  <c r="H23" i="33"/>
  <c r="N22" i="33"/>
  <c r="M22" i="33"/>
  <c r="O22" i="33" s="1"/>
  <c r="L22" i="33"/>
  <c r="J22" i="33"/>
  <c r="I22" i="33"/>
  <c r="H22" i="33"/>
  <c r="O21" i="33"/>
  <c r="M21" i="33"/>
  <c r="L21" i="33"/>
  <c r="N21" i="33" s="1"/>
  <c r="J21" i="33"/>
  <c r="I21" i="33"/>
  <c r="H21" i="33"/>
  <c r="M20" i="33"/>
  <c r="O20" i="33" s="1"/>
  <c r="L20" i="33"/>
  <c r="N20" i="33" s="1"/>
  <c r="J20" i="33"/>
  <c r="I20" i="33"/>
  <c r="H20" i="33"/>
  <c r="M19" i="33"/>
  <c r="O19" i="33" s="1"/>
  <c r="L19" i="33"/>
  <c r="N19" i="33" s="1"/>
  <c r="J19" i="33"/>
  <c r="I19" i="33"/>
  <c r="H19" i="33"/>
  <c r="O18" i="33"/>
  <c r="M18" i="33"/>
  <c r="L18" i="33"/>
  <c r="N18" i="33" s="1"/>
  <c r="J18" i="33"/>
  <c r="I18" i="33"/>
  <c r="H18" i="33"/>
  <c r="M17" i="33"/>
  <c r="O17" i="33" s="1"/>
  <c r="L17" i="33"/>
  <c r="N17" i="33" s="1"/>
  <c r="J17" i="33"/>
  <c r="I17" i="33"/>
  <c r="H17" i="33"/>
  <c r="O16" i="33"/>
  <c r="N16" i="33"/>
  <c r="M16" i="33"/>
  <c r="L16" i="33"/>
  <c r="J16" i="33"/>
  <c r="I16" i="33"/>
  <c r="H16" i="33"/>
  <c r="O15" i="33"/>
  <c r="M15" i="33"/>
  <c r="L15" i="33"/>
  <c r="N15" i="33" s="1"/>
  <c r="J15" i="33"/>
  <c r="I15" i="33"/>
  <c r="H15" i="33"/>
  <c r="O14" i="33"/>
  <c r="M14" i="33"/>
  <c r="L14" i="33"/>
  <c r="N14" i="33" s="1"/>
  <c r="J14" i="33"/>
  <c r="I14" i="33"/>
  <c r="H14" i="33"/>
  <c r="N13" i="33"/>
  <c r="M13" i="33"/>
  <c r="O13" i="33" s="1"/>
  <c r="L13" i="33"/>
  <c r="J13" i="33"/>
  <c r="I13" i="33"/>
  <c r="H13" i="33"/>
  <c r="M12" i="33"/>
  <c r="O12" i="33" s="1"/>
  <c r="L12" i="33"/>
  <c r="N12" i="33" s="1"/>
  <c r="J12" i="33"/>
  <c r="I12" i="33"/>
  <c r="H12" i="33"/>
  <c r="O11" i="33"/>
  <c r="M11" i="33"/>
  <c r="L11" i="33"/>
  <c r="N11" i="33" s="1"/>
  <c r="J11" i="33"/>
  <c r="I11" i="33"/>
  <c r="H11" i="33"/>
  <c r="N10" i="33"/>
  <c r="M10" i="33"/>
  <c r="O10" i="33" s="1"/>
  <c r="L10" i="33"/>
  <c r="J10" i="33"/>
  <c r="I10" i="33"/>
  <c r="H10" i="33"/>
  <c r="O9" i="33"/>
  <c r="N9" i="33"/>
  <c r="M9" i="33"/>
  <c r="L9" i="33"/>
  <c r="J9" i="33"/>
  <c r="I9" i="33"/>
  <c r="H9" i="33"/>
  <c r="N33" i="33" l="1"/>
  <c r="N37" i="33" s="1"/>
  <c r="M27" i="21"/>
  <c r="O27" i="21" s="1"/>
  <c r="J27" i="21"/>
  <c r="G27" i="20"/>
  <c r="J9" i="22"/>
  <c r="G9" i="21"/>
  <c r="M9" i="22"/>
  <c r="O9" i="22" s="1"/>
  <c r="O33" i="33"/>
  <c r="O37" i="33" s="1"/>
  <c r="J15" i="31"/>
  <c r="J12" i="22"/>
  <c r="G12" i="21"/>
  <c r="J15" i="32"/>
  <c r="G20" i="23"/>
  <c r="M20" i="31"/>
  <c r="O20" i="31" s="1"/>
  <c r="J20" i="31"/>
  <c r="M10" i="32"/>
  <c r="O10" i="32" s="1"/>
  <c r="M15" i="32"/>
  <c r="O15" i="32" s="1"/>
  <c r="G13" i="23"/>
  <c r="M19" i="23"/>
  <c r="O19" i="23" s="1"/>
  <c r="J19" i="23"/>
  <c r="G19" i="22"/>
  <c r="G25" i="23"/>
  <c r="G31" i="23"/>
  <c r="M12" i="22"/>
  <c r="O12" i="22" s="1"/>
  <c r="G30" i="20"/>
  <c r="N31" i="17"/>
  <c r="N33" i="17" s="1"/>
  <c r="N37" i="17" s="1"/>
  <c r="N32" i="17"/>
  <c r="G29" i="23"/>
  <c r="M29" i="31"/>
  <c r="O29" i="31" s="1"/>
  <c r="J29" i="31"/>
  <c r="M31" i="31"/>
  <c r="O31" i="33"/>
  <c r="M27" i="32"/>
  <c r="O27" i="32" s="1"/>
  <c r="M9" i="31"/>
  <c r="O9" i="31" s="1"/>
  <c r="G14" i="23"/>
  <c r="M14" i="31"/>
  <c r="O14" i="31" s="1"/>
  <c r="J14" i="31"/>
  <c r="G23" i="23"/>
  <c r="M23" i="31"/>
  <c r="O23" i="31" s="1"/>
  <c r="J23" i="31"/>
  <c r="M27" i="31"/>
  <c r="O27" i="31" s="1"/>
  <c r="M32" i="31"/>
  <c r="O32" i="31" s="1"/>
  <c r="J32" i="31"/>
  <c r="J9" i="23"/>
  <c r="J15" i="23"/>
  <c r="J21" i="23"/>
  <c r="J27" i="23"/>
  <c r="F36" i="23"/>
  <c r="F35" i="23"/>
  <c r="F34" i="23"/>
  <c r="D41" i="23" s="1"/>
  <c r="J30" i="21"/>
  <c r="L18" i="47"/>
  <c r="O18" i="47"/>
  <c r="Q18" i="47" s="1"/>
  <c r="J27" i="22"/>
  <c r="M27" i="22"/>
  <c r="O27" i="22" s="1"/>
  <c r="O30" i="23"/>
  <c r="M12" i="32"/>
  <c r="O12" i="32" s="1"/>
  <c r="G10" i="31"/>
  <c r="J12" i="31"/>
  <c r="M16" i="31"/>
  <c r="O16" i="31" s="1"/>
  <c r="J21" i="31"/>
  <c r="M25" i="31"/>
  <c r="O25" i="31" s="1"/>
  <c r="J30" i="31"/>
  <c r="M9" i="23"/>
  <c r="O9" i="23" s="1"/>
  <c r="M15" i="23"/>
  <c r="O15" i="23" s="1"/>
  <c r="M21" i="23"/>
  <c r="O21" i="23" s="1"/>
  <c r="M15" i="22"/>
  <c r="O15" i="22" s="1"/>
  <c r="O30" i="22"/>
  <c r="G15" i="21"/>
  <c r="F35" i="20"/>
  <c r="N35" i="35"/>
  <c r="N38" i="35" s="1"/>
  <c r="J24" i="22"/>
  <c r="G24" i="21"/>
  <c r="M24" i="22"/>
  <c r="O24" i="22" s="1"/>
  <c r="M13" i="31"/>
  <c r="O13" i="31" s="1"/>
  <c r="F37" i="34"/>
  <c r="F36" i="34"/>
  <c r="F34" i="34"/>
  <c r="F40" i="34"/>
  <c r="F39" i="34"/>
  <c r="F38" i="34"/>
  <c r="F35" i="34"/>
  <c r="J9" i="32"/>
  <c r="M24" i="32"/>
  <c r="O24" i="32" s="1"/>
  <c r="D41" i="32"/>
  <c r="G32" i="23"/>
  <c r="M18" i="22"/>
  <c r="O18" i="22" s="1"/>
  <c r="D41" i="21"/>
  <c r="G11" i="23"/>
  <c r="M11" i="31"/>
  <c r="O11" i="31" s="1"/>
  <c r="J11" i="31"/>
  <c r="M22" i="31"/>
  <c r="O22" i="31" s="1"/>
  <c r="J21" i="22"/>
  <c r="G21" i="21"/>
  <c r="M21" i="22"/>
  <c r="O21" i="22" s="1"/>
  <c r="J24" i="32"/>
  <c r="J21" i="32"/>
  <c r="M12" i="31"/>
  <c r="O12" i="31" s="1"/>
  <c r="G17" i="23"/>
  <c r="M17" i="31"/>
  <c r="O17" i="31" s="1"/>
  <c r="J17" i="31"/>
  <c r="M21" i="31"/>
  <c r="O21" i="31" s="1"/>
  <c r="G26" i="23"/>
  <c r="M26" i="31"/>
  <c r="O26" i="31" s="1"/>
  <c r="J26" i="31"/>
  <c r="M30" i="31"/>
  <c r="F36" i="20"/>
  <c r="F34" i="20"/>
  <c r="D41" i="20" s="1"/>
  <c r="G34" i="14"/>
  <c r="J34" i="13"/>
  <c r="M34" i="13"/>
  <c r="O34" i="13" s="1"/>
  <c r="N35" i="36"/>
  <c r="N38" i="36" s="1"/>
  <c r="M9" i="32"/>
  <c r="O9" i="32" s="1"/>
  <c r="N31" i="32"/>
  <c r="N33" i="32" s="1"/>
  <c r="N37" i="32" s="1"/>
  <c r="F35" i="31"/>
  <c r="D41" i="31" s="1"/>
  <c r="G16" i="23"/>
  <c r="G22" i="23"/>
  <c r="G28" i="23"/>
  <c r="G18" i="21"/>
  <c r="O30" i="47"/>
  <c r="Q30" i="47" s="1"/>
  <c r="L30" i="47"/>
  <c r="N35" i="13"/>
  <c r="N38" i="13" s="1"/>
  <c r="M25" i="67"/>
  <c r="O25" i="67" s="1"/>
  <c r="G25" i="68"/>
  <c r="J25" i="67"/>
  <c r="F36" i="22"/>
  <c r="N30" i="18"/>
  <c r="M28" i="59"/>
  <c r="O28" i="59" s="1"/>
  <c r="G28" i="60"/>
  <c r="J16" i="60"/>
  <c r="G16" i="61"/>
  <c r="J16" i="61" s="1"/>
  <c r="G16" i="62"/>
  <c r="N35" i="15"/>
  <c r="N38" i="15" s="1"/>
  <c r="O31" i="47"/>
  <c r="Q31" i="47" s="1"/>
  <c r="L31" i="47"/>
  <c r="G26" i="60"/>
  <c r="J26" i="59"/>
  <c r="F35" i="22"/>
  <c r="F34" i="22"/>
  <c r="D41" i="19"/>
  <c r="N33" i="18"/>
  <c r="N37" i="18" s="1"/>
  <c r="J22" i="65"/>
  <c r="M22" i="65"/>
  <c r="O22" i="65" s="1"/>
  <c r="G22" i="66"/>
  <c r="J13" i="66"/>
  <c r="M13" i="66"/>
  <c r="O13" i="66" s="1"/>
  <c r="G13" i="67"/>
  <c r="J23" i="66"/>
  <c r="G23" i="67"/>
  <c r="M23" i="66"/>
  <c r="O23" i="66" s="1"/>
  <c r="M9" i="65"/>
  <c r="O9" i="65" s="1"/>
  <c r="G9" i="66"/>
  <c r="M19" i="69"/>
  <c r="G19" i="70"/>
  <c r="G19" i="71" s="1"/>
  <c r="M19" i="71" s="1"/>
  <c r="O19" i="71" s="1"/>
  <c r="N32" i="37"/>
  <c r="N36" i="37" s="1"/>
  <c r="M31" i="56"/>
  <c r="O31" i="56" s="1"/>
  <c r="J31" i="56"/>
  <c r="M27" i="59"/>
  <c r="O27" i="59" s="1"/>
  <c r="J27" i="59"/>
  <c r="G27" i="60"/>
  <c r="J21" i="65"/>
  <c r="M21" i="65"/>
  <c r="O21" i="65" s="1"/>
  <c r="G21" i="66"/>
  <c r="F34" i="17"/>
  <c r="M29" i="63"/>
  <c r="O29" i="63" s="1"/>
  <c r="J29" i="63"/>
  <c r="M12" i="66"/>
  <c r="O12" i="66" s="1"/>
  <c r="G12" i="67"/>
  <c r="J12" i="66"/>
  <c r="F35" i="17"/>
  <c r="F34" i="18"/>
  <c r="M25" i="58"/>
  <c r="O25" i="58" s="1"/>
  <c r="G25" i="59"/>
  <c r="M12" i="58"/>
  <c r="O12" i="58" s="1"/>
  <c r="J12" i="58"/>
  <c r="G12" i="59"/>
  <c r="F35" i="18"/>
  <c r="M11" i="58"/>
  <c r="O11" i="58" s="1"/>
  <c r="G11" i="59"/>
  <c r="J19" i="68"/>
  <c r="J23" i="58"/>
  <c r="G23" i="59"/>
  <c r="M29" i="67"/>
  <c r="O29" i="67" s="1"/>
  <c r="G29" i="68"/>
  <c r="M22" i="59"/>
  <c r="O22" i="59" s="1"/>
  <c r="G22" i="60"/>
  <c r="G31" i="41"/>
  <c r="J31" i="41" s="1"/>
  <c r="J20" i="60"/>
  <c r="G20" i="61"/>
  <c r="J20" i="61" s="1"/>
  <c r="M20" i="60"/>
  <c r="O20" i="60" s="1"/>
  <c r="M16" i="65"/>
  <c r="O16" i="65" s="1"/>
  <c r="G16" i="66"/>
  <c r="M16" i="66" s="1"/>
  <c r="O16" i="66" s="1"/>
  <c r="M19" i="58"/>
  <c r="O19" i="58" s="1"/>
  <c r="G19" i="59"/>
  <c r="J8" i="65"/>
  <c r="G8" i="66"/>
  <c r="M26" i="66"/>
  <c r="O26" i="66" s="1"/>
  <c r="G26" i="67"/>
  <c r="J26" i="66"/>
  <c r="G31" i="49"/>
  <c r="J31" i="49" s="1"/>
  <c r="J15" i="59"/>
  <c r="G15" i="60"/>
  <c r="G31" i="50"/>
  <c r="J14" i="59"/>
  <c r="G14" i="60"/>
  <c r="M28" i="65"/>
  <c r="O28" i="65" s="1"/>
  <c r="G28" i="66"/>
  <c r="J34" i="35"/>
  <c r="G31" i="37"/>
  <c r="G31" i="44"/>
  <c r="J31" i="44" s="1"/>
  <c r="M8" i="57"/>
  <c r="O8" i="57" s="1"/>
  <c r="G8" i="58"/>
  <c r="J8" i="58" s="1"/>
  <c r="J10" i="59"/>
  <c r="G10" i="60"/>
  <c r="M27" i="66"/>
  <c r="O27" i="66" s="1"/>
  <c r="G27" i="67"/>
  <c r="G20" i="66"/>
  <c r="I17" i="47"/>
  <c r="G31" i="42"/>
  <c r="M11" i="66"/>
  <c r="O11" i="66" s="1"/>
  <c r="G11" i="67"/>
  <c r="J11" i="67" s="1"/>
  <c r="J11" i="66"/>
  <c r="G31" i="55"/>
  <c r="G31" i="53"/>
  <c r="G31" i="45"/>
  <c r="G31" i="43"/>
  <c r="G31" i="54"/>
  <c r="J31" i="54" s="1"/>
  <c r="G31" i="51"/>
  <c r="J31" i="51" s="1"/>
  <c r="G31" i="57"/>
  <c r="M13" i="58"/>
  <c r="O13" i="58" s="1"/>
  <c r="G13" i="59"/>
  <c r="J10" i="65"/>
  <c r="G10" i="66"/>
  <c r="J14" i="66"/>
  <c r="G14" i="67"/>
  <c r="J19" i="67"/>
  <c r="M17" i="58"/>
  <c r="O17" i="58" s="1"/>
  <c r="J25" i="65"/>
  <c r="J29" i="66"/>
  <c r="G9" i="60"/>
  <c r="J15" i="65"/>
  <c r="G21" i="60"/>
  <c r="J22" i="63"/>
  <c r="M29" i="58"/>
  <c r="O29" i="58" s="1"/>
  <c r="G29" i="59"/>
  <c r="G17" i="59"/>
  <c r="M27" i="65"/>
  <c r="O27" i="65" s="1"/>
  <c r="G15" i="66"/>
  <c r="N32" i="72"/>
  <c r="N36" i="72" s="1"/>
  <c r="N32" i="71"/>
  <c r="N36" i="71" s="1"/>
  <c r="N32" i="70"/>
  <c r="N36" i="70" s="1"/>
  <c r="O19" i="69"/>
  <c r="J19" i="69"/>
  <c r="N31" i="69"/>
  <c r="N30" i="69"/>
  <c r="N32" i="68"/>
  <c r="N36" i="68" s="1"/>
  <c r="M19" i="68"/>
  <c r="O19" i="68" s="1"/>
  <c r="M25" i="68"/>
  <c r="O25" i="68" s="1"/>
  <c r="N32" i="67"/>
  <c r="N36" i="67" s="1"/>
  <c r="M13" i="67"/>
  <c r="O13" i="67" s="1"/>
  <c r="J14" i="67"/>
  <c r="J23" i="67"/>
  <c r="J26" i="67"/>
  <c r="J29" i="67"/>
  <c r="D39" i="66"/>
  <c r="M19" i="66"/>
  <c r="O19" i="66" s="1"/>
  <c r="J28" i="66"/>
  <c r="M8" i="66"/>
  <c r="O8" i="66" s="1"/>
  <c r="N32" i="66"/>
  <c r="N36" i="66" s="1"/>
  <c r="J28" i="65"/>
  <c r="M12" i="65"/>
  <c r="O12" i="65" s="1"/>
  <c r="J29" i="65"/>
  <c r="J9" i="65"/>
  <c r="M8" i="65"/>
  <c r="O8" i="65" s="1"/>
  <c r="M13" i="65"/>
  <c r="O13" i="65" s="1"/>
  <c r="J16" i="65"/>
  <c r="M10" i="65"/>
  <c r="O10" i="65" s="1"/>
  <c r="N32" i="65"/>
  <c r="N36" i="65" s="1"/>
  <c r="N32" i="64"/>
  <c r="N36" i="64" s="1"/>
  <c r="M8" i="64"/>
  <c r="O8" i="64" s="1"/>
  <c r="J9" i="64"/>
  <c r="M11" i="64"/>
  <c r="O11" i="64" s="1"/>
  <c r="J12" i="64"/>
  <c r="M14" i="64"/>
  <c r="O14" i="64" s="1"/>
  <c r="J15" i="64"/>
  <c r="M20" i="64"/>
  <c r="O20" i="64" s="1"/>
  <c r="J21" i="64"/>
  <c r="M23" i="64"/>
  <c r="O23" i="64" s="1"/>
  <c r="M26" i="64"/>
  <c r="O26" i="64" s="1"/>
  <c r="J27" i="64"/>
  <c r="M29" i="64"/>
  <c r="O29" i="64" s="1"/>
  <c r="M10" i="64"/>
  <c r="O10" i="64" s="1"/>
  <c r="M13" i="64"/>
  <c r="O13" i="64" s="1"/>
  <c r="M16" i="64"/>
  <c r="O16" i="64" s="1"/>
  <c r="M19" i="64"/>
  <c r="O19" i="64" s="1"/>
  <c r="M22" i="64"/>
  <c r="O22" i="64" s="1"/>
  <c r="M25" i="64"/>
  <c r="O25" i="64" s="1"/>
  <c r="M28" i="64"/>
  <c r="O28" i="64" s="1"/>
  <c r="J9" i="63"/>
  <c r="J12" i="63"/>
  <c r="J13" i="63"/>
  <c r="J19" i="63"/>
  <c r="J21" i="63"/>
  <c r="M27" i="63"/>
  <c r="O27" i="63" s="1"/>
  <c r="N32" i="63"/>
  <c r="N36" i="63" s="1"/>
  <c r="N32" i="62"/>
  <c r="N36" i="62" s="1"/>
  <c r="J9" i="62"/>
  <c r="J12" i="62"/>
  <c r="J21" i="62"/>
  <c r="J27" i="62"/>
  <c r="N32" i="61"/>
  <c r="N36" i="61" s="1"/>
  <c r="M20" i="61"/>
  <c r="O20" i="61" s="1"/>
  <c r="M16" i="61"/>
  <c r="O16" i="61" s="1"/>
  <c r="M27" i="60"/>
  <c r="O27" i="60" s="1"/>
  <c r="J21" i="60"/>
  <c r="N32" i="60"/>
  <c r="N36" i="60" s="1"/>
  <c r="M10" i="60"/>
  <c r="O10" i="60" s="1"/>
  <c r="M16" i="60"/>
  <c r="O16" i="60" s="1"/>
  <c r="M28" i="60"/>
  <c r="O28" i="60" s="1"/>
  <c r="M10" i="59"/>
  <c r="O10" i="59" s="1"/>
  <c r="M16" i="59"/>
  <c r="O16" i="59" s="1"/>
  <c r="J28" i="59"/>
  <c r="J22" i="59"/>
  <c r="J9" i="59"/>
  <c r="N32" i="59"/>
  <c r="N36" i="59" s="1"/>
  <c r="M14" i="59"/>
  <c r="O14" i="59" s="1"/>
  <c r="M20" i="59"/>
  <c r="O20" i="59" s="1"/>
  <c r="M23" i="59"/>
  <c r="O23" i="59" s="1"/>
  <c r="M26" i="59"/>
  <c r="O26" i="59" s="1"/>
  <c r="M29" i="59"/>
  <c r="O29" i="59" s="1"/>
  <c r="J13" i="58"/>
  <c r="M20" i="58"/>
  <c r="O20" i="58" s="1"/>
  <c r="M23" i="58"/>
  <c r="O23" i="58" s="1"/>
  <c r="M26" i="58"/>
  <c r="O26" i="58" s="1"/>
  <c r="J11" i="58"/>
  <c r="J19" i="58"/>
  <c r="J25" i="58"/>
  <c r="M9" i="58"/>
  <c r="O9" i="58" s="1"/>
  <c r="N32" i="58"/>
  <c r="N36" i="58" s="1"/>
  <c r="J8" i="57"/>
  <c r="M9" i="57"/>
  <c r="O9" i="57" s="1"/>
  <c r="J16" i="57"/>
  <c r="J17" i="57"/>
  <c r="M28" i="57"/>
  <c r="O28" i="57" s="1"/>
  <c r="M29" i="57"/>
  <c r="O29" i="57" s="1"/>
  <c r="N32" i="57"/>
  <c r="N36" i="57" s="1"/>
  <c r="N32" i="56"/>
  <c r="N36" i="56" s="1"/>
  <c r="N32" i="55"/>
  <c r="N36" i="55" s="1"/>
  <c r="N32" i="54"/>
  <c r="N36" i="54" s="1"/>
  <c r="N32" i="53"/>
  <c r="N36" i="53" s="1"/>
  <c r="N32" i="52"/>
  <c r="N36" i="52" s="1"/>
  <c r="M31" i="52"/>
  <c r="O31" i="52" s="1"/>
  <c r="N32" i="51"/>
  <c r="N36" i="51" s="1"/>
  <c r="N32" i="50"/>
  <c r="N36" i="50" s="1"/>
  <c r="N32" i="49"/>
  <c r="N36" i="49" s="1"/>
  <c r="M31" i="49"/>
  <c r="O31" i="49" s="1"/>
  <c r="N32" i="48"/>
  <c r="N36" i="48" s="1"/>
  <c r="M31" i="48"/>
  <c r="O31" i="48" s="1"/>
  <c r="P32" i="47"/>
  <c r="P36" i="47" s="1"/>
  <c r="L24" i="47"/>
  <c r="N32" i="46"/>
  <c r="N36" i="46" s="1"/>
  <c r="M31" i="46"/>
  <c r="O31" i="46" s="1"/>
  <c r="N32" i="45"/>
  <c r="N36" i="45" s="1"/>
  <c r="N32" i="44"/>
  <c r="N36" i="44" s="1"/>
  <c r="J16" i="44"/>
  <c r="M31" i="44"/>
  <c r="O31" i="44" s="1"/>
  <c r="N32" i="43"/>
  <c r="N36" i="43" s="1"/>
  <c r="N32" i="42"/>
  <c r="N36" i="42" s="1"/>
  <c r="N32" i="41"/>
  <c r="N36" i="41" s="1"/>
  <c r="M31" i="41"/>
  <c r="O31" i="41" s="1"/>
  <c r="G13" i="22" l="1"/>
  <c r="M13" i="23"/>
  <c r="O13" i="23" s="1"/>
  <c r="J13" i="23"/>
  <c r="M31" i="43"/>
  <c r="O31" i="43" s="1"/>
  <c r="J31" i="43"/>
  <c r="J10" i="60"/>
  <c r="G10" i="61"/>
  <c r="M15" i="60"/>
  <c r="O15" i="60" s="1"/>
  <c r="G15" i="62"/>
  <c r="G15" i="61"/>
  <c r="G11" i="60"/>
  <c r="J11" i="59"/>
  <c r="G12" i="68"/>
  <c r="J12" i="67"/>
  <c r="J22" i="66"/>
  <c r="G22" i="67"/>
  <c r="M22" i="66"/>
  <c r="O22" i="66" s="1"/>
  <c r="M16" i="62"/>
  <c r="O16" i="62" s="1"/>
  <c r="J16" i="62"/>
  <c r="G16" i="63"/>
  <c r="M29" i="23"/>
  <c r="O29" i="23" s="1"/>
  <c r="G29" i="22"/>
  <c r="J29" i="23"/>
  <c r="M19" i="70"/>
  <c r="O19" i="70" s="1"/>
  <c r="J15" i="66"/>
  <c r="G15" i="67"/>
  <c r="M15" i="66"/>
  <c r="O15" i="66" s="1"/>
  <c r="M31" i="45"/>
  <c r="O31" i="45" s="1"/>
  <c r="J31" i="45"/>
  <c r="M18" i="21"/>
  <c r="O18" i="21" s="1"/>
  <c r="G18" i="20"/>
  <c r="J18" i="21"/>
  <c r="M24" i="21"/>
  <c r="O24" i="21" s="1"/>
  <c r="J24" i="21"/>
  <c r="G24" i="20"/>
  <c r="J27" i="67"/>
  <c r="G27" i="68"/>
  <c r="M27" i="67"/>
  <c r="O27" i="67" s="1"/>
  <c r="M31" i="50"/>
  <c r="O31" i="50" s="1"/>
  <c r="J31" i="50"/>
  <c r="M31" i="53"/>
  <c r="O31" i="53" s="1"/>
  <c r="J31" i="53"/>
  <c r="M14" i="67"/>
  <c r="O14" i="67" s="1"/>
  <c r="G14" i="68"/>
  <c r="J31" i="55"/>
  <c r="M31" i="55"/>
  <c r="O31" i="55" s="1"/>
  <c r="M12" i="59"/>
  <c r="O12" i="59" s="1"/>
  <c r="G12" i="60"/>
  <c r="J12" i="59"/>
  <c r="G28" i="61"/>
  <c r="J28" i="60"/>
  <c r="M22" i="23"/>
  <c r="O22" i="23" s="1"/>
  <c r="J22" i="23"/>
  <c r="G22" i="22"/>
  <c r="G30" i="19"/>
  <c r="M30" i="20"/>
  <c r="J30" i="20"/>
  <c r="M21" i="21"/>
  <c r="O21" i="21" s="1"/>
  <c r="J21" i="21"/>
  <c r="G21" i="20"/>
  <c r="G17" i="60"/>
  <c r="J17" i="59"/>
  <c r="J15" i="60"/>
  <c r="J29" i="59"/>
  <c r="G29" i="60"/>
  <c r="M26" i="67"/>
  <c r="O26" i="67" s="1"/>
  <c r="G26" i="68"/>
  <c r="D41" i="17"/>
  <c r="G9" i="67"/>
  <c r="M9" i="66"/>
  <c r="O9" i="66" s="1"/>
  <c r="J9" i="66"/>
  <c r="M16" i="23"/>
  <c r="O16" i="23" s="1"/>
  <c r="G16" i="22"/>
  <c r="J16" i="23"/>
  <c r="J10" i="31"/>
  <c r="G10" i="23"/>
  <c r="G20" i="22"/>
  <c r="M20" i="23"/>
  <c r="O20" i="23" s="1"/>
  <c r="J20" i="23"/>
  <c r="G27" i="19"/>
  <c r="J27" i="20"/>
  <c r="M27" i="20"/>
  <c r="O27" i="20" s="1"/>
  <c r="M10" i="66"/>
  <c r="O10" i="66" s="1"/>
  <c r="G10" i="67"/>
  <c r="J10" i="66"/>
  <c r="G11" i="68"/>
  <c r="M11" i="67"/>
  <c r="O11" i="67" s="1"/>
  <c r="J31" i="37"/>
  <c r="M31" i="37"/>
  <c r="O31" i="37" s="1"/>
  <c r="G22" i="61"/>
  <c r="J22" i="60"/>
  <c r="G21" i="67"/>
  <c r="M21" i="66"/>
  <c r="O21" i="66" s="1"/>
  <c r="J21" i="66"/>
  <c r="D41" i="22"/>
  <c r="G26" i="22"/>
  <c r="M26" i="23"/>
  <c r="O26" i="23" s="1"/>
  <c r="J26" i="23"/>
  <c r="M15" i="21"/>
  <c r="O15" i="21" s="1"/>
  <c r="J15" i="21"/>
  <c r="G15" i="20"/>
  <c r="M14" i="23"/>
  <c r="O14" i="23" s="1"/>
  <c r="G14" i="22"/>
  <c r="J14" i="23"/>
  <c r="G9" i="61"/>
  <c r="M9" i="60"/>
  <c r="O9" i="60" s="1"/>
  <c r="M17" i="59"/>
  <c r="O17" i="59" s="1"/>
  <c r="M12" i="67"/>
  <c r="O12" i="67" s="1"/>
  <c r="G8" i="67"/>
  <c r="J8" i="66"/>
  <c r="J25" i="59"/>
  <c r="G25" i="60"/>
  <c r="M25" i="59"/>
  <c r="O25" i="59" s="1"/>
  <c r="O33" i="31"/>
  <c r="O37" i="31" s="1"/>
  <c r="M31" i="23"/>
  <c r="M10" i="23"/>
  <c r="O10" i="23" s="1"/>
  <c r="J31" i="23"/>
  <c r="G31" i="22"/>
  <c r="N31" i="31"/>
  <c r="O30" i="31"/>
  <c r="M9" i="21"/>
  <c r="O9" i="21" s="1"/>
  <c r="G9" i="20"/>
  <c r="J9" i="21"/>
  <c r="M31" i="54"/>
  <c r="O31" i="54" s="1"/>
  <c r="J9" i="60"/>
  <c r="M31" i="51"/>
  <c r="O31" i="51" s="1"/>
  <c r="M22" i="60"/>
  <c r="O22" i="60" s="1"/>
  <c r="M13" i="59"/>
  <c r="O13" i="59" s="1"/>
  <c r="G13" i="60"/>
  <c r="J13" i="59"/>
  <c r="M31" i="42"/>
  <c r="O31" i="42" s="1"/>
  <c r="J31" i="42"/>
  <c r="M28" i="66"/>
  <c r="O28" i="66" s="1"/>
  <c r="G28" i="67"/>
  <c r="J29" i="68"/>
  <c r="G29" i="69"/>
  <c r="M29" i="68"/>
  <c r="O29" i="68" s="1"/>
  <c r="G23" i="68"/>
  <c r="M23" i="67"/>
  <c r="O23" i="67" s="1"/>
  <c r="O33" i="32"/>
  <c r="O37" i="32" s="1"/>
  <c r="M11" i="23"/>
  <c r="O11" i="23" s="1"/>
  <c r="G11" i="22"/>
  <c r="J11" i="23"/>
  <c r="M25" i="23"/>
  <c r="O25" i="23" s="1"/>
  <c r="J25" i="23"/>
  <c r="G25" i="22"/>
  <c r="M34" i="14"/>
  <c r="O34" i="14" s="1"/>
  <c r="J34" i="14"/>
  <c r="G32" i="22"/>
  <c r="M32" i="23"/>
  <c r="O32" i="23" s="1"/>
  <c r="J32" i="23"/>
  <c r="J19" i="71"/>
  <c r="G19" i="72"/>
  <c r="M11" i="59"/>
  <c r="O11" i="59" s="1"/>
  <c r="M21" i="60"/>
  <c r="O21" i="60" s="1"/>
  <c r="G21" i="61"/>
  <c r="O17" i="47"/>
  <c r="Q17" i="47" s="1"/>
  <c r="Q32" i="47" s="1"/>
  <c r="Q36" i="47" s="1"/>
  <c r="L17" i="47"/>
  <c r="G19" i="60"/>
  <c r="J19" i="59"/>
  <c r="M19" i="59"/>
  <c r="O19" i="59" s="1"/>
  <c r="D41" i="18"/>
  <c r="J27" i="60"/>
  <c r="G27" i="61"/>
  <c r="M26" i="60"/>
  <c r="O26" i="60" s="1"/>
  <c r="J26" i="60"/>
  <c r="G26" i="61"/>
  <c r="J25" i="68"/>
  <c r="G25" i="69"/>
  <c r="D41" i="34"/>
  <c r="G19" i="21"/>
  <c r="M19" i="22"/>
  <c r="O19" i="22" s="1"/>
  <c r="J19" i="22"/>
  <c r="J16" i="66"/>
  <c r="G16" i="67"/>
  <c r="M8" i="58"/>
  <c r="O8" i="58" s="1"/>
  <c r="G8" i="59"/>
  <c r="M28" i="23"/>
  <c r="O28" i="23" s="1"/>
  <c r="G28" i="22"/>
  <c r="J28" i="23"/>
  <c r="G23" i="22"/>
  <c r="M23" i="23"/>
  <c r="O23" i="23" s="1"/>
  <c r="J23" i="23"/>
  <c r="J19" i="70"/>
  <c r="J31" i="57"/>
  <c r="M31" i="57"/>
  <c r="O31" i="57" s="1"/>
  <c r="G31" i="58"/>
  <c r="G20" i="67"/>
  <c r="M20" i="66"/>
  <c r="O20" i="66" s="1"/>
  <c r="J20" i="66"/>
  <c r="M14" i="60"/>
  <c r="O14" i="60" s="1"/>
  <c r="J14" i="60"/>
  <c r="G14" i="61"/>
  <c r="J23" i="59"/>
  <c r="G23" i="60"/>
  <c r="G13" i="68"/>
  <c r="J13" i="67"/>
  <c r="M17" i="23"/>
  <c r="O17" i="23" s="1"/>
  <c r="J17" i="23"/>
  <c r="G17" i="22"/>
  <c r="N32" i="31"/>
  <c r="O31" i="31"/>
  <c r="M12" i="21"/>
  <c r="O12" i="21" s="1"/>
  <c r="J12" i="21"/>
  <c r="G12" i="20"/>
  <c r="N32" i="69"/>
  <c r="N36" i="69" s="1"/>
  <c r="D39" i="67"/>
  <c r="O30" i="20" l="1"/>
  <c r="N31" i="20"/>
  <c r="G14" i="69"/>
  <c r="J14" i="68"/>
  <c r="M14" i="68"/>
  <c r="O14" i="68" s="1"/>
  <c r="M15" i="62"/>
  <c r="O15" i="62" s="1"/>
  <c r="G15" i="63"/>
  <c r="J15" i="62"/>
  <c r="M27" i="61"/>
  <c r="O27" i="61" s="1"/>
  <c r="J27" i="61"/>
  <c r="J16" i="67"/>
  <c r="G16" i="68"/>
  <c r="M16" i="67"/>
  <c r="O16" i="67" s="1"/>
  <c r="M27" i="19"/>
  <c r="O27" i="19" s="1"/>
  <c r="J27" i="19"/>
  <c r="G27" i="18"/>
  <c r="G29" i="21"/>
  <c r="M29" i="22"/>
  <c r="O29" i="22" s="1"/>
  <c r="J29" i="22"/>
  <c r="M30" i="19"/>
  <c r="G30" i="18"/>
  <c r="J30" i="19"/>
  <c r="M16" i="63"/>
  <c r="O16" i="63" s="1"/>
  <c r="J16" i="63"/>
  <c r="M19" i="72"/>
  <c r="O19" i="72" s="1"/>
  <c r="J19" i="72"/>
  <c r="J11" i="60"/>
  <c r="M11" i="60"/>
  <c r="O11" i="60" s="1"/>
  <c r="G11" i="61"/>
  <c r="J14" i="61"/>
  <c r="M14" i="61"/>
  <c r="O14" i="61" s="1"/>
  <c r="M29" i="69"/>
  <c r="O29" i="69" s="1"/>
  <c r="G29" i="70"/>
  <c r="J29" i="69"/>
  <c r="J25" i="60"/>
  <c r="G25" i="61"/>
  <c r="M25" i="60"/>
  <c r="O25" i="60" s="1"/>
  <c r="G15" i="19"/>
  <c r="J15" i="20"/>
  <c r="M15" i="20"/>
  <c r="O15" i="20" s="1"/>
  <c r="G20" i="21"/>
  <c r="M20" i="22"/>
  <c r="O20" i="22" s="1"/>
  <c r="J20" i="22"/>
  <c r="M29" i="60"/>
  <c r="O29" i="60" s="1"/>
  <c r="J29" i="60"/>
  <c r="G29" i="61"/>
  <c r="G22" i="21"/>
  <c r="M22" i="22"/>
  <c r="O22" i="22" s="1"/>
  <c r="J22" i="22"/>
  <c r="G18" i="19"/>
  <c r="J18" i="20"/>
  <c r="M18" i="20"/>
  <c r="O18" i="20" s="1"/>
  <c r="J10" i="61"/>
  <c r="M10" i="61"/>
  <c r="O10" i="61" s="1"/>
  <c r="M9" i="61"/>
  <c r="O9" i="61" s="1"/>
  <c r="J9" i="61"/>
  <c r="M23" i="68"/>
  <c r="O23" i="68" s="1"/>
  <c r="G23" i="69"/>
  <c r="J23" i="68"/>
  <c r="G26" i="69"/>
  <c r="M26" i="68"/>
  <c r="O26" i="68" s="1"/>
  <c r="J26" i="68"/>
  <c r="G32" i="21"/>
  <c r="J32" i="22"/>
  <c r="M32" i="22"/>
  <c r="O32" i="22" s="1"/>
  <c r="J22" i="61"/>
  <c r="M22" i="61"/>
  <c r="O22" i="61" s="1"/>
  <c r="G12" i="19"/>
  <c r="M12" i="20"/>
  <c r="O12" i="20" s="1"/>
  <c r="J12" i="20"/>
  <c r="G23" i="21"/>
  <c r="J23" i="22"/>
  <c r="M23" i="22"/>
  <c r="O23" i="22" s="1"/>
  <c r="J19" i="21"/>
  <c r="G19" i="20"/>
  <c r="M19" i="21"/>
  <c r="O19" i="21" s="1"/>
  <c r="G19" i="61"/>
  <c r="J19" i="60"/>
  <c r="M19" i="60"/>
  <c r="O19" i="60" s="1"/>
  <c r="J10" i="23"/>
  <c r="G10" i="22"/>
  <c r="J9" i="67"/>
  <c r="G9" i="68"/>
  <c r="M9" i="67"/>
  <c r="O9" i="67" s="1"/>
  <c r="J13" i="68"/>
  <c r="G13" i="69"/>
  <c r="M13" i="68"/>
  <c r="O13" i="68" s="1"/>
  <c r="J21" i="67"/>
  <c r="G21" i="68"/>
  <c r="M21" i="67"/>
  <c r="O21" i="67" s="1"/>
  <c r="J23" i="60"/>
  <c r="M23" i="60"/>
  <c r="O23" i="60" s="1"/>
  <c r="G23" i="61"/>
  <c r="G25" i="21"/>
  <c r="M25" i="22"/>
  <c r="O25" i="22" s="1"/>
  <c r="J25" i="22"/>
  <c r="G9" i="19"/>
  <c r="J9" i="20"/>
  <c r="M9" i="20"/>
  <c r="O9" i="20" s="1"/>
  <c r="G28" i="21"/>
  <c r="M28" i="22"/>
  <c r="O28" i="22" s="1"/>
  <c r="J28" i="22"/>
  <c r="M25" i="69"/>
  <c r="O25" i="69" s="1"/>
  <c r="G25" i="70"/>
  <c r="J25" i="69"/>
  <c r="M8" i="67"/>
  <c r="O8" i="67" s="1"/>
  <c r="G8" i="68"/>
  <c r="J8" i="67"/>
  <c r="J11" i="68"/>
  <c r="G11" i="69"/>
  <c r="M11" i="68"/>
  <c r="O11" i="68" s="1"/>
  <c r="J22" i="67"/>
  <c r="G22" i="68"/>
  <c r="M22" i="67"/>
  <c r="O22" i="67" s="1"/>
  <c r="J13" i="60"/>
  <c r="G13" i="61"/>
  <c r="M13" i="60"/>
  <c r="O13" i="60" s="1"/>
  <c r="M21" i="61"/>
  <c r="O21" i="61" s="1"/>
  <c r="J21" i="61"/>
  <c r="G16" i="21"/>
  <c r="M16" i="22"/>
  <c r="O16" i="22" s="1"/>
  <c r="J16" i="22"/>
  <c r="J28" i="61"/>
  <c r="M28" i="61"/>
  <c r="O28" i="61" s="1"/>
  <c r="G14" i="21"/>
  <c r="M14" i="22"/>
  <c r="O14" i="22" s="1"/>
  <c r="J14" i="22"/>
  <c r="G17" i="21"/>
  <c r="M17" i="22"/>
  <c r="O17" i="22" s="1"/>
  <c r="J17" i="22"/>
  <c r="G20" i="68"/>
  <c r="M20" i="67"/>
  <c r="O20" i="67" s="1"/>
  <c r="J20" i="67"/>
  <c r="N33" i="31"/>
  <c r="N37" i="31" s="1"/>
  <c r="G26" i="21"/>
  <c r="M26" i="22"/>
  <c r="O26" i="22" s="1"/>
  <c r="J26" i="22"/>
  <c r="J10" i="67"/>
  <c r="G10" i="68"/>
  <c r="M10" i="67"/>
  <c r="O10" i="67" s="1"/>
  <c r="J17" i="60"/>
  <c r="G17" i="61"/>
  <c r="G17" i="62"/>
  <c r="M17" i="60"/>
  <c r="O17" i="60" s="1"/>
  <c r="G27" i="69"/>
  <c r="M27" i="68"/>
  <c r="O27" i="68" s="1"/>
  <c r="J27" i="68"/>
  <c r="J15" i="67"/>
  <c r="G15" i="68"/>
  <c r="M15" i="67"/>
  <c r="O15" i="67" s="1"/>
  <c r="G24" i="19"/>
  <c r="M24" i="20"/>
  <c r="O24" i="20" s="1"/>
  <c r="J24" i="20"/>
  <c r="O31" i="23"/>
  <c r="O33" i="23" s="1"/>
  <c r="O37" i="23" s="1"/>
  <c r="N32" i="23"/>
  <c r="N33" i="23" s="1"/>
  <c r="N37" i="23" s="1"/>
  <c r="M15" i="61"/>
  <c r="O15" i="61" s="1"/>
  <c r="J15" i="61"/>
  <c r="J28" i="67"/>
  <c r="G28" i="68"/>
  <c r="M28" i="67"/>
  <c r="O28" i="67" s="1"/>
  <c r="J8" i="59"/>
  <c r="G8" i="60"/>
  <c r="M8" i="59"/>
  <c r="O8" i="59" s="1"/>
  <c r="J26" i="61"/>
  <c r="M26" i="61"/>
  <c r="O26" i="61" s="1"/>
  <c r="J31" i="58"/>
  <c r="G31" i="59"/>
  <c r="M31" i="58"/>
  <c r="O31" i="58" s="1"/>
  <c r="G11" i="21"/>
  <c r="J11" i="22"/>
  <c r="M11" i="22"/>
  <c r="O11" i="22" s="1"/>
  <c r="G31" i="21"/>
  <c r="M31" i="22"/>
  <c r="J31" i="22"/>
  <c r="G21" i="19"/>
  <c r="M21" i="20"/>
  <c r="O21" i="20" s="1"/>
  <c r="J21" i="20"/>
  <c r="J12" i="60"/>
  <c r="G12" i="61"/>
  <c r="M12" i="60"/>
  <c r="O12" i="60" s="1"/>
  <c r="M12" i="68"/>
  <c r="O12" i="68" s="1"/>
  <c r="G12" i="69"/>
  <c r="J12" i="68"/>
  <c r="G13" i="21"/>
  <c r="J13" i="22"/>
  <c r="M13" i="22"/>
  <c r="O13" i="22" s="1"/>
  <c r="M29" i="70" l="1"/>
  <c r="O29" i="70" s="1"/>
  <c r="G29" i="71"/>
  <c r="J29" i="70"/>
  <c r="J30" i="18"/>
  <c r="G30" i="17"/>
  <c r="M30" i="18"/>
  <c r="O30" i="18" s="1"/>
  <c r="J29" i="61"/>
  <c r="M29" i="61"/>
  <c r="O29" i="61" s="1"/>
  <c r="J8" i="60"/>
  <c r="G8" i="61"/>
  <c r="M8" i="60"/>
  <c r="O8" i="60" s="1"/>
  <c r="G24" i="18"/>
  <c r="J24" i="19"/>
  <c r="M24" i="19"/>
  <c r="O24" i="19" s="1"/>
  <c r="J10" i="68"/>
  <c r="G10" i="69"/>
  <c r="M10" i="68"/>
  <c r="O10" i="68" s="1"/>
  <c r="J25" i="70"/>
  <c r="G25" i="71"/>
  <c r="M25" i="70"/>
  <c r="O25" i="70" s="1"/>
  <c r="J12" i="19"/>
  <c r="G12" i="18"/>
  <c r="M12" i="19"/>
  <c r="O12" i="19" s="1"/>
  <c r="O30" i="19"/>
  <c r="N31" i="19"/>
  <c r="O31" i="22"/>
  <c r="N32" i="22"/>
  <c r="N33" i="22" s="1"/>
  <c r="N37" i="22" s="1"/>
  <c r="J15" i="63"/>
  <c r="M15" i="63"/>
  <c r="O15" i="63" s="1"/>
  <c r="M23" i="69"/>
  <c r="O23" i="69" s="1"/>
  <c r="G23" i="70"/>
  <c r="J23" i="69"/>
  <c r="J21" i="19"/>
  <c r="G21" i="18"/>
  <c r="M21" i="19"/>
  <c r="O21" i="19" s="1"/>
  <c r="J13" i="61"/>
  <c r="M13" i="61"/>
  <c r="O13" i="61" s="1"/>
  <c r="J31" i="21"/>
  <c r="G31" i="20"/>
  <c r="M31" i="21"/>
  <c r="M21" i="68"/>
  <c r="O21" i="68" s="1"/>
  <c r="G21" i="69"/>
  <c r="J21" i="68"/>
  <c r="J19" i="61"/>
  <c r="M19" i="61"/>
  <c r="O19" i="61" s="1"/>
  <c r="M20" i="21"/>
  <c r="O20" i="21" s="1"/>
  <c r="J20" i="21"/>
  <c r="G20" i="20"/>
  <c r="J11" i="61"/>
  <c r="M11" i="61"/>
  <c r="O11" i="61" s="1"/>
  <c r="M29" i="21"/>
  <c r="O29" i="21" s="1"/>
  <c r="J29" i="21"/>
  <c r="G29" i="20"/>
  <c r="M25" i="21"/>
  <c r="O25" i="21" s="1"/>
  <c r="G25" i="20"/>
  <c r="J25" i="21"/>
  <c r="M17" i="21"/>
  <c r="O17" i="21" s="1"/>
  <c r="J17" i="21"/>
  <c r="G17" i="20"/>
  <c r="M13" i="21"/>
  <c r="O13" i="21" s="1"/>
  <c r="J13" i="21"/>
  <c r="G13" i="20"/>
  <c r="G14" i="20"/>
  <c r="M14" i="21"/>
  <c r="O14" i="21" s="1"/>
  <c r="J14" i="21"/>
  <c r="M11" i="69"/>
  <c r="O11" i="69" s="1"/>
  <c r="G11" i="70"/>
  <c r="J11" i="69"/>
  <c r="G19" i="19"/>
  <c r="M19" i="20"/>
  <c r="O19" i="20" s="1"/>
  <c r="J19" i="20"/>
  <c r="M32" i="21"/>
  <c r="O32" i="21" s="1"/>
  <c r="J32" i="21"/>
  <c r="G32" i="20"/>
  <c r="G14" i="70"/>
  <c r="M14" i="69"/>
  <c r="O14" i="69" s="1"/>
  <c r="J14" i="69"/>
  <c r="J18" i="19"/>
  <c r="G18" i="18"/>
  <c r="M18" i="19"/>
  <c r="O18" i="19" s="1"/>
  <c r="M15" i="19"/>
  <c r="O15" i="19" s="1"/>
  <c r="J15" i="19"/>
  <c r="G15" i="18"/>
  <c r="M13" i="69"/>
  <c r="O13" i="69" s="1"/>
  <c r="G13" i="70"/>
  <c r="J13" i="69"/>
  <c r="M12" i="61"/>
  <c r="O12" i="61" s="1"/>
  <c r="J12" i="61"/>
  <c r="G31" i="60"/>
  <c r="J31" i="59"/>
  <c r="M31" i="59"/>
  <c r="O31" i="59" s="1"/>
  <c r="G16" i="20"/>
  <c r="M16" i="21"/>
  <c r="O16" i="21" s="1"/>
  <c r="J16" i="21"/>
  <c r="M9" i="19"/>
  <c r="O9" i="19" s="1"/>
  <c r="G9" i="18"/>
  <c r="J9" i="19"/>
  <c r="J23" i="61"/>
  <c r="M23" i="61"/>
  <c r="O23" i="61" s="1"/>
  <c r="J22" i="68"/>
  <c r="G22" i="69"/>
  <c r="M22" i="68"/>
  <c r="O22" i="68" s="1"/>
  <c r="G27" i="70"/>
  <c r="M27" i="69"/>
  <c r="O27" i="69" s="1"/>
  <c r="J27" i="69"/>
  <c r="J17" i="62"/>
  <c r="G17" i="64"/>
  <c r="M17" i="62"/>
  <c r="O17" i="62" s="1"/>
  <c r="G17" i="63"/>
  <c r="G20" i="69"/>
  <c r="J20" i="68"/>
  <c r="M20" i="68"/>
  <c r="O20" i="68" s="1"/>
  <c r="J8" i="68"/>
  <c r="G8" i="69"/>
  <c r="M8" i="68"/>
  <c r="O8" i="68" s="1"/>
  <c r="G26" i="70"/>
  <c r="M26" i="69"/>
  <c r="O26" i="69" s="1"/>
  <c r="J26" i="69"/>
  <c r="J25" i="61"/>
  <c r="M25" i="61"/>
  <c r="O25" i="61" s="1"/>
  <c r="J16" i="68"/>
  <c r="G16" i="69"/>
  <c r="M16" i="68"/>
  <c r="O16" i="68" s="1"/>
  <c r="G10" i="21"/>
  <c r="J10" i="22"/>
  <c r="M10" i="22"/>
  <c r="O10" i="22" s="1"/>
  <c r="O33" i="22" s="1"/>
  <c r="O37" i="22" s="1"/>
  <c r="G15" i="69"/>
  <c r="M15" i="68"/>
  <c r="O15" i="68" s="1"/>
  <c r="J15" i="68"/>
  <c r="J28" i="68"/>
  <c r="G28" i="69"/>
  <c r="M28" i="68"/>
  <c r="O28" i="68" s="1"/>
  <c r="M12" i="69"/>
  <c r="O12" i="69" s="1"/>
  <c r="G12" i="70"/>
  <c r="J12" i="69"/>
  <c r="M26" i="21"/>
  <c r="O26" i="21" s="1"/>
  <c r="J26" i="21"/>
  <c r="G26" i="20"/>
  <c r="G28" i="20"/>
  <c r="M28" i="21"/>
  <c r="O28" i="21" s="1"/>
  <c r="J28" i="21"/>
  <c r="J27" i="18"/>
  <c r="M27" i="18"/>
  <c r="O27" i="18" s="1"/>
  <c r="G27" i="17"/>
  <c r="G11" i="20"/>
  <c r="M11" i="21"/>
  <c r="O11" i="21" s="1"/>
  <c r="J11" i="21"/>
  <c r="J17" i="61"/>
  <c r="M17" i="61"/>
  <c r="O17" i="61" s="1"/>
  <c r="G9" i="69"/>
  <c r="M9" i="68"/>
  <c r="O9" i="68" s="1"/>
  <c r="J9" i="68"/>
  <c r="G23" i="20"/>
  <c r="M23" i="21"/>
  <c r="O23" i="21" s="1"/>
  <c r="J23" i="21"/>
  <c r="G22" i="20"/>
  <c r="J22" i="21"/>
  <c r="M22" i="21"/>
  <c r="O22" i="21" s="1"/>
  <c r="G31" i="61" l="1"/>
  <c r="G31" i="62"/>
  <c r="J31" i="60"/>
  <c r="M31" i="60"/>
  <c r="O31" i="60" s="1"/>
  <c r="G15" i="70"/>
  <c r="M15" i="69"/>
  <c r="O15" i="69" s="1"/>
  <c r="J15" i="69"/>
  <c r="J17" i="20"/>
  <c r="M17" i="20"/>
  <c r="O17" i="20" s="1"/>
  <c r="G17" i="19"/>
  <c r="G11" i="71"/>
  <c r="M11" i="70"/>
  <c r="O11" i="70" s="1"/>
  <c r="J11" i="70"/>
  <c r="J21" i="18"/>
  <c r="M21" i="18"/>
  <c r="O21" i="18" s="1"/>
  <c r="G21" i="17"/>
  <c r="M16" i="69"/>
  <c r="O16" i="69" s="1"/>
  <c r="G16" i="70"/>
  <c r="J16" i="69"/>
  <c r="G25" i="19"/>
  <c r="M25" i="20"/>
  <c r="O25" i="20" s="1"/>
  <c r="J25" i="20"/>
  <c r="M23" i="70"/>
  <c r="O23" i="70" s="1"/>
  <c r="G23" i="71"/>
  <c r="J23" i="70"/>
  <c r="G25" i="72"/>
  <c r="J25" i="71"/>
  <c r="M25" i="71"/>
  <c r="O25" i="71" s="1"/>
  <c r="J19" i="19"/>
  <c r="M19" i="19"/>
  <c r="O19" i="19" s="1"/>
  <c r="G19" i="18"/>
  <c r="M21" i="69"/>
  <c r="O21" i="69" s="1"/>
  <c r="G21" i="70"/>
  <c r="J21" i="69"/>
  <c r="G16" i="19"/>
  <c r="M16" i="20"/>
  <c r="O16" i="20" s="1"/>
  <c r="J16" i="20"/>
  <c r="J10" i="21"/>
  <c r="M10" i="21"/>
  <c r="O10" i="21" s="1"/>
  <c r="G10" i="20"/>
  <c r="M14" i="70"/>
  <c r="O14" i="70" s="1"/>
  <c r="G14" i="71"/>
  <c r="J14" i="70"/>
  <c r="M29" i="20"/>
  <c r="O29" i="20" s="1"/>
  <c r="J29" i="20"/>
  <c r="G29" i="19"/>
  <c r="M30" i="17"/>
  <c r="O30" i="17" s="1"/>
  <c r="J30" i="17"/>
  <c r="G30" i="34"/>
  <c r="G28" i="19"/>
  <c r="M28" i="20"/>
  <c r="O28" i="20" s="1"/>
  <c r="J28" i="20"/>
  <c r="M12" i="70"/>
  <c r="O12" i="70" s="1"/>
  <c r="G12" i="71"/>
  <c r="J12" i="70"/>
  <c r="G22" i="19"/>
  <c r="M22" i="20"/>
  <c r="O22" i="20" s="1"/>
  <c r="J22" i="20"/>
  <c r="M27" i="17"/>
  <c r="O27" i="17" s="1"/>
  <c r="G27" i="34"/>
  <c r="J27" i="17"/>
  <c r="M32" i="20"/>
  <c r="O32" i="20" s="1"/>
  <c r="J32" i="20"/>
  <c r="J14" i="20"/>
  <c r="G14" i="19"/>
  <c r="M14" i="20"/>
  <c r="O14" i="20" s="1"/>
  <c r="N32" i="21"/>
  <c r="N33" i="21" s="1"/>
  <c r="N37" i="21" s="1"/>
  <c r="O31" i="21"/>
  <c r="M10" i="69"/>
  <c r="O10" i="69" s="1"/>
  <c r="G10" i="70"/>
  <c r="J10" i="69"/>
  <c r="J8" i="61"/>
  <c r="M8" i="61"/>
  <c r="O8" i="61" s="1"/>
  <c r="M22" i="69"/>
  <c r="O22" i="69" s="1"/>
  <c r="G22" i="70"/>
  <c r="J22" i="69"/>
  <c r="J13" i="70"/>
  <c r="G13" i="71"/>
  <c r="M13" i="70"/>
  <c r="O13" i="70" s="1"/>
  <c r="M28" i="69"/>
  <c r="O28" i="69" s="1"/>
  <c r="G28" i="70"/>
  <c r="J28" i="69"/>
  <c r="J17" i="64"/>
  <c r="G17" i="65"/>
  <c r="M17" i="64"/>
  <c r="O17" i="64" s="1"/>
  <c r="G13" i="19"/>
  <c r="J13" i="20"/>
  <c r="M13" i="20"/>
  <c r="O13" i="20" s="1"/>
  <c r="G31" i="19"/>
  <c r="M31" i="20"/>
  <c r="J31" i="20"/>
  <c r="M20" i="20"/>
  <c r="O20" i="20" s="1"/>
  <c r="J20" i="20"/>
  <c r="G20" i="19"/>
  <c r="J24" i="18"/>
  <c r="M24" i="18"/>
  <c r="O24" i="18" s="1"/>
  <c r="G24" i="17"/>
  <c r="M26" i="20"/>
  <c r="O26" i="20" s="1"/>
  <c r="J26" i="20"/>
  <c r="G26" i="19"/>
  <c r="M8" i="69"/>
  <c r="O8" i="69" s="1"/>
  <c r="G8" i="70"/>
  <c r="J8" i="69"/>
  <c r="J12" i="18"/>
  <c r="M12" i="18"/>
  <c r="O12" i="18" s="1"/>
  <c r="G12" i="17"/>
  <c r="M20" i="69"/>
  <c r="O20" i="69" s="1"/>
  <c r="G20" i="70"/>
  <c r="J20" i="69"/>
  <c r="J17" i="63"/>
  <c r="M17" i="63"/>
  <c r="O17" i="63" s="1"/>
  <c r="J9" i="18"/>
  <c r="M9" i="18"/>
  <c r="O9" i="18" s="1"/>
  <c r="G9" i="17"/>
  <c r="M23" i="20"/>
  <c r="O23" i="20" s="1"/>
  <c r="J23" i="20"/>
  <c r="G23" i="19"/>
  <c r="G29" i="72"/>
  <c r="J29" i="71"/>
  <c r="M29" i="71"/>
  <c r="O29" i="71" s="1"/>
  <c r="M9" i="69"/>
  <c r="O9" i="69" s="1"/>
  <c r="G9" i="70"/>
  <c r="J9" i="69"/>
  <c r="M27" i="70"/>
  <c r="O27" i="70" s="1"/>
  <c r="G27" i="71"/>
  <c r="J27" i="70"/>
  <c r="J18" i="18"/>
  <c r="G18" i="17"/>
  <c r="M18" i="18"/>
  <c r="O18" i="18" s="1"/>
  <c r="J11" i="20"/>
  <c r="G11" i="19"/>
  <c r="M11" i="20"/>
  <c r="O11" i="20" s="1"/>
  <c r="M26" i="70"/>
  <c r="O26" i="70" s="1"/>
  <c r="G26" i="71"/>
  <c r="J26" i="70"/>
  <c r="J15" i="18"/>
  <c r="M15" i="18"/>
  <c r="O15" i="18" s="1"/>
  <c r="G15" i="17"/>
  <c r="J22" i="19" l="1"/>
  <c r="M22" i="19"/>
  <c r="O22" i="19" s="1"/>
  <c r="G22" i="18"/>
  <c r="M26" i="19"/>
  <c r="O26" i="19" s="1"/>
  <c r="G26" i="18"/>
  <c r="J26" i="19"/>
  <c r="M14" i="19"/>
  <c r="O14" i="19" s="1"/>
  <c r="J14" i="19"/>
  <c r="G14" i="18"/>
  <c r="G14" i="72"/>
  <c r="J14" i="71"/>
  <c r="M14" i="71"/>
  <c r="O14" i="71" s="1"/>
  <c r="M19" i="18"/>
  <c r="O19" i="18" s="1"/>
  <c r="J19" i="18"/>
  <c r="G19" i="17"/>
  <c r="M9" i="17"/>
  <c r="O9" i="17" s="1"/>
  <c r="G9" i="34"/>
  <c r="J9" i="17"/>
  <c r="N32" i="20"/>
  <c r="N33" i="20" s="1"/>
  <c r="N37" i="20" s="1"/>
  <c r="O31" i="20"/>
  <c r="J25" i="19"/>
  <c r="M25" i="19"/>
  <c r="O25" i="19" s="1"/>
  <c r="G25" i="18"/>
  <c r="J16" i="70"/>
  <c r="G16" i="71"/>
  <c r="M16" i="70"/>
  <c r="O16" i="70" s="1"/>
  <c r="M17" i="19"/>
  <c r="O17" i="19" s="1"/>
  <c r="G17" i="18"/>
  <c r="J17" i="19"/>
  <c r="M21" i="70"/>
  <c r="O21" i="70" s="1"/>
  <c r="G21" i="71"/>
  <c r="J21" i="70"/>
  <c r="J13" i="71"/>
  <c r="G13" i="72"/>
  <c r="M13" i="71"/>
  <c r="O13" i="71" s="1"/>
  <c r="J13" i="19"/>
  <c r="M13" i="19"/>
  <c r="O13" i="19" s="1"/>
  <c r="G13" i="18"/>
  <c r="G22" i="71"/>
  <c r="J22" i="70"/>
  <c r="M22" i="70"/>
  <c r="O22" i="70" s="1"/>
  <c r="G10" i="19"/>
  <c r="M10" i="20"/>
  <c r="O10" i="20" s="1"/>
  <c r="O33" i="20" s="1"/>
  <c r="O37" i="20" s="1"/>
  <c r="J10" i="20"/>
  <c r="G32" i="19"/>
  <c r="M15" i="70"/>
  <c r="O15" i="70" s="1"/>
  <c r="G15" i="71"/>
  <c r="J15" i="70"/>
  <c r="M27" i="71"/>
  <c r="O27" i="71" s="1"/>
  <c r="G27" i="72"/>
  <c r="J27" i="71"/>
  <c r="M12" i="71"/>
  <c r="O12" i="71" s="1"/>
  <c r="G12" i="72"/>
  <c r="J12" i="71"/>
  <c r="M9" i="70"/>
  <c r="O9" i="70" s="1"/>
  <c r="G9" i="71"/>
  <c r="J9" i="70"/>
  <c r="M24" i="17"/>
  <c r="O24" i="17" s="1"/>
  <c r="J24" i="17"/>
  <c r="G24" i="34"/>
  <c r="J28" i="19"/>
  <c r="M28" i="19"/>
  <c r="O28" i="19" s="1"/>
  <c r="G28" i="18"/>
  <c r="O33" i="21"/>
  <c r="O37" i="21" s="1"/>
  <c r="M21" i="17"/>
  <c r="O21" i="17" s="1"/>
  <c r="G21" i="34"/>
  <c r="J21" i="17"/>
  <c r="M8" i="70"/>
  <c r="O8" i="70" s="1"/>
  <c r="G8" i="71"/>
  <c r="J8" i="70"/>
  <c r="M31" i="19"/>
  <c r="J31" i="19"/>
  <c r="G31" i="18"/>
  <c r="G32" i="13"/>
  <c r="M30" i="34"/>
  <c r="J30" i="34"/>
  <c r="G17" i="66"/>
  <c r="J17" i="65"/>
  <c r="M17" i="65"/>
  <c r="O17" i="65" s="1"/>
  <c r="G29" i="13"/>
  <c r="M27" i="34"/>
  <c r="O27" i="34" s="1"/>
  <c r="J27" i="34"/>
  <c r="J25" i="72"/>
  <c r="M25" i="72"/>
  <c r="O25" i="72" s="1"/>
  <c r="M31" i="62"/>
  <c r="O31" i="62" s="1"/>
  <c r="G31" i="64"/>
  <c r="G31" i="63"/>
  <c r="J31" i="62"/>
  <c r="M11" i="19"/>
  <c r="O11" i="19" s="1"/>
  <c r="J11" i="19"/>
  <c r="G11" i="18"/>
  <c r="M12" i="17"/>
  <c r="O12" i="17" s="1"/>
  <c r="J12" i="17"/>
  <c r="G12" i="34"/>
  <c r="M20" i="19"/>
  <c r="O20" i="19" s="1"/>
  <c r="G20" i="18"/>
  <c r="J20" i="19"/>
  <c r="J31" i="61"/>
  <c r="M31" i="61"/>
  <c r="O31" i="61" s="1"/>
  <c r="G26" i="72"/>
  <c r="J26" i="71"/>
  <c r="M26" i="71"/>
  <c r="O26" i="71" s="1"/>
  <c r="G20" i="71"/>
  <c r="M20" i="70"/>
  <c r="O20" i="70" s="1"/>
  <c r="J20" i="70"/>
  <c r="J29" i="72"/>
  <c r="M29" i="72"/>
  <c r="O29" i="72" s="1"/>
  <c r="M23" i="19"/>
  <c r="O23" i="19" s="1"/>
  <c r="J23" i="19"/>
  <c r="G23" i="18"/>
  <c r="G10" i="71"/>
  <c r="J10" i="70"/>
  <c r="M10" i="70"/>
  <c r="O10" i="70" s="1"/>
  <c r="J23" i="71"/>
  <c r="G23" i="72"/>
  <c r="M23" i="71"/>
  <c r="O23" i="71" s="1"/>
  <c r="M15" i="17"/>
  <c r="O15" i="17" s="1"/>
  <c r="G15" i="34"/>
  <c r="J15" i="17"/>
  <c r="M18" i="17"/>
  <c r="O18" i="17" s="1"/>
  <c r="J18" i="17"/>
  <c r="G18" i="34"/>
  <c r="J28" i="70"/>
  <c r="G28" i="71"/>
  <c r="M28" i="70"/>
  <c r="O28" i="70" s="1"/>
  <c r="M29" i="19"/>
  <c r="O29" i="19" s="1"/>
  <c r="G29" i="18"/>
  <c r="J29" i="19"/>
  <c r="J16" i="19"/>
  <c r="G16" i="18"/>
  <c r="M16" i="19"/>
  <c r="O16" i="19" s="1"/>
  <c r="J11" i="71"/>
  <c r="G11" i="72"/>
  <c r="M11" i="71"/>
  <c r="O11" i="71" s="1"/>
  <c r="M25" i="18" l="1"/>
  <c r="O25" i="18" s="1"/>
  <c r="J25" i="18"/>
  <c r="G25" i="17"/>
  <c r="J8" i="71"/>
  <c r="G8" i="72"/>
  <c r="M8" i="71"/>
  <c r="O8" i="71" s="1"/>
  <c r="J28" i="71"/>
  <c r="G28" i="72"/>
  <c r="M28" i="71"/>
  <c r="O28" i="71" s="1"/>
  <c r="J26" i="72"/>
  <c r="M26" i="72"/>
  <c r="O26" i="72" s="1"/>
  <c r="J17" i="66"/>
  <c r="M17" i="66"/>
  <c r="O17" i="66" s="1"/>
  <c r="G17" i="67"/>
  <c r="G14" i="17"/>
  <c r="J14" i="18"/>
  <c r="M14" i="18"/>
  <c r="O14" i="18" s="1"/>
  <c r="J10" i="71"/>
  <c r="G10" i="72"/>
  <c r="M10" i="71"/>
  <c r="O10" i="71" s="1"/>
  <c r="M21" i="34"/>
  <c r="O21" i="34" s="1"/>
  <c r="G23" i="13"/>
  <c r="J21" i="34"/>
  <c r="G10" i="18"/>
  <c r="M10" i="19"/>
  <c r="O10" i="19" s="1"/>
  <c r="M21" i="71"/>
  <c r="O21" i="71" s="1"/>
  <c r="G21" i="72"/>
  <c r="J21" i="71"/>
  <c r="G29" i="17"/>
  <c r="J29" i="18"/>
  <c r="M29" i="18"/>
  <c r="O29" i="18" s="1"/>
  <c r="M9" i="34"/>
  <c r="O9" i="34" s="1"/>
  <c r="G11" i="13"/>
  <c r="J9" i="34"/>
  <c r="G26" i="17"/>
  <c r="J26" i="18"/>
  <c r="M26" i="18"/>
  <c r="O26" i="18" s="1"/>
  <c r="J29" i="13"/>
  <c r="M29" i="13"/>
  <c r="O29" i="13" s="1"/>
  <c r="G29" i="14"/>
  <c r="J14" i="72"/>
  <c r="M14" i="72"/>
  <c r="O14" i="72" s="1"/>
  <c r="M18" i="34"/>
  <c r="O18" i="34" s="1"/>
  <c r="G20" i="13"/>
  <c r="J18" i="34"/>
  <c r="J32" i="13"/>
  <c r="M32" i="13"/>
  <c r="O32" i="13" s="1"/>
  <c r="G32" i="14"/>
  <c r="M28" i="18"/>
  <c r="O28" i="18" s="1"/>
  <c r="J28" i="18"/>
  <c r="G28" i="17"/>
  <c r="G22" i="72"/>
  <c r="J22" i="71"/>
  <c r="M22" i="71"/>
  <c r="O22" i="71" s="1"/>
  <c r="G17" i="17"/>
  <c r="J17" i="18"/>
  <c r="M17" i="18"/>
  <c r="O17" i="18" s="1"/>
  <c r="J31" i="63"/>
  <c r="M31" i="63"/>
  <c r="O31" i="63" s="1"/>
  <c r="J11" i="72"/>
  <c r="M11" i="72"/>
  <c r="O11" i="72" s="1"/>
  <c r="M31" i="18"/>
  <c r="O31" i="18" s="1"/>
  <c r="J31" i="18"/>
  <c r="G31" i="17"/>
  <c r="J27" i="72"/>
  <c r="M27" i="72"/>
  <c r="O27" i="72" s="1"/>
  <c r="M13" i="18"/>
  <c r="O13" i="18" s="1"/>
  <c r="J13" i="18"/>
  <c r="G13" i="17"/>
  <c r="M19" i="17"/>
  <c r="O19" i="17" s="1"/>
  <c r="G19" i="34"/>
  <c r="J19" i="17"/>
  <c r="M22" i="18"/>
  <c r="O22" i="18" s="1"/>
  <c r="J22" i="18"/>
  <c r="G22" i="17"/>
  <c r="J23" i="72"/>
  <c r="M23" i="72"/>
  <c r="O23" i="72" s="1"/>
  <c r="G11" i="17"/>
  <c r="J11" i="18"/>
  <c r="M11" i="18"/>
  <c r="O11" i="18" s="1"/>
  <c r="M9" i="71"/>
  <c r="O9" i="71" s="1"/>
  <c r="G9" i="72"/>
  <c r="J9" i="71"/>
  <c r="G23" i="17"/>
  <c r="J23" i="18"/>
  <c r="M23" i="18"/>
  <c r="O23" i="18" s="1"/>
  <c r="M12" i="34"/>
  <c r="O12" i="34" s="1"/>
  <c r="J12" i="34"/>
  <c r="G14" i="13"/>
  <c r="J20" i="71"/>
  <c r="G20" i="72"/>
  <c r="M20" i="71"/>
  <c r="O20" i="71" s="1"/>
  <c r="M13" i="72"/>
  <c r="O13" i="72" s="1"/>
  <c r="J13" i="72"/>
  <c r="J10" i="19"/>
  <c r="M32" i="19"/>
  <c r="O32" i="19" s="1"/>
  <c r="G32" i="18"/>
  <c r="J32" i="19"/>
  <c r="M12" i="72"/>
  <c r="O12" i="72" s="1"/>
  <c r="J12" i="72"/>
  <c r="J31" i="64"/>
  <c r="G31" i="65"/>
  <c r="M31" i="64"/>
  <c r="O31" i="64" s="1"/>
  <c r="G20" i="17"/>
  <c r="J20" i="18"/>
  <c r="M20" i="18"/>
  <c r="O20" i="18" s="1"/>
  <c r="N32" i="19"/>
  <c r="N33" i="19" s="1"/>
  <c r="N37" i="19" s="1"/>
  <c r="O31" i="19"/>
  <c r="G26" i="13"/>
  <c r="M24" i="34"/>
  <c r="O24" i="34" s="1"/>
  <c r="J24" i="34"/>
  <c r="J16" i="71"/>
  <c r="G16" i="72"/>
  <c r="M16" i="71"/>
  <c r="O16" i="71" s="1"/>
  <c r="N31" i="34"/>
  <c r="O30" i="34"/>
  <c r="M16" i="18"/>
  <c r="O16" i="18" s="1"/>
  <c r="J16" i="18"/>
  <c r="G16" i="17"/>
  <c r="M15" i="34"/>
  <c r="O15" i="34" s="1"/>
  <c r="G17" i="13"/>
  <c r="J15" i="34"/>
  <c r="M15" i="71"/>
  <c r="O15" i="71" s="1"/>
  <c r="G15" i="72"/>
  <c r="J15" i="71"/>
  <c r="J11" i="13" l="1"/>
  <c r="M11" i="13"/>
  <c r="O11" i="13" s="1"/>
  <c r="G11" i="14"/>
  <c r="J20" i="13"/>
  <c r="G20" i="14"/>
  <c r="M20" i="13"/>
  <c r="O20" i="13" s="1"/>
  <c r="J28" i="72"/>
  <c r="M28" i="72"/>
  <c r="O28" i="72" s="1"/>
  <c r="G20" i="34"/>
  <c r="M20" i="17"/>
  <c r="O20" i="17" s="1"/>
  <c r="J20" i="17"/>
  <c r="G17" i="34"/>
  <c r="M17" i="17"/>
  <c r="O17" i="17" s="1"/>
  <c r="J17" i="17"/>
  <c r="J10" i="72"/>
  <c r="M10" i="72"/>
  <c r="O10" i="72" s="1"/>
  <c r="G32" i="15"/>
  <c r="M32" i="14"/>
  <c r="O32" i="14" s="1"/>
  <c r="J32" i="14"/>
  <c r="M13" i="17"/>
  <c r="O13" i="17" s="1"/>
  <c r="G13" i="34"/>
  <c r="J13" i="17"/>
  <c r="M31" i="17"/>
  <c r="O31" i="17" s="1"/>
  <c r="G31" i="34"/>
  <c r="J31" i="17"/>
  <c r="M15" i="72"/>
  <c r="O15" i="72" s="1"/>
  <c r="J15" i="72"/>
  <c r="M22" i="17"/>
  <c r="O22" i="17" s="1"/>
  <c r="J22" i="17"/>
  <c r="G22" i="34"/>
  <c r="G29" i="34"/>
  <c r="M29" i="17"/>
  <c r="O29" i="17" s="1"/>
  <c r="J29" i="17"/>
  <c r="J8" i="72"/>
  <c r="M8" i="72"/>
  <c r="O8" i="72" s="1"/>
  <c r="M10" i="18"/>
  <c r="O10" i="18" s="1"/>
  <c r="G10" i="17"/>
  <c r="G26" i="34"/>
  <c r="M26" i="17"/>
  <c r="O26" i="17" s="1"/>
  <c r="J26" i="17"/>
  <c r="J23" i="13"/>
  <c r="M23" i="13"/>
  <c r="O23" i="13" s="1"/>
  <c r="G23" i="14"/>
  <c r="J31" i="65"/>
  <c r="G31" i="66"/>
  <c r="M31" i="65"/>
  <c r="O31" i="65" s="1"/>
  <c r="J16" i="72"/>
  <c r="M16" i="72"/>
  <c r="O16" i="72" s="1"/>
  <c r="G11" i="34"/>
  <c r="M11" i="17"/>
  <c r="O11" i="17" s="1"/>
  <c r="J11" i="17"/>
  <c r="G29" i="15"/>
  <c r="M29" i="14"/>
  <c r="O29" i="14" s="1"/>
  <c r="J29" i="14"/>
  <c r="J22" i="72"/>
  <c r="M22" i="72"/>
  <c r="O22" i="72" s="1"/>
  <c r="M28" i="17"/>
  <c r="O28" i="17" s="1"/>
  <c r="J28" i="17"/>
  <c r="G28" i="34"/>
  <c r="J21" i="72"/>
  <c r="M21" i="72"/>
  <c r="O21" i="72" s="1"/>
  <c r="G14" i="34"/>
  <c r="M14" i="17"/>
  <c r="O14" i="17" s="1"/>
  <c r="J14" i="17"/>
  <c r="M25" i="17"/>
  <c r="O25" i="17" s="1"/>
  <c r="G25" i="34"/>
  <c r="J25" i="17"/>
  <c r="J20" i="72"/>
  <c r="M20" i="72"/>
  <c r="O20" i="72" s="1"/>
  <c r="G23" i="34"/>
  <c r="M23" i="17"/>
  <c r="O23" i="17" s="1"/>
  <c r="J23" i="17"/>
  <c r="M16" i="17"/>
  <c r="O16" i="17" s="1"/>
  <c r="J16" i="17"/>
  <c r="G16" i="34"/>
  <c r="G17" i="68"/>
  <c r="M17" i="67"/>
  <c r="O17" i="67" s="1"/>
  <c r="J17" i="67"/>
  <c r="J14" i="13"/>
  <c r="G14" i="14"/>
  <c r="M14" i="13"/>
  <c r="O14" i="13" s="1"/>
  <c r="J17" i="13"/>
  <c r="M17" i="13"/>
  <c r="O17" i="13" s="1"/>
  <c r="G17" i="14"/>
  <c r="J26" i="13"/>
  <c r="M26" i="13"/>
  <c r="O26" i="13" s="1"/>
  <c r="G26" i="14"/>
  <c r="J10" i="18"/>
  <c r="J32" i="18"/>
  <c r="M32" i="18"/>
  <c r="O32" i="18" s="1"/>
  <c r="M9" i="72"/>
  <c r="O9" i="72" s="1"/>
  <c r="J9" i="72"/>
  <c r="G21" i="13"/>
  <c r="M19" i="34"/>
  <c r="O19" i="34" s="1"/>
  <c r="J19" i="34"/>
  <c r="O33" i="19"/>
  <c r="O37" i="19" s="1"/>
  <c r="M25" i="34" l="1"/>
  <c r="O25" i="34" s="1"/>
  <c r="J25" i="34"/>
  <c r="G27" i="13"/>
  <c r="M22" i="34"/>
  <c r="O22" i="34" s="1"/>
  <c r="G24" i="13"/>
  <c r="J22" i="34"/>
  <c r="G14" i="15"/>
  <c r="M14" i="14"/>
  <c r="O14" i="14" s="1"/>
  <c r="J14" i="14"/>
  <c r="G32" i="35"/>
  <c r="M32" i="15"/>
  <c r="O32" i="15" s="1"/>
  <c r="J32" i="15"/>
  <c r="G22" i="13"/>
  <c r="M20" i="34"/>
  <c r="O20" i="34" s="1"/>
  <c r="J20" i="34"/>
  <c r="G18" i="13"/>
  <c r="M16" i="34"/>
  <c r="O16" i="34" s="1"/>
  <c r="J16" i="34"/>
  <c r="G31" i="68"/>
  <c r="M31" i="66"/>
  <c r="O31" i="66" s="1"/>
  <c r="G31" i="67"/>
  <c r="J31" i="66"/>
  <c r="G23" i="15"/>
  <c r="M23" i="14"/>
  <c r="O23" i="14" s="1"/>
  <c r="J23" i="14"/>
  <c r="M17" i="68"/>
  <c r="O17" i="68" s="1"/>
  <c r="G17" i="69"/>
  <c r="J17" i="68"/>
  <c r="G28" i="13"/>
  <c r="M26" i="34"/>
  <c r="O26" i="34" s="1"/>
  <c r="J26" i="34"/>
  <c r="G20" i="15"/>
  <c r="M20" i="14"/>
  <c r="O20" i="14" s="1"/>
  <c r="J20" i="14"/>
  <c r="G15" i="13"/>
  <c r="M13" i="34"/>
  <c r="O13" i="34" s="1"/>
  <c r="J13" i="34"/>
  <c r="G13" i="13"/>
  <c r="M11" i="34"/>
  <c r="O11" i="34" s="1"/>
  <c r="J11" i="34"/>
  <c r="M10" i="17"/>
  <c r="O10" i="17" s="1"/>
  <c r="O33" i="17" s="1"/>
  <c r="O37" i="17" s="1"/>
  <c r="J10" i="17"/>
  <c r="G10" i="34"/>
  <c r="O33" i="18"/>
  <c r="O37" i="18" s="1"/>
  <c r="G11" i="15"/>
  <c r="M11" i="14"/>
  <c r="O11" i="14" s="1"/>
  <c r="J11" i="14"/>
  <c r="M21" i="13"/>
  <c r="O21" i="13" s="1"/>
  <c r="G21" i="14"/>
  <c r="J21" i="13"/>
  <c r="M29" i="34"/>
  <c r="O29" i="34" s="1"/>
  <c r="J29" i="34"/>
  <c r="G31" i="13"/>
  <c r="J29" i="15"/>
  <c r="G29" i="35"/>
  <c r="M29" i="15"/>
  <c r="O29" i="15" s="1"/>
  <c r="G16" i="13"/>
  <c r="M14" i="34"/>
  <c r="O14" i="34" s="1"/>
  <c r="J14" i="34"/>
  <c r="G17" i="15"/>
  <c r="M17" i="14"/>
  <c r="O17" i="14" s="1"/>
  <c r="J17" i="14"/>
  <c r="G30" i="13"/>
  <c r="M28" i="34"/>
  <c r="O28" i="34" s="1"/>
  <c r="J28" i="34"/>
  <c r="M31" i="34"/>
  <c r="G33" i="13"/>
  <c r="J31" i="34"/>
  <c r="M17" i="34"/>
  <c r="O17" i="34" s="1"/>
  <c r="G19" i="13"/>
  <c r="J17" i="34"/>
  <c r="G26" i="15"/>
  <c r="M26" i="14"/>
  <c r="O26" i="14" s="1"/>
  <c r="J26" i="14"/>
  <c r="M23" i="34"/>
  <c r="O23" i="34" s="1"/>
  <c r="J23" i="34"/>
  <c r="G25" i="13"/>
  <c r="G33" i="14" l="1"/>
  <c r="M33" i="13"/>
  <c r="O33" i="13" s="1"/>
  <c r="J33" i="13"/>
  <c r="M16" i="13"/>
  <c r="O16" i="13" s="1"/>
  <c r="J16" i="13"/>
  <c r="G16" i="14"/>
  <c r="M10" i="34"/>
  <c r="O10" i="34" s="1"/>
  <c r="G12" i="13"/>
  <c r="J10" i="34"/>
  <c r="G31" i="69"/>
  <c r="J31" i="68"/>
  <c r="M31" i="68"/>
  <c r="O31" i="68" s="1"/>
  <c r="G15" i="14"/>
  <c r="M15" i="13"/>
  <c r="O15" i="13" s="1"/>
  <c r="J15" i="13"/>
  <c r="G29" i="36"/>
  <c r="M29" i="35"/>
  <c r="O29" i="35" s="1"/>
  <c r="J29" i="35"/>
  <c r="M14" i="15"/>
  <c r="O14" i="15" s="1"/>
  <c r="G14" i="35"/>
  <c r="J14" i="15"/>
  <c r="G20" i="35"/>
  <c r="M20" i="15"/>
  <c r="O20" i="15" s="1"/>
  <c r="J20" i="15"/>
  <c r="J28" i="13"/>
  <c r="G28" i="14"/>
  <c r="M28" i="13"/>
  <c r="O28" i="13" s="1"/>
  <c r="N32" i="34"/>
  <c r="N33" i="34" s="1"/>
  <c r="N37" i="34" s="1"/>
  <c r="O31" i="34"/>
  <c r="M18" i="13"/>
  <c r="O18" i="13" s="1"/>
  <c r="G18" i="14"/>
  <c r="J18" i="13"/>
  <c r="M24" i="13"/>
  <c r="O24" i="13" s="1"/>
  <c r="J24" i="13"/>
  <c r="G24" i="14"/>
  <c r="G32" i="36"/>
  <c r="M32" i="35"/>
  <c r="O32" i="35" s="1"/>
  <c r="J32" i="35"/>
  <c r="M17" i="69"/>
  <c r="O17" i="69" s="1"/>
  <c r="G17" i="70"/>
  <c r="J17" i="69"/>
  <c r="M23" i="15"/>
  <c r="O23" i="15" s="1"/>
  <c r="G23" i="35"/>
  <c r="J23" i="15"/>
  <c r="G31" i="14"/>
  <c r="J31" i="13"/>
  <c r="M31" i="13"/>
  <c r="O31" i="13" s="1"/>
  <c r="M27" i="13"/>
  <c r="O27" i="13" s="1"/>
  <c r="J27" i="13"/>
  <c r="G27" i="14"/>
  <c r="G11" i="35"/>
  <c r="M11" i="15"/>
  <c r="O11" i="15" s="1"/>
  <c r="J11" i="15"/>
  <c r="M31" i="67"/>
  <c r="O31" i="67" s="1"/>
  <c r="J31" i="67"/>
  <c r="J25" i="13"/>
  <c r="M25" i="13"/>
  <c r="O25" i="13" s="1"/>
  <c r="G25" i="14"/>
  <c r="M26" i="15"/>
  <c r="O26" i="15" s="1"/>
  <c r="G26" i="35"/>
  <c r="J26" i="15"/>
  <c r="J13" i="13"/>
  <c r="G13" i="14"/>
  <c r="M13" i="13"/>
  <c r="O13" i="13" s="1"/>
  <c r="G21" i="15"/>
  <c r="M21" i="14"/>
  <c r="O21" i="14" s="1"/>
  <c r="J21" i="14"/>
  <c r="G19" i="14"/>
  <c r="M19" i="13"/>
  <c r="O19" i="13" s="1"/>
  <c r="J19" i="13"/>
  <c r="M30" i="13"/>
  <c r="O30" i="13" s="1"/>
  <c r="J30" i="13"/>
  <c r="G30" i="14"/>
  <c r="G17" i="35"/>
  <c r="J17" i="15"/>
  <c r="M17" i="15"/>
  <c r="O17" i="15" s="1"/>
  <c r="J22" i="13"/>
  <c r="G22" i="14"/>
  <c r="M22" i="13"/>
  <c r="O22" i="13" s="1"/>
  <c r="M19" i="14" l="1"/>
  <c r="O19" i="14" s="1"/>
  <c r="J19" i="14"/>
  <c r="G19" i="15"/>
  <c r="G14" i="36"/>
  <c r="M14" i="35"/>
  <c r="O14" i="35" s="1"/>
  <c r="J14" i="35"/>
  <c r="M12" i="13"/>
  <c r="O12" i="13" s="1"/>
  <c r="O35" i="13" s="1"/>
  <c r="O38" i="13" s="1"/>
  <c r="J12" i="13"/>
  <c r="G12" i="14"/>
  <c r="O33" i="34"/>
  <c r="O37" i="34" s="1"/>
  <c r="M16" i="14"/>
  <c r="O16" i="14" s="1"/>
  <c r="J16" i="14"/>
  <c r="G16" i="15"/>
  <c r="G24" i="15"/>
  <c r="M24" i="14"/>
  <c r="O24" i="14" s="1"/>
  <c r="J24" i="14"/>
  <c r="G20" i="36"/>
  <c r="M20" i="35"/>
  <c r="O20" i="35" s="1"/>
  <c r="J20" i="35"/>
  <c r="G23" i="36"/>
  <c r="M23" i="35"/>
  <c r="O23" i="35" s="1"/>
  <c r="J23" i="35"/>
  <c r="G11" i="36"/>
  <c r="M11" i="35"/>
  <c r="O11" i="35" s="1"/>
  <c r="J11" i="35"/>
  <c r="J29" i="36"/>
  <c r="M29" i="36"/>
  <c r="O29" i="36" s="1"/>
  <c r="M25" i="14"/>
  <c r="O25" i="14" s="1"/>
  <c r="J25" i="14"/>
  <c r="G25" i="15"/>
  <c r="M31" i="14"/>
  <c r="O31" i="14" s="1"/>
  <c r="J31" i="14"/>
  <c r="G31" i="15"/>
  <c r="G21" i="35"/>
  <c r="J21" i="15"/>
  <c r="M21" i="15"/>
  <c r="O21" i="15" s="1"/>
  <c r="G17" i="36"/>
  <c r="M17" i="35"/>
  <c r="O17" i="35" s="1"/>
  <c r="J17" i="35"/>
  <c r="M28" i="14"/>
  <c r="O28" i="14" s="1"/>
  <c r="J28" i="14"/>
  <c r="G28" i="15"/>
  <c r="G18" i="15"/>
  <c r="M18" i="14"/>
  <c r="O18" i="14" s="1"/>
  <c r="J18" i="14"/>
  <c r="M13" i="14"/>
  <c r="O13" i="14" s="1"/>
  <c r="J13" i="14"/>
  <c r="G13" i="15"/>
  <c r="M17" i="70"/>
  <c r="O17" i="70" s="1"/>
  <c r="G17" i="71"/>
  <c r="J17" i="70"/>
  <c r="G27" i="15"/>
  <c r="M27" i="14"/>
  <c r="O27" i="14" s="1"/>
  <c r="J27" i="14"/>
  <c r="G30" i="15"/>
  <c r="M30" i="14"/>
  <c r="O30" i="14" s="1"/>
  <c r="J30" i="14"/>
  <c r="G26" i="36"/>
  <c r="M26" i="35"/>
  <c r="O26" i="35" s="1"/>
  <c r="J26" i="35"/>
  <c r="G15" i="15"/>
  <c r="M15" i="14"/>
  <c r="O15" i="14" s="1"/>
  <c r="J15" i="14"/>
  <c r="G33" i="15"/>
  <c r="M33" i="14"/>
  <c r="O33" i="14" s="1"/>
  <c r="J33" i="14"/>
  <c r="G31" i="70"/>
  <c r="M31" i="69"/>
  <c r="O31" i="69" s="1"/>
  <c r="J31" i="69"/>
  <c r="M22" i="14"/>
  <c r="O22" i="14" s="1"/>
  <c r="J22" i="14"/>
  <c r="G22" i="15"/>
  <c r="J32" i="36"/>
  <c r="M32" i="36"/>
  <c r="O32" i="36" s="1"/>
  <c r="M31" i="15" l="1"/>
  <c r="O31" i="15" s="1"/>
  <c r="G31" i="35"/>
  <c r="J31" i="15"/>
  <c r="G12" i="15"/>
  <c r="M12" i="14"/>
  <c r="O12" i="14" s="1"/>
  <c r="O35" i="14" s="1"/>
  <c r="O38" i="14" s="1"/>
  <c r="J12" i="14"/>
  <c r="J26" i="36"/>
  <c r="M26" i="36"/>
  <c r="O26" i="36" s="1"/>
  <c r="J11" i="36"/>
  <c r="M11" i="36"/>
  <c r="O11" i="36" s="1"/>
  <c r="J23" i="36"/>
  <c r="M23" i="36"/>
  <c r="O23" i="36" s="1"/>
  <c r="G31" i="71"/>
  <c r="J31" i="70"/>
  <c r="M31" i="70"/>
  <c r="O31" i="70" s="1"/>
  <c r="G18" i="35"/>
  <c r="J18" i="15"/>
  <c r="M18" i="15"/>
  <c r="O18" i="15" s="1"/>
  <c r="M25" i="15"/>
  <c r="O25" i="15" s="1"/>
  <c r="G25" i="35"/>
  <c r="J25" i="15"/>
  <c r="G17" i="50"/>
  <c r="G17" i="46"/>
  <c r="G17" i="45"/>
  <c r="G17" i="44"/>
  <c r="G17" i="41"/>
  <c r="J20" i="36"/>
  <c r="G17" i="49"/>
  <c r="G17" i="43"/>
  <c r="G17" i="48"/>
  <c r="G17" i="42"/>
  <c r="G17" i="37"/>
  <c r="M20" i="36"/>
  <c r="O20" i="36" s="1"/>
  <c r="M21" i="35"/>
  <c r="O21" i="35" s="1"/>
  <c r="J21" i="35"/>
  <c r="G21" i="36"/>
  <c r="G30" i="35"/>
  <c r="J30" i="15"/>
  <c r="M30" i="15"/>
  <c r="O30" i="15" s="1"/>
  <c r="J14" i="36"/>
  <c r="M14" i="36"/>
  <c r="O14" i="36" s="1"/>
  <c r="M19" i="15"/>
  <c r="O19" i="15" s="1"/>
  <c r="G19" i="35"/>
  <c r="J19" i="15"/>
  <c r="G33" i="35"/>
  <c r="J33" i="15"/>
  <c r="M33" i="15"/>
  <c r="O33" i="15" s="1"/>
  <c r="J17" i="71"/>
  <c r="G17" i="72"/>
  <c r="M17" i="71"/>
  <c r="O17" i="71" s="1"/>
  <c r="G15" i="35"/>
  <c r="J15" i="15"/>
  <c r="M15" i="15"/>
  <c r="O15" i="15" s="1"/>
  <c r="M22" i="15"/>
  <c r="O22" i="15" s="1"/>
  <c r="G22" i="35"/>
  <c r="J22" i="15"/>
  <c r="M13" i="15"/>
  <c r="O13" i="15" s="1"/>
  <c r="G13" i="35"/>
  <c r="J13" i="15"/>
  <c r="J17" i="36"/>
  <c r="M17" i="36"/>
  <c r="O17" i="36" s="1"/>
  <c r="G24" i="35"/>
  <c r="J24" i="15"/>
  <c r="M24" i="15"/>
  <c r="O24" i="15" s="1"/>
  <c r="M28" i="15"/>
  <c r="O28" i="15" s="1"/>
  <c r="G28" i="35"/>
  <c r="J28" i="15"/>
  <c r="G27" i="35"/>
  <c r="J27" i="15"/>
  <c r="M27" i="15"/>
  <c r="O27" i="15" s="1"/>
  <c r="M16" i="15"/>
  <c r="O16" i="15" s="1"/>
  <c r="G16" i="35"/>
  <c r="J16" i="15"/>
  <c r="M27" i="35" l="1"/>
  <c r="O27" i="35" s="1"/>
  <c r="J27" i="35"/>
  <c r="G27" i="36"/>
  <c r="M19" i="35"/>
  <c r="O19" i="35" s="1"/>
  <c r="J19" i="35"/>
  <c r="G19" i="36"/>
  <c r="M17" i="37"/>
  <c r="O17" i="37" s="1"/>
  <c r="J17" i="37"/>
  <c r="M33" i="35"/>
  <c r="O33" i="35" s="1"/>
  <c r="G33" i="36"/>
  <c r="J33" i="35"/>
  <c r="M22" i="35"/>
  <c r="O22" i="35" s="1"/>
  <c r="J22" i="35"/>
  <c r="G22" i="36"/>
  <c r="M28" i="35"/>
  <c r="O28" i="35" s="1"/>
  <c r="J28" i="35"/>
  <c r="G28" i="36"/>
  <c r="M17" i="42"/>
  <c r="O17" i="42" s="1"/>
  <c r="J17" i="42"/>
  <c r="M25" i="35"/>
  <c r="O25" i="35" s="1"/>
  <c r="J25" i="35"/>
  <c r="G25" i="36"/>
  <c r="J17" i="48"/>
  <c r="M17" i="48"/>
  <c r="O17" i="48" s="1"/>
  <c r="M13" i="35"/>
  <c r="O13" i="35" s="1"/>
  <c r="J13" i="35"/>
  <c r="G13" i="36"/>
  <c r="M17" i="43"/>
  <c r="O17" i="43" s="1"/>
  <c r="J17" i="43"/>
  <c r="M17" i="49"/>
  <c r="O17" i="49" s="1"/>
  <c r="J17" i="49"/>
  <c r="M18" i="35"/>
  <c r="O18" i="35" s="1"/>
  <c r="G18" i="36"/>
  <c r="J18" i="35"/>
  <c r="G12" i="35"/>
  <c r="J12" i="15"/>
  <c r="M12" i="15"/>
  <c r="O12" i="15" s="1"/>
  <c r="O35" i="15" s="1"/>
  <c r="O38" i="15" s="1"/>
  <c r="J17" i="72"/>
  <c r="M17" i="72"/>
  <c r="O17" i="72" s="1"/>
  <c r="J17" i="41"/>
  <c r="M17" i="41"/>
  <c r="O17" i="41" s="1"/>
  <c r="M15" i="35"/>
  <c r="O15" i="35" s="1"/>
  <c r="G15" i="36"/>
  <c r="J15" i="35"/>
  <c r="M24" i="35"/>
  <c r="O24" i="35" s="1"/>
  <c r="J24" i="35"/>
  <c r="G24" i="36"/>
  <c r="M16" i="35"/>
  <c r="O16" i="35" s="1"/>
  <c r="J16" i="35"/>
  <c r="G16" i="36"/>
  <c r="M31" i="35"/>
  <c r="O31" i="35" s="1"/>
  <c r="J31" i="35"/>
  <c r="G31" i="36"/>
  <c r="J17" i="46"/>
  <c r="M17" i="46"/>
  <c r="O17" i="46" s="1"/>
  <c r="M17" i="50"/>
  <c r="O17" i="50" s="1"/>
  <c r="J17" i="50"/>
  <c r="M30" i="35"/>
  <c r="O30" i="35" s="1"/>
  <c r="G30" i="36"/>
  <c r="J30" i="35"/>
  <c r="J17" i="44"/>
  <c r="M17" i="44"/>
  <c r="O17" i="44" s="1"/>
  <c r="G18" i="53"/>
  <c r="G18" i="51"/>
  <c r="G18" i="45"/>
  <c r="G18" i="52"/>
  <c r="G18" i="57"/>
  <c r="G18" i="50"/>
  <c r="G18" i="48"/>
  <c r="G18" i="37"/>
  <c r="G18" i="42"/>
  <c r="M21" i="36"/>
  <c r="O21" i="36" s="1"/>
  <c r="J21" i="36"/>
  <c r="G18" i="46"/>
  <c r="G18" i="56"/>
  <c r="G18" i="54"/>
  <c r="G18" i="55"/>
  <c r="G18" i="44"/>
  <c r="G18" i="41"/>
  <c r="G18" i="49"/>
  <c r="G18" i="43"/>
  <c r="M17" i="45"/>
  <c r="O17" i="45" s="1"/>
  <c r="J17" i="45"/>
  <c r="J31" i="71"/>
  <c r="G31" i="72"/>
  <c r="M31" i="71"/>
  <c r="O31" i="71" s="1"/>
  <c r="J18" i="37" l="1"/>
  <c r="M18" i="37"/>
  <c r="O18" i="37" s="1"/>
  <c r="J18" i="49"/>
  <c r="M18" i="49"/>
  <c r="O18" i="49" s="1"/>
  <c r="J18" i="50"/>
  <c r="M18" i="50"/>
  <c r="O18" i="50" s="1"/>
  <c r="M18" i="36"/>
  <c r="O18" i="36" s="1"/>
  <c r="J18" i="36"/>
  <c r="M25" i="36"/>
  <c r="O25" i="36" s="1"/>
  <c r="J25" i="36"/>
  <c r="G30" i="52"/>
  <c r="G30" i="48"/>
  <c r="G30" i="46"/>
  <c r="G30" i="53"/>
  <c r="G30" i="54"/>
  <c r="G30" i="45"/>
  <c r="G30" i="43"/>
  <c r="G30" i="51"/>
  <c r="G30" i="56"/>
  <c r="M33" i="36"/>
  <c r="O33" i="36" s="1"/>
  <c r="G30" i="57"/>
  <c r="J33" i="36"/>
  <c r="G30" i="55"/>
  <c r="G30" i="49"/>
  <c r="G30" i="37"/>
  <c r="G30" i="42"/>
  <c r="G30" i="41"/>
  <c r="G30" i="44"/>
  <c r="G30" i="50"/>
  <c r="J18" i="41"/>
  <c r="M18" i="41"/>
  <c r="O18" i="41" s="1"/>
  <c r="M18" i="57"/>
  <c r="O18" i="57" s="1"/>
  <c r="G18" i="58"/>
  <c r="J18" i="57"/>
  <c r="M24" i="36"/>
  <c r="O24" i="36" s="1"/>
  <c r="J24" i="36"/>
  <c r="M18" i="43"/>
  <c r="O18" i="43" s="1"/>
  <c r="J18" i="43"/>
  <c r="J18" i="48"/>
  <c r="M18" i="48"/>
  <c r="O18" i="48" s="1"/>
  <c r="M18" i="45"/>
  <c r="O18" i="45" s="1"/>
  <c r="J18" i="45"/>
  <c r="J18" i="44"/>
  <c r="M18" i="44"/>
  <c r="O18" i="44" s="1"/>
  <c r="J18" i="52"/>
  <c r="M18" i="52"/>
  <c r="O18" i="52" s="1"/>
  <c r="M15" i="36"/>
  <c r="O15" i="36" s="1"/>
  <c r="J15" i="36"/>
  <c r="M18" i="55"/>
  <c r="O18" i="55" s="1"/>
  <c r="J18" i="55"/>
  <c r="J18" i="54"/>
  <c r="M18" i="54"/>
  <c r="O18" i="54" s="1"/>
  <c r="J18" i="51"/>
  <c r="M18" i="51"/>
  <c r="O18" i="51" s="1"/>
  <c r="M31" i="36"/>
  <c r="O31" i="36" s="1"/>
  <c r="J31" i="36"/>
  <c r="G16" i="42"/>
  <c r="G16" i="37"/>
  <c r="G16" i="41"/>
  <c r="M19" i="36"/>
  <c r="O19" i="36" s="1"/>
  <c r="G16" i="43"/>
  <c r="J19" i="36"/>
  <c r="M18" i="53"/>
  <c r="O18" i="53" s="1"/>
  <c r="J18" i="53"/>
  <c r="M28" i="36"/>
  <c r="O28" i="36" s="1"/>
  <c r="J28" i="36"/>
  <c r="J18" i="46"/>
  <c r="M18" i="46"/>
  <c r="O18" i="46" s="1"/>
  <c r="M31" i="72"/>
  <c r="O31" i="72" s="1"/>
  <c r="J31" i="72"/>
  <c r="M16" i="36"/>
  <c r="O16" i="36" s="1"/>
  <c r="J16" i="36"/>
  <c r="M13" i="36"/>
  <c r="O13" i="36" s="1"/>
  <c r="J13" i="36"/>
  <c r="G24" i="56"/>
  <c r="G24" i="48"/>
  <c r="G24" i="46"/>
  <c r="G24" i="50"/>
  <c r="G24" i="49"/>
  <c r="G24" i="55"/>
  <c r="G24" i="53"/>
  <c r="G24" i="52"/>
  <c r="G24" i="57"/>
  <c r="G24" i="45"/>
  <c r="G24" i="51"/>
  <c r="G24" i="44"/>
  <c r="G24" i="43"/>
  <c r="M27" i="36"/>
  <c r="O27" i="36" s="1"/>
  <c r="G24" i="54"/>
  <c r="J27" i="36"/>
  <c r="G24" i="37"/>
  <c r="G24" i="42"/>
  <c r="G24" i="41"/>
  <c r="M12" i="35"/>
  <c r="O12" i="35" s="1"/>
  <c r="O35" i="35" s="1"/>
  <c r="O38" i="35" s="1"/>
  <c r="G12" i="36"/>
  <c r="J12" i="35"/>
  <c r="J18" i="56"/>
  <c r="M18" i="56"/>
  <c r="O18" i="56" s="1"/>
  <c r="M22" i="36"/>
  <c r="O22" i="36" s="1"/>
  <c r="J22" i="36"/>
  <c r="J18" i="42"/>
  <c r="M18" i="42"/>
  <c r="O18" i="42" s="1"/>
  <c r="M30" i="36"/>
  <c r="O30" i="36" s="1"/>
  <c r="J30" i="36"/>
  <c r="J18" i="58" l="1"/>
  <c r="G18" i="59"/>
  <c r="M18" i="58"/>
  <c r="O18" i="58" s="1"/>
  <c r="J30" i="57"/>
  <c r="M30" i="57"/>
  <c r="O30" i="57" s="1"/>
  <c r="G30" i="58"/>
  <c r="M24" i="46"/>
  <c r="O24" i="46" s="1"/>
  <c r="J24" i="46"/>
  <c r="M24" i="56"/>
  <c r="O24" i="56" s="1"/>
  <c r="O32" i="56" s="1"/>
  <c r="O36" i="56" s="1"/>
  <c r="J24" i="56"/>
  <c r="O32" i="54"/>
  <c r="O36" i="54" s="1"/>
  <c r="J30" i="56"/>
  <c r="M30" i="56"/>
  <c r="O30" i="56" s="1"/>
  <c r="M30" i="49"/>
  <c r="O30" i="49" s="1"/>
  <c r="J30" i="49"/>
  <c r="M24" i="44"/>
  <c r="O24" i="44" s="1"/>
  <c r="O32" i="44" s="1"/>
  <c r="O36" i="44" s="1"/>
  <c r="J24" i="44"/>
  <c r="M24" i="45"/>
  <c r="O24" i="45" s="1"/>
  <c r="O32" i="45" s="1"/>
  <c r="O36" i="45" s="1"/>
  <c r="J24" i="45"/>
  <c r="M12" i="36"/>
  <c r="O12" i="36" s="1"/>
  <c r="O35" i="36" s="1"/>
  <c r="O38" i="36" s="1"/>
  <c r="J12" i="36"/>
  <c r="M30" i="51"/>
  <c r="O30" i="51" s="1"/>
  <c r="J30" i="51"/>
  <c r="O32" i="50"/>
  <c r="O36" i="50" s="1"/>
  <c r="M30" i="48"/>
  <c r="O30" i="48" s="1"/>
  <c r="J30" i="48"/>
  <c r="O32" i="51"/>
  <c r="O36" i="51" s="1"/>
  <c r="M24" i="51"/>
  <c r="O24" i="51" s="1"/>
  <c r="J24" i="51"/>
  <c r="J30" i="50"/>
  <c r="M30" i="50"/>
  <c r="O30" i="50" s="1"/>
  <c r="J30" i="43"/>
  <c r="M30" i="43"/>
  <c r="O30" i="43" s="1"/>
  <c r="M30" i="55"/>
  <c r="O30" i="55" s="1"/>
  <c r="J30" i="55"/>
  <c r="M24" i="57"/>
  <c r="O24" i="57" s="1"/>
  <c r="O32" i="57" s="1"/>
  <c r="O36" i="57" s="1"/>
  <c r="G24" i="58"/>
  <c r="J24" i="57"/>
  <c r="J24" i="52"/>
  <c r="M24" i="52"/>
  <c r="O24" i="52" s="1"/>
  <c r="O32" i="52" s="1"/>
  <c r="O36" i="52" s="1"/>
  <c r="M24" i="53"/>
  <c r="O24" i="53" s="1"/>
  <c r="O32" i="53" s="1"/>
  <c r="O36" i="53" s="1"/>
  <c r="J24" i="53"/>
  <c r="M30" i="44"/>
  <c r="O30" i="44" s="1"/>
  <c r="J30" i="44"/>
  <c r="J30" i="45"/>
  <c r="M30" i="45"/>
  <c r="O30" i="45" s="1"/>
  <c r="M24" i="43"/>
  <c r="O24" i="43" s="1"/>
  <c r="J24" i="43"/>
  <c r="J16" i="43"/>
  <c r="M16" i="43"/>
  <c r="O16" i="43" s="1"/>
  <c r="O32" i="43" s="1"/>
  <c r="O36" i="43" s="1"/>
  <c r="M24" i="41"/>
  <c r="O24" i="41" s="1"/>
  <c r="J24" i="41"/>
  <c r="M24" i="42"/>
  <c r="O24" i="42" s="1"/>
  <c r="J24" i="42"/>
  <c r="M24" i="55"/>
  <c r="O24" i="55" s="1"/>
  <c r="O32" i="55" s="1"/>
  <c r="O36" i="55" s="1"/>
  <c r="J24" i="55"/>
  <c r="M16" i="41"/>
  <c r="O16" i="41" s="1"/>
  <c r="J16" i="41"/>
  <c r="M30" i="41"/>
  <c r="O30" i="41" s="1"/>
  <c r="J30" i="41"/>
  <c r="M30" i="54"/>
  <c r="O30" i="54" s="1"/>
  <c r="J30" i="54"/>
  <c r="M24" i="48"/>
  <c r="O24" i="48" s="1"/>
  <c r="O32" i="48" s="1"/>
  <c r="O36" i="48" s="1"/>
  <c r="J24" i="48"/>
  <c r="M30" i="52"/>
  <c r="O30" i="52" s="1"/>
  <c r="J30" i="52"/>
  <c r="M24" i="37"/>
  <c r="O24" i="37" s="1"/>
  <c r="J24" i="37"/>
  <c r="M24" i="49"/>
  <c r="O24" i="49" s="1"/>
  <c r="O32" i="49" s="1"/>
  <c r="O36" i="49" s="1"/>
  <c r="J24" i="49"/>
  <c r="J30" i="53"/>
  <c r="M30" i="53"/>
  <c r="O30" i="53" s="1"/>
  <c r="M24" i="54"/>
  <c r="O24" i="54" s="1"/>
  <c r="J24" i="54"/>
  <c r="J16" i="37"/>
  <c r="M16" i="37"/>
  <c r="O16" i="37" s="1"/>
  <c r="O32" i="37" s="1"/>
  <c r="O36" i="37" s="1"/>
  <c r="M30" i="42"/>
  <c r="O30" i="42" s="1"/>
  <c r="J30" i="42"/>
  <c r="M24" i="50"/>
  <c r="O24" i="50" s="1"/>
  <c r="J24" i="50"/>
  <c r="J16" i="42"/>
  <c r="M16" i="42"/>
  <c r="O16" i="42" s="1"/>
  <c r="M30" i="37"/>
  <c r="O30" i="37" s="1"/>
  <c r="J30" i="37"/>
  <c r="M30" i="46"/>
  <c r="O30" i="46" s="1"/>
  <c r="J30" i="46"/>
  <c r="O32" i="46" l="1"/>
  <c r="O36" i="46" s="1"/>
  <c r="M30" i="58"/>
  <c r="O30" i="58" s="1"/>
  <c r="G30" i="59"/>
  <c r="J30" i="58"/>
  <c r="O32" i="58"/>
  <c r="O36" i="58" s="1"/>
  <c r="J18" i="59"/>
  <c r="G18" i="60"/>
  <c r="M18" i="59"/>
  <c r="O18" i="59" s="1"/>
  <c r="O32" i="42"/>
  <c r="O36" i="42" s="1"/>
  <c r="O32" i="41"/>
  <c r="O36" i="41" s="1"/>
  <c r="J24" i="58"/>
  <c r="G24" i="59"/>
  <c r="M24" i="58"/>
  <c r="O24" i="58" s="1"/>
  <c r="M24" i="59" l="1"/>
  <c r="O24" i="59" s="1"/>
  <c r="G24" i="60"/>
  <c r="J24" i="59"/>
  <c r="M30" i="59"/>
  <c r="O30" i="59" s="1"/>
  <c r="O32" i="59" s="1"/>
  <c r="O36" i="59" s="1"/>
  <c r="G30" i="60"/>
  <c r="J30" i="59"/>
  <c r="G18" i="61"/>
  <c r="M18" i="60"/>
  <c r="O18" i="60" s="1"/>
  <c r="J18" i="60"/>
  <c r="G18" i="62"/>
  <c r="M18" i="62" l="1"/>
  <c r="O18" i="62" s="1"/>
  <c r="G18" i="63"/>
  <c r="G18" i="64"/>
  <c r="J18" i="62"/>
  <c r="M18" i="61"/>
  <c r="O18" i="61" s="1"/>
  <c r="J18" i="61"/>
  <c r="J24" i="60"/>
  <c r="M24" i="60"/>
  <c r="O24" i="60" s="1"/>
  <c r="G24" i="61"/>
  <c r="G24" i="62"/>
  <c r="O32" i="60"/>
  <c r="O36" i="60" s="1"/>
  <c r="M30" i="60"/>
  <c r="O30" i="60" s="1"/>
  <c r="G30" i="61"/>
  <c r="G30" i="62"/>
  <c r="J30" i="60"/>
  <c r="M24" i="62" l="1"/>
  <c r="O24" i="62" s="1"/>
  <c r="G24" i="64"/>
  <c r="G24" i="63"/>
  <c r="J24" i="62"/>
  <c r="M18" i="64"/>
  <c r="O18" i="64" s="1"/>
  <c r="G18" i="65"/>
  <c r="J18" i="64"/>
  <c r="M24" i="61"/>
  <c r="O24" i="61" s="1"/>
  <c r="O32" i="61" s="1"/>
  <c r="O36" i="61" s="1"/>
  <c r="J24" i="61"/>
  <c r="J18" i="63"/>
  <c r="M18" i="63"/>
  <c r="O18" i="63" s="1"/>
  <c r="M30" i="62"/>
  <c r="O30" i="62" s="1"/>
  <c r="G30" i="63"/>
  <c r="G30" i="64"/>
  <c r="J30" i="62"/>
  <c r="M30" i="61"/>
  <c r="O30" i="61" s="1"/>
  <c r="J30" i="61"/>
  <c r="O32" i="62"/>
  <c r="O36" i="62" s="1"/>
  <c r="O32" i="64" l="1"/>
  <c r="O36" i="64" s="1"/>
  <c r="M30" i="64"/>
  <c r="O30" i="64" s="1"/>
  <c r="G30" i="65"/>
  <c r="J30" i="64"/>
  <c r="M24" i="63"/>
  <c r="O24" i="63" s="1"/>
  <c r="O32" i="63" s="1"/>
  <c r="O36" i="63" s="1"/>
  <c r="J24" i="63"/>
  <c r="G18" i="66"/>
  <c r="J18" i="65"/>
  <c r="M18" i="65"/>
  <c r="O18" i="65" s="1"/>
  <c r="M30" i="63"/>
  <c r="O30" i="63" s="1"/>
  <c r="J30" i="63"/>
  <c r="M24" i="64"/>
  <c r="O24" i="64" s="1"/>
  <c r="G24" i="65"/>
  <c r="J24" i="64"/>
  <c r="M18" i="66" l="1"/>
  <c r="O18" i="66" s="1"/>
  <c r="J18" i="66"/>
  <c r="G18" i="67"/>
  <c r="M30" i="65"/>
  <c r="O30" i="65" s="1"/>
  <c r="G30" i="66"/>
  <c r="J30" i="65"/>
  <c r="M24" i="65"/>
  <c r="O24" i="65" s="1"/>
  <c r="O32" i="65" s="1"/>
  <c r="O36" i="65" s="1"/>
  <c r="G24" i="66"/>
  <c r="J24" i="65"/>
  <c r="J30" i="66" l="1"/>
  <c r="M30" i="66"/>
  <c r="O30" i="66" s="1"/>
  <c r="G30" i="67"/>
  <c r="J18" i="67"/>
  <c r="G18" i="68"/>
  <c r="M18" i="67"/>
  <c r="O18" i="67" s="1"/>
  <c r="M24" i="66"/>
  <c r="O24" i="66" s="1"/>
  <c r="G24" i="67"/>
  <c r="J24" i="66"/>
  <c r="O32" i="66"/>
  <c r="O36" i="66" s="1"/>
  <c r="J24" i="67" l="1"/>
  <c r="G24" i="68"/>
  <c r="M24" i="67"/>
  <c r="O24" i="67" s="1"/>
  <c r="M30" i="67"/>
  <c r="O30" i="67" s="1"/>
  <c r="G30" i="68"/>
  <c r="J30" i="67"/>
  <c r="O32" i="67"/>
  <c r="O36" i="67" s="1"/>
  <c r="G18" i="69"/>
  <c r="M18" i="68"/>
  <c r="O18" i="68" s="1"/>
  <c r="J18" i="68"/>
  <c r="G18" i="70" l="1"/>
  <c r="M18" i="69"/>
  <c r="O18" i="69" s="1"/>
  <c r="J18" i="69"/>
  <c r="M30" i="68"/>
  <c r="O30" i="68" s="1"/>
  <c r="G30" i="69"/>
  <c r="J30" i="68"/>
  <c r="O32" i="68"/>
  <c r="O36" i="68" s="1"/>
  <c r="M24" i="68"/>
  <c r="O24" i="68" s="1"/>
  <c r="G24" i="69"/>
  <c r="J24" i="68"/>
  <c r="M24" i="69" l="1"/>
  <c r="O24" i="69" s="1"/>
  <c r="O32" i="69" s="1"/>
  <c r="O36" i="69" s="1"/>
  <c r="G24" i="70"/>
  <c r="J24" i="69"/>
  <c r="M30" i="69"/>
  <c r="O30" i="69" s="1"/>
  <c r="G30" i="70"/>
  <c r="J30" i="69"/>
  <c r="G18" i="71"/>
  <c r="M18" i="70"/>
  <c r="O18" i="70" s="1"/>
  <c r="J18" i="70"/>
  <c r="M18" i="71" l="1"/>
  <c r="O18" i="71" s="1"/>
  <c r="G18" i="72"/>
  <c r="J18" i="71"/>
  <c r="G30" i="71"/>
  <c r="M30" i="70"/>
  <c r="O30" i="70" s="1"/>
  <c r="J30" i="70"/>
  <c r="M24" i="70"/>
  <c r="O24" i="70" s="1"/>
  <c r="G24" i="71"/>
  <c r="J24" i="70"/>
  <c r="O32" i="70"/>
  <c r="O36" i="70" s="1"/>
  <c r="G24" i="72" l="1"/>
  <c r="M24" i="71"/>
  <c r="O24" i="71" s="1"/>
  <c r="J24" i="71"/>
  <c r="M30" i="71"/>
  <c r="O30" i="71" s="1"/>
  <c r="G30" i="72"/>
  <c r="J30" i="71"/>
  <c r="M18" i="72"/>
  <c r="O18" i="72" s="1"/>
  <c r="J18" i="72"/>
  <c r="O32" i="71"/>
  <c r="O36" i="71" s="1"/>
  <c r="M30" i="72" l="1"/>
  <c r="O30" i="72" s="1"/>
  <c r="J30" i="72"/>
  <c r="O32" i="72"/>
  <c r="O36" i="72" s="1"/>
  <c r="M24" i="72"/>
  <c r="O24" i="72" s="1"/>
  <c r="J24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200-000001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300-000001000000}">
      <text/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400-000001000000}">
      <text/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500-000001000000}">
      <text/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600-000001000000}">
      <text/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C31" authorId="0" shapeId="0" xr:uid="{00000000-0006-0000-1700-000001000000}">
      <text/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800-000001000000}">
      <text/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900-000001000000}">
      <text/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A00-000001000000}">
      <text/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B00-000001000000}">
      <text/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C00-000001000000}">
      <text/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D00-000001000000}">
      <text/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E00-000001000000}">
      <text/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1F00-000001000000}">
      <text/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000-000001000000}">
      <text/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100-000001000000}">
      <text/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200-000001000000}">
      <text/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300-000001000000}">
      <text/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400-000001000000}">
      <text/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500-000001000000}">
      <text/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600-000001000000}">
      <text/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700-000001000000}">
      <text/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800-000001000000}">
      <text/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900-000001000000}">
      <text/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A00-000001000000}">
      <text/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B00-000001000000}">
      <text/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C00-000001000000}">
      <text/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D00-000001000000}">
      <text/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E00-000001000000}">
      <text/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2F00-000001000000}">
      <text/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MKNZB</author>
  </authors>
  <commentList>
    <comment ref="A31" authorId="0" shapeId="0" xr:uid="{00000000-0006-0000-3000-000001000000}">
      <text/>
    </comment>
  </commentList>
</comments>
</file>

<file path=xl/sharedStrings.xml><?xml version="1.0" encoding="utf-8"?>
<sst xmlns="http://schemas.openxmlformats.org/spreadsheetml/2006/main" count="4340" uniqueCount="207">
  <si>
    <t>SRI MK PAPER MILLS PVT. LTD.</t>
  </si>
  <si>
    <t xml:space="preserve">CHEMICAL  CONSUMPTION /   BALANCE  &amp;  COSTING  PER DAY  &amp;  TODATE </t>
  </si>
  <si>
    <t xml:space="preserve">PRODUCTION ( MT ) </t>
  </si>
  <si>
    <t>170.000(AVG)</t>
  </si>
  <si>
    <t xml:space="preserve">DATE : 01 - 07 - 2026	</t>
  </si>
  <si>
    <t>PRODUCTION (MT)</t>
  </si>
  <si>
    <t xml:space="preserve">GOLDEN YELLOW </t>
  </si>
  <si>
    <t>000.000(AVG)</t>
  </si>
  <si>
    <t>SR.</t>
  </si>
  <si>
    <t>CHEMICAL</t>
  </si>
  <si>
    <t>OPENING</t>
  </si>
  <si>
    <t>RECEIVED MATERIAL</t>
  </si>
  <si>
    <t>CONSUMED  MATERIAL</t>
  </si>
  <si>
    <t>TODAY</t>
  </si>
  <si>
    <t>TO DATE</t>
  </si>
  <si>
    <t>RATE</t>
  </si>
  <si>
    <t xml:space="preserve">TOTAL CONSUMED AMOUNT </t>
  </si>
  <si>
    <t xml:space="preserve">COSTING </t>
  </si>
  <si>
    <t>NO.</t>
  </si>
  <si>
    <t>NAME</t>
  </si>
  <si>
    <t>STOCK</t>
  </si>
  <si>
    <t>TO DAY</t>
  </si>
  <si>
    <t>CONSUMPTION</t>
  </si>
  <si>
    <t>BALANCE</t>
  </si>
  <si>
    <t>RS.@</t>
  </si>
  <si>
    <t xml:space="preserve">TODAY </t>
  </si>
  <si>
    <t xml:space="preserve">TO DATE </t>
  </si>
  <si>
    <t>(Kgs.)</t>
  </si>
  <si>
    <t>(Kgs.)/MTP</t>
  </si>
  <si>
    <t>MT</t>
  </si>
  <si>
    <t>Rs.</t>
  </si>
  <si>
    <t>Rs./MTP</t>
  </si>
  <si>
    <t xml:space="preserve">STARCH </t>
  </si>
  <si>
    <t>PAC ( SOLID)</t>
  </si>
  <si>
    <t>SURFACE SIZE (700C)</t>
  </si>
  <si>
    <t>ENZYME (L)</t>
  </si>
  <si>
    <t>RETENTION AID (2024)</t>
  </si>
  <si>
    <t>DEFOAMER (SE 100)</t>
  </si>
  <si>
    <t>COAGULANT (CL 200)</t>
  </si>
  <si>
    <t>KROFTA (303)</t>
  </si>
  <si>
    <t>BELT PRESS (SUCHEM - 638 )</t>
  </si>
  <si>
    <t>GOLDEN YELLOW DYE</t>
  </si>
  <si>
    <t>SE-BOND 102 (CRACKING  AGENT)</t>
  </si>
  <si>
    <t>PROMASK 192</t>
  </si>
  <si>
    <t>PROSOLVE 126</t>
  </si>
  <si>
    <t>PROSOLVE  ADV.</t>
  </si>
  <si>
    <t>BLEACHING POWDER (S)</t>
  </si>
  <si>
    <t>SODIUM HYPO CHLORIDE [HYPO]</t>
  </si>
  <si>
    <t>HCL [PULP MILL]</t>
  </si>
  <si>
    <t>HCL [BOILER]</t>
  </si>
  <si>
    <t>pH BOOSTER  [3230] (L)</t>
  </si>
  <si>
    <t>ANTI SCALEN  [3220] (L)</t>
  </si>
  <si>
    <t>OXYGEN SCAVANGER  [3210] (L)</t>
  </si>
  <si>
    <t>RO ANTI  SCALEN  [3291 (L)</t>
  </si>
  <si>
    <t xml:space="preserve">CAUSTIC SODA  FLAKES </t>
  </si>
  <si>
    <t>DESCALING [3250] (L)</t>
  </si>
  <si>
    <t>S.NO.</t>
  </si>
  <si>
    <t xml:space="preserve">QUALITY  WISE  PRODUCTION </t>
  </si>
  <si>
    <t xml:space="preserve">NO. OF SET </t>
  </si>
  <si>
    <t>PM/C PRODUCTION (MT)</t>
  </si>
  <si>
    <t xml:space="preserve">TOTAL </t>
  </si>
  <si>
    <t>140 GSM/18  BF (NATURAL)</t>
  </si>
  <si>
    <t>150 GSM/18  BF (NATURAL)</t>
  </si>
  <si>
    <t>Rs./Kg.</t>
  </si>
  <si>
    <t>159.000(AVG)</t>
  </si>
  <si>
    <t xml:space="preserve">DATE : 02 - 07 - 2026	</t>
  </si>
  <si>
    <t>180 GSM/18  BF (NATURAL)</t>
  </si>
  <si>
    <t>180 GSM/20  BF (NATURAL)</t>
  </si>
  <si>
    <t xml:space="preserve">DATE : 03 - 07 - 2026	</t>
  </si>
  <si>
    <t>180 GSM/22  BF (NATURAL)</t>
  </si>
  <si>
    <t>140 GSM/20  BF (NATURAL)</t>
  </si>
  <si>
    <t>120 GSM/20  BF (NATURAL)</t>
  </si>
  <si>
    <t xml:space="preserve">DATE : 04 - 07 - 2026	</t>
  </si>
  <si>
    <t>120 GSM/18  BF (NATURAL)</t>
  </si>
  <si>
    <t xml:space="preserve">DATE : 05 - 07 - 2026	</t>
  </si>
  <si>
    <t>00.000(AVG)</t>
  </si>
  <si>
    <t xml:space="preserve">DATE : 06 - 07 - 2026	</t>
  </si>
  <si>
    <t xml:space="preserve">DATE : 07 - 07 - 2026	</t>
  </si>
  <si>
    <t xml:space="preserve">DATE : 08 - 07 - 2026	</t>
  </si>
  <si>
    <t xml:space="preserve">DATE : 09 - 07 - 2026	</t>
  </si>
  <si>
    <t>L</t>
  </si>
  <si>
    <t xml:space="preserve">DATE : 10 - 07 - 2026	</t>
  </si>
  <si>
    <t>120 GSM/18 BF (NATURAL)</t>
  </si>
  <si>
    <t>140 GSM/18 BF (NATURAL)</t>
  </si>
  <si>
    <t xml:space="preserve">DATE : 11 - 07 - 2026	</t>
  </si>
  <si>
    <t>150 GSM/20 BF (NATURAL)</t>
  </si>
  <si>
    <t>150 GSM/22  BF (NATURAL)</t>
  </si>
  <si>
    <t>180 GSM/18 BF (NATURAL)</t>
  </si>
  <si>
    <t>180 GSM/22 BF (NATURAL)</t>
  </si>
  <si>
    <t>170 GSM/20  BF (NATURAL)</t>
  </si>
  <si>
    <t xml:space="preserve">DATE : 12 - 07 - 2026	</t>
  </si>
  <si>
    <t>120 GSM/18 BF NATURAL</t>
  </si>
  <si>
    <t xml:space="preserve">DATE : 13 - 07 - 2026	</t>
  </si>
  <si>
    <t>112.500(AVG)</t>
  </si>
  <si>
    <t>140 GSM/18  BF (GOLDEN)</t>
  </si>
  <si>
    <t>180 GSM/18  BF (GOLDEN)</t>
  </si>
  <si>
    <t xml:space="preserve">DATE : 14 - 07 - 2026	</t>
  </si>
  <si>
    <t>146.250(AVG)</t>
  </si>
  <si>
    <t>150 GSM/18  BF (GOLDEN)</t>
  </si>
  <si>
    <t>180 GSM/20  BF (GOLDEN)</t>
  </si>
  <si>
    <t>150 GSM/20  BF (GOLDEN)</t>
  </si>
  <si>
    <t>180 GSM/22  BF (GOLDEN)</t>
  </si>
  <si>
    <t xml:space="preserve">TODAY(RS./Kg) </t>
  </si>
  <si>
    <t>TO DATE (RS./Kg)</t>
  </si>
  <si>
    <t>140 GSM/22 BF ( GOLDEN)</t>
  </si>
  <si>
    <t>180 GSM/24  BF (GOLDEN)</t>
  </si>
  <si>
    <t>250 GSM/18  BF (GOLDEN)</t>
  </si>
  <si>
    <t>250 GSM/22  BF (GOLDEN)</t>
  </si>
  <si>
    <t xml:space="preserve">DATE : 15 - 07 - 2026	</t>
  </si>
  <si>
    <t>140.500(AVG)</t>
  </si>
  <si>
    <t>140 GSM/18 BF ( GOLDEN)</t>
  </si>
  <si>
    <t>120 GSM/18 BF ( GOLDEN)</t>
  </si>
  <si>
    <t xml:space="preserve">DATE : 16 - 07 - 2026	</t>
  </si>
  <si>
    <t>116.125(AVG)</t>
  </si>
  <si>
    <t>120 GSM/18  BF (GOLDEN)</t>
  </si>
  <si>
    <t>140 GSM/18 BF ( NATURAL)</t>
  </si>
  <si>
    <t>139.238(AVG.)</t>
  </si>
  <si>
    <t xml:space="preserve">DATE : 21 - 07 - 2026	</t>
  </si>
  <si>
    <t>(RS./Kg)</t>
  </si>
  <si>
    <t xml:space="preserve">DATE : 22 - 07 - 2026	</t>
  </si>
  <si>
    <t>138.818(AVG.)</t>
  </si>
  <si>
    <t>120 GSM/18 BF ( NATURAL)</t>
  </si>
  <si>
    <t>SE-BOND 102(CRACKING  AGENT)</t>
  </si>
  <si>
    <t xml:space="preserve">DATE : 23 - 07 - 2026	</t>
  </si>
  <si>
    <t>138.609(AVG.)</t>
  </si>
  <si>
    <t>120 GSM/20 BF ( NATURAL)</t>
  </si>
  <si>
    <t>150 GSM/18 BF ( NATURAL)</t>
  </si>
  <si>
    <t xml:space="preserve">DATE : 24 - 07 - 2026	</t>
  </si>
  <si>
    <t>140.542(AVG.)</t>
  </si>
  <si>
    <t>240 GSM/18 BF ( NATURAL)</t>
  </si>
  <si>
    <t>200 GSM/18 BF ( NATURAL)</t>
  </si>
  <si>
    <t xml:space="preserve">DATE : 25 - 07 - 2026	</t>
  </si>
  <si>
    <t>142.520(AVG.)</t>
  </si>
  <si>
    <t>PM/C PROD. (MT)</t>
  </si>
  <si>
    <t>180 GSM/18 BF ( NATURAL)</t>
  </si>
  <si>
    <t>180 GSM/20 BF ( NATURAL)</t>
  </si>
  <si>
    <t>180 GSM/22 BF ( NATURAL)</t>
  </si>
  <si>
    <t>180 GSM/24 BF ( NATURAL)</t>
  </si>
  <si>
    <t>150 GSM/22 BF ( NATURAL)</t>
  </si>
  <si>
    <t>150 GSM/24 BF ( NATURAL)</t>
  </si>
  <si>
    <t>140 GSM/22 BF ( NATURAL)</t>
  </si>
  <si>
    <t>120 GSM/24 BF ( NATURAL)</t>
  </si>
  <si>
    <t xml:space="preserve">DATE : 26 - 07 - 2026	</t>
  </si>
  <si>
    <t>142.889(AVG.)</t>
  </si>
  <si>
    <t>140 GSM/20 BF ( NATURAL)</t>
  </si>
  <si>
    <t>150 GSM/20 BF ( NATURAL)</t>
  </si>
  <si>
    <t xml:space="preserve">DATE : 27 - 07 - 2026	</t>
  </si>
  <si>
    <t>145 GSM/20 BF ( NATURAL)</t>
  </si>
  <si>
    <t>144.222(AVG.)</t>
  </si>
  <si>
    <t xml:space="preserve">DATE : 28 - 07 - 2026	</t>
  </si>
  <si>
    <t>145.214(AVG.)</t>
  </si>
  <si>
    <t>143.724(AVG.)</t>
  </si>
  <si>
    <t xml:space="preserve">DATE : 29 - 07 - 2026	</t>
  </si>
  <si>
    <t xml:space="preserve">DATE : 30 - 07 - 2026	</t>
  </si>
  <si>
    <t>143.700(AVG.)</t>
  </si>
  <si>
    <t xml:space="preserve">DATE : 31 - 07 - 2026	</t>
  </si>
  <si>
    <t>143.612(AVG.)</t>
  </si>
  <si>
    <t xml:space="preserve">(AVG) </t>
  </si>
  <si>
    <t xml:space="preserve">DATE : 02  - 08 - 2026	</t>
  </si>
  <si>
    <t>154.000 (AVG)</t>
  </si>
  <si>
    <t xml:space="preserve">DATE : 01  - 08 - 2026	</t>
  </si>
  <si>
    <t>159.000 (AVG)</t>
  </si>
  <si>
    <t>146.000 (AVG)</t>
  </si>
  <si>
    <t xml:space="preserve">DATE : 03  - 08 - 2026	</t>
  </si>
  <si>
    <t>145.250 (AVG)</t>
  </si>
  <si>
    <t xml:space="preserve">DATE : 04  - 08 - 2026	</t>
  </si>
  <si>
    <t xml:space="preserve">DATE : 05  - 08 - 2026	</t>
  </si>
  <si>
    <t>117.800 (AVG)</t>
  </si>
  <si>
    <t xml:space="preserve">DATE : 06 - 08 - 2026	</t>
  </si>
  <si>
    <t>180 GSM/16 BF ( NATURAL)</t>
  </si>
  <si>
    <t>150 GSM/16 BF ( NATURAL)</t>
  </si>
  <si>
    <t>116.000 (AVG)</t>
  </si>
  <si>
    <t xml:space="preserve">DATE : 07 - 08 - 2026	</t>
  </si>
  <si>
    <t>123.286 (AVG)</t>
  </si>
  <si>
    <t>122.250 (AVG)</t>
  </si>
  <si>
    <t xml:space="preserve">DATE : 08 - 08 - 2026	</t>
  </si>
  <si>
    <t>119.444(AVG)</t>
  </si>
  <si>
    <t xml:space="preserve">DATE : 09 - 08 - 2026	</t>
  </si>
  <si>
    <t xml:space="preserve">DATE : 10 - 08 - 2026	</t>
  </si>
  <si>
    <t>121.100(AVG)</t>
  </si>
  <si>
    <t xml:space="preserve">DATE : 11 - 08 - 2026	</t>
  </si>
  <si>
    <t>123.182(AVG)</t>
  </si>
  <si>
    <t xml:space="preserve">DATE : 12 - 08 - 2026	</t>
  </si>
  <si>
    <t>126.750(AVG)</t>
  </si>
  <si>
    <t xml:space="preserve">DATE : 13 - 08 - 2026	</t>
  </si>
  <si>
    <t>127.923(AVG)</t>
  </si>
  <si>
    <t xml:space="preserve">DATE : 14 - 08 - 2026	</t>
  </si>
  <si>
    <t>130.289(AVG)</t>
  </si>
  <si>
    <t xml:space="preserve">DATE : 15 - 08 - 2026	</t>
  </si>
  <si>
    <t>175 GSM/18 BF ( NATURAL)</t>
  </si>
  <si>
    <t>175 GSM/20 BF ( NATURAL)</t>
  </si>
  <si>
    <t>122.467(AVG)</t>
  </si>
  <si>
    <t xml:space="preserve">DATE : 16 - 08 - 2026	</t>
  </si>
  <si>
    <t>135.812(AVG)</t>
  </si>
  <si>
    <t>200 GSM/20 BF ( NATURAL)</t>
  </si>
  <si>
    <t xml:space="preserve">DATE : 17 - 08 - 2026	</t>
  </si>
  <si>
    <t>137.177(AVG)</t>
  </si>
  <si>
    <t xml:space="preserve">DATE : 18 - 08 - 2026	</t>
  </si>
  <si>
    <t>138.667(AVG)</t>
  </si>
  <si>
    <t xml:space="preserve">DATE : 19 - 08 - 2026	</t>
  </si>
  <si>
    <t>139.526(AVG)</t>
  </si>
  <si>
    <t>140.400(AVG)</t>
  </si>
  <si>
    <t xml:space="preserve">DATE : 20 - 08 - 2026	</t>
  </si>
  <si>
    <t>139.904(AVG)</t>
  </si>
  <si>
    <t xml:space="preserve">DATE : 21 - 08 - 2026	</t>
  </si>
  <si>
    <t>139.182(AVG)</t>
  </si>
  <si>
    <t xml:space="preserve">DATE : 22 - 08 - 2026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</si>
</sst>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"/>
  </numFmts>
  <fonts count="169">
    <font>
      <sz val="11"/>
      <name val="Calibri"/>
      <charset val="134"/>
    </font>
    <font>
      <sz val="12"/>
      <name val="Calibri"/>
      <family val="2"/>
    </font>
    <font>
      <b/>
      <u val="double"/>
      <sz val="14"/>
      <color rgb="FF993300"/>
      <name val="Arial Black"/>
      <family val="2"/>
    </font>
    <font>
      <b/>
      <u val="double"/>
      <sz val="12"/>
      <color rgb="FF000000"/>
      <name val="Arial Black"/>
      <family val="2"/>
    </font>
    <font>
      <b/>
      <u val="double"/>
      <sz val="9"/>
      <color rgb="FF0000FF"/>
      <name val="Arial Black"/>
      <family val="2"/>
    </font>
    <font>
      <b/>
      <u val="double"/>
      <sz val="18"/>
      <color rgb="FF000000"/>
      <name val="Arial Black"/>
      <family val="2"/>
    </font>
    <font>
      <b/>
      <sz val="12"/>
      <color rgb="FFFF6600"/>
      <name val="Arial Black"/>
      <family val="2"/>
    </font>
    <font>
      <b/>
      <u val="double"/>
      <sz val="12"/>
      <color rgb="FFFF6600"/>
      <name val="Arial Black"/>
      <family val="2"/>
    </font>
    <font>
      <b/>
      <u/>
      <sz val="12"/>
      <color rgb="FFFF6600"/>
      <name val="Calibri"/>
      <family val="2"/>
    </font>
    <font>
      <b/>
      <sz val="12"/>
      <color rgb="FF000000"/>
      <name val="Calibri"/>
      <family val="2"/>
    </font>
    <font>
      <b/>
      <sz val="12"/>
      <color rgb="FF6600CC"/>
      <name val="Calibri"/>
      <family val="2"/>
    </font>
    <font>
      <b/>
      <sz val="12"/>
      <color rgb="FF0000FF"/>
      <name val="Calibri"/>
      <family val="2"/>
    </font>
    <font>
      <b/>
      <sz val="10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36363D"/>
      <name val="Calibri"/>
      <family val="2"/>
    </font>
    <font>
      <b/>
      <sz val="12"/>
      <color rgb="FF800000"/>
      <name val="Calibri"/>
      <family val="2"/>
    </font>
    <font>
      <b/>
      <sz val="12"/>
      <color rgb="FFFF6600"/>
      <name val="Calibri"/>
      <family val="2"/>
    </font>
    <font>
      <b/>
      <u/>
      <sz val="12"/>
      <color rgb="FF3399FF"/>
      <name val="Calibri"/>
      <family val="2"/>
    </font>
    <font>
      <b/>
      <sz val="12"/>
      <color rgb="FF3399FF"/>
      <name val="Calibri"/>
      <family val="2"/>
    </font>
    <font>
      <b/>
      <u/>
      <sz val="12"/>
      <color rgb="FF008000"/>
      <name val="Calibri"/>
      <family val="2"/>
    </font>
    <font>
      <b/>
      <sz val="12"/>
      <color rgb="FF008000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rgb="FF6600CC"/>
      <name val="Arial Black"/>
      <family val="2"/>
    </font>
    <font>
      <b/>
      <sz val="12"/>
      <color rgb="FF0070C0"/>
      <name val="Arial Black"/>
      <family val="2"/>
    </font>
    <font>
      <b/>
      <sz val="12"/>
      <name val="Calibri"/>
      <family val="2"/>
      <scheme val="minor"/>
    </font>
    <font>
      <sz val="12"/>
      <color rgb="FF7030A0"/>
      <name val="Arial Black"/>
      <family val="2"/>
    </font>
    <font>
      <sz val="12"/>
      <color rgb="FF0070C0"/>
      <name val="Arial Black"/>
      <family val="2"/>
    </font>
    <font>
      <b/>
      <u val="double"/>
      <sz val="12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2"/>
      <color rgb="FF0000FF"/>
      <name val="Arial Black"/>
      <family val="2"/>
    </font>
    <font>
      <b/>
      <u val="double"/>
      <sz val="12"/>
      <name val="Arial Black"/>
      <family val="2"/>
    </font>
    <font>
      <b/>
      <u/>
      <sz val="12"/>
      <color rgb="FF000000"/>
      <name val="Arial Black"/>
      <family val="2"/>
    </font>
    <font>
      <sz val="9"/>
      <color rgb="FF000000"/>
      <name val="Arial Black"/>
      <family val="2"/>
    </font>
    <font>
      <b/>
      <sz val="9"/>
      <name val="Arial Black"/>
      <family val="2"/>
    </font>
    <font>
      <b/>
      <u val="double"/>
      <sz val="12"/>
      <color rgb="FF993300"/>
      <name val="Arial Black"/>
      <family val="2"/>
    </font>
    <font>
      <b/>
      <u val="double"/>
      <sz val="12"/>
      <color rgb="FF0000FF"/>
      <name val="Arial Black"/>
      <family val="2"/>
    </font>
    <font>
      <b/>
      <sz val="12"/>
      <color rgb="FFFF9900"/>
      <name val="Calibri"/>
      <family val="2"/>
    </font>
    <font>
      <b/>
      <sz val="12"/>
      <color rgb="FF6600CC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000080"/>
      <name val="Arial Black"/>
      <family val="2"/>
    </font>
    <font>
      <sz val="10"/>
      <name val="Calibri"/>
      <family val="2"/>
    </font>
    <font>
      <b/>
      <u val="double"/>
      <sz val="10"/>
      <color rgb="FF993300"/>
      <name val="Arial Black"/>
      <family val="2"/>
    </font>
    <font>
      <b/>
      <u val="double"/>
      <sz val="10"/>
      <color rgb="FF000000"/>
      <name val="Arial Black"/>
      <family val="2"/>
    </font>
    <font>
      <b/>
      <u val="double"/>
      <sz val="10"/>
      <color rgb="FF0000FF"/>
      <name val="Arial Black"/>
      <family val="2"/>
    </font>
    <font>
      <b/>
      <sz val="10"/>
      <color rgb="FFFF6600"/>
      <name val="Calibri"/>
      <family val="2"/>
    </font>
    <font>
      <b/>
      <u/>
      <sz val="10"/>
      <color rgb="FFFF6600"/>
      <name val="Calibri"/>
      <family val="2"/>
    </font>
    <font>
      <b/>
      <sz val="10"/>
      <color rgb="FFFF99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6600CC"/>
      <name val="Calibri"/>
      <family val="2"/>
    </font>
    <font>
      <b/>
      <sz val="10"/>
      <color rgb="FF0000FF"/>
      <name val="Calibri"/>
      <family val="2"/>
    </font>
    <font>
      <b/>
      <sz val="10"/>
      <name val="Calibri"/>
      <family val="2"/>
    </font>
    <font>
      <b/>
      <sz val="10"/>
      <color rgb="FF36363D"/>
      <name val="Calibri"/>
      <family val="2"/>
    </font>
    <font>
      <b/>
      <sz val="10"/>
      <color rgb="FF800000"/>
      <name val="Calibri"/>
      <family val="2"/>
    </font>
    <font>
      <b/>
      <u/>
      <sz val="10"/>
      <color rgb="FF3399FF"/>
      <name val="Calibri"/>
      <family val="2"/>
    </font>
    <font>
      <b/>
      <sz val="10"/>
      <color rgb="FF3399FF"/>
      <name val="Calibri"/>
      <family val="2"/>
    </font>
    <font>
      <b/>
      <u/>
      <sz val="10"/>
      <color rgb="FF008000"/>
      <name val="Calibri"/>
      <family val="2"/>
    </font>
    <font>
      <b/>
      <sz val="10"/>
      <color rgb="FF008000"/>
      <name val="Calibri"/>
      <family val="2"/>
    </font>
    <font>
      <b/>
      <sz val="10"/>
      <color rgb="FF6600CC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0000FF"/>
      <name val="Arial Black"/>
      <family val="2"/>
    </font>
    <font>
      <b/>
      <sz val="10"/>
      <color rgb="FF6600CC"/>
      <name val="Arial Black"/>
      <family val="2"/>
    </font>
    <font>
      <b/>
      <sz val="10"/>
      <color rgb="FF000080"/>
      <name val="Arial Black"/>
      <family val="2"/>
    </font>
    <font>
      <b/>
      <u val="double"/>
      <sz val="10"/>
      <name val="Arial Black"/>
      <family val="2"/>
    </font>
    <font>
      <b/>
      <u/>
      <sz val="10"/>
      <color rgb="FF000000"/>
      <name val="Arial Black"/>
      <family val="2"/>
    </font>
    <font>
      <sz val="10"/>
      <color rgb="FF000000"/>
      <name val="Arial Black"/>
      <family val="2"/>
    </font>
    <font>
      <b/>
      <sz val="10"/>
      <name val="Arial Black"/>
      <family val="2"/>
    </font>
    <font>
      <b/>
      <sz val="12"/>
      <color rgb="FF000080"/>
      <name val="Calibri"/>
      <family val="2"/>
    </font>
    <font>
      <b/>
      <u/>
      <sz val="12"/>
      <color rgb="FF00000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u val="double"/>
      <sz val="8"/>
      <color rgb="FF993300"/>
      <name val="Arial Black"/>
      <family val="2"/>
    </font>
    <font>
      <b/>
      <u val="double"/>
      <sz val="8"/>
      <color rgb="FF000000"/>
      <name val="Arial Black"/>
      <family val="2"/>
    </font>
    <font>
      <b/>
      <u/>
      <sz val="8"/>
      <color rgb="FF000000"/>
      <name val="Arial Black"/>
      <family val="2"/>
    </font>
    <font>
      <b/>
      <u val="double"/>
      <sz val="8"/>
      <color rgb="FF0000FF"/>
      <name val="Arial Black"/>
      <family val="2"/>
    </font>
    <font>
      <b/>
      <sz val="8"/>
      <color rgb="FFFF6600"/>
      <name val="Calibri"/>
      <family val="2"/>
    </font>
    <font>
      <b/>
      <u/>
      <sz val="8"/>
      <color rgb="FFFF6600"/>
      <name val="Calibri"/>
      <family val="2"/>
    </font>
    <font>
      <b/>
      <sz val="8"/>
      <color rgb="FFFF99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color rgb="FF6600CC"/>
      <name val="Calibri"/>
      <family val="2"/>
    </font>
    <font>
      <b/>
      <sz val="8"/>
      <color rgb="FF0000FF"/>
      <name val="Calibri"/>
      <family val="2"/>
    </font>
    <font>
      <b/>
      <sz val="8"/>
      <color rgb="FF36363D"/>
      <name val="Calibri"/>
      <family val="2"/>
    </font>
    <font>
      <b/>
      <sz val="8"/>
      <color rgb="FF800000"/>
      <name val="Calibri"/>
      <family val="2"/>
    </font>
    <font>
      <b/>
      <u/>
      <sz val="8"/>
      <color rgb="FF3399FF"/>
      <name val="Calibri"/>
      <family val="2"/>
    </font>
    <font>
      <b/>
      <sz val="8"/>
      <color rgb="FF3399FF"/>
      <name val="Calibri"/>
      <family val="2"/>
    </font>
    <font>
      <b/>
      <u/>
      <sz val="8"/>
      <color rgb="FF008000"/>
      <name val="Calibri"/>
      <family val="2"/>
    </font>
    <font>
      <b/>
      <sz val="8"/>
      <color rgb="FF008000"/>
      <name val="Calibri"/>
      <family val="2"/>
    </font>
    <font>
      <b/>
      <u/>
      <sz val="8"/>
      <color rgb="FF000000"/>
      <name val="Calibri"/>
      <family val="2"/>
    </font>
    <font>
      <b/>
      <sz val="8"/>
      <color rgb="FF0000FF"/>
      <name val="Arial Black"/>
      <family val="2"/>
    </font>
    <font>
      <b/>
      <sz val="8"/>
      <color rgb="FF6600CC"/>
      <name val="Arial Black"/>
      <family val="2"/>
    </font>
    <font>
      <b/>
      <sz val="8"/>
      <color rgb="FF000080"/>
      <name val="Arial Black"/>
      <family val="2"/>
    </font>
    <font>
      <sz val="9"/>
      <name val="Calibri"/>
      <family val="2"/>
    </font>
    <font>
      <b/>
      <u val="double"/>
      <sz val="9"/>
      <color rgb="FF993300"/>
      <name val="Arial Black"/>
      <family val="2"/>
    </font>
    <font>
      <b/>
      <u val="double"/>
      <sz val="9"/>
      <color rgb="FF000000"/>
      <name val="Arial Black"/>
      <family val="2"/>
    </font>
    <font>
      <b/>
      <u/>
      <sz val="9"/>
      <color rgb="FF000000"/>
      <name val="Arial Black"/>
      <family val="2"/>
    </font>
    <font>
      <b/>
      <sz val="9"/>
      <color rgb="FF0000FF"/>
      <name val="Arial Black"/>
      <family val="2"/>
    </font>
    <font>
      <b/>
      <sz val="9"/>
      <color rgb="FFFF6600"/>
      <name val="Calibri"/>
      <family val="2"/>
    </font>
    <font>
      <b/>
      <u/>
      <sz val="9"/>
      <color rgb="FFFF6600"/>
      <name val="Calibri"/>
      <family val="2"/>
    </font>
    <font>
      <b/>
      <sz val="9"/>
      <color rgb="FFFF99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rgb="FF6600CC"/>
      <name val="Calibri"/>
      <family val="2"/>
    </font>
    <font>
      <b/>
      <sz val="9"/>
      <color rgb="FF0000FF"/>
      <name val="Calibri"/>
      <family val="2"/>
    </font>
    <font>
      <b/>
      <sz val="9"/>
      <name val="Calibri"/>
      <family val="2"/>
    </font>
    <font>
      <b/>
      <sz val="9"/>
      <color rgb="FF36363D"/>
      <name val="Calibri"/>
      <family val="2"/>
    </font>
    <font>
      <b/>
      <sz val="9"/>
      <color rgb="FF800000"/>
      <name val="Calibri"/>
      <family val="2"/>
    </font>
    <font>
      <b/>
      <u/>
      <sz val="9"/>
      <color rgb="FF3399FF"/>
      <name val="Calibri"/>
      <family val="2"/>
    </font>
    <font>
      <b/>
      <sz val="9"/>
      <color rgb="FF3399FF"/>
      <name val="Calibri"/>
      <family val="2"/>
    </font>
    <font>
      <b/>
      <u/>
      <sz val="9"/>
      <color rgb="FF008000"/>
      <name val="Calibri"/>
      <family val="2"/>
    </font>
    <font>
      <b/>
      <sz val="9"/>
      <color rgb="FF008000"/>
      <name val="Calibri"/>
      <family val="2"/>
    </font>
    <font>
      <b/>
      <u/>
      <sz val="9"/>
      <color rgb="FF000000"/>
      <name val="Calibri"/>
      <family val="2"/>
    </font>
    <font>
      <b/>
      <sz val="9"/>
      <color rgb="FF6600CC"/>
      <name val="Arial Black"/>
      <family val="2"/>
    </font>
    <font>
      <b/>
      <sz val="9"/>
      <color rgb="FF000080"/>
      <name val="Arial Black"/>
      <family val="2"/>
    </font>
    <font>
      <b/>
      <sz val="9"/>
      <color rgb="FF000080"/>
      <name val="Calibri"/>
      <family val="2"/>
    </font>
    <font>
      <b/>
      <u val="double"/>
      <sz val="14"/>
      <name val="Arial Black"/>
      <family val="2"/>
    </font>
    <font>
      <b/>
      <u val="double"/>
      <sz val="8"/>
      <color rgb="FFFF6600"/>
      <name val="Calibri"/>
      <family val="2"/>
    </font>
    <font>
      <b/>
      <u val="double"/>
      <sz val="9"/>
      <color rgb="FFFF6600"/>
      <name val="Calibri"/>
      <family val="2"/>
    </font>
    <font>
      <b/>
      <sz val="8"/>
      <color rgb="FF000080"/>
      <name val="Calibri"/>
      <family val="2"/>
    </font>
    <font>
      <b/>
      <u/>
      <sz val="10"/>
      <color rgb="FF000000"/>
      <name val="Calibri"/>
      <family val="2"/>
    </font>
    <font>
      <b/>
      <sz val="10"/>
      <color rgb="FF000080"/>
      <name val="Calibri"/>
      <family val="2"/>
    </font>
    <font>
      <b/>
      <sz val="11"/>
      <name val="Calibri"/>
      <family val="2"/>
    </font>
    <font>
      <b/>
      <u val="double"/>
      <sz val="11"/>
      <color rgb="FF993300"/>
      <name val="Arial Black"/>
      <family val="2"/>
    </font>
    <font>
      <b/>
      <u val="double"/>
      <sz val="11"/>
      <color rgb="FF000000"/>
      <name val="Arial Black"/>
      <family val="2"/>
    </font>
    <font>
      <b/>
      <u/>
      <sz val="11"/>
      <color rgb="FF000000"/>
      <name val="Arial Black"/>
      <family val="2"/>
    </font>
    <font>
      <b/>
      <sz val="11"/>
      <color rgb="FF0000FF"/>
      <name val="Arial Black"/>
      <family val="2"/>
    </font>
    <font>
      <b/>
      <sz val="11"/>
      <color rgb="FFFF6600"/>
      <name val="Calibri"/>
      <family val="2"/>
    </font>
    <font>
      <b/>
      <u/>
      <sz val="11"/>
      <color rgb="FFFF6600"/>
      <name val="Calibri"/>
      <family val="2"/>
    </font>
    <font>
      <b/>
      <sz val="11"/>
      <color rgb="FFFF99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6600CC"/>
      <name val="Calibri"/>
      <family val="2"/>
    </font>
    <font>
      <b/>
      <sz val="11"/>
      <color rgb="FF0000FF"/>
      <name val="Calibri"/>
      <family val="2"/>
    </font>
    <font>
      <b/>
      <sz val="11"/>
      <color rgb="FF36363D"/>
      <name val="Calibri"/>
      <family val="2"/>
    </font>
    <font>
      <b/>
      <sz val="11"/>
      <color rgb="FF800000"/>
      <name val="Calibri"/>
      <family val="2"/>
    </font>
    <font>
      <b/>
      <u/>
      <sz val="11"/>
      <color rgb="FF3399FF"/>
      <name val="Calibri"/>
      <family val="2"/>
    </font>
    <font>
      <b/>
      <sz val="11"/>
      <color rgb="FF3399FF"/>
      <name val="Calibri"/>
      <family val="2"/>
    </font>
    <font>
      <b/>
      <u/>
      <sz val="11"/>
      <color rgb="FF008000"/>
      <name val="Calibri"/>
      <family val="2"/>
    </font>
    <font>
      <b/>
      <sz val="11"/>
      <color rgb="FF008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80"/>
      <name val="Calibri"/>
      <family val="2"/>
    </font>
    <font>
      <b/>
      <sz val="10"/>
      <color rgb="FFFF6600"/>
      <name val="Arial Black"/>
      <family val="2"/>
    </font>
    <font>
      <b/>
      <sz val="10"/>
      <color rgb="FF0070C0"/>
      <name val="Arial Black"/>
      <family val="2"/>
    </font>
    <font>
      <sz val="10"/>
      <color rgb="FF7030A0"/>
      <name val="Arial Black"/>
      <family val="2"/>
    </font>
    <font>
      <sz val="10"/>
      <color rgb="FF0070C0"/>
      <name val="Arial Black"/>
      <family val="2"/>
    </font>
    <font>
      <b/>
      <sz val="9"/>
      <color rgb="FF0070C0"/>
      <name val="Arial Black"/>
      <family val="2"/>
    </font>
    <font>
      <b/>
      <sz val="12"/>
      <color theme="3" tint="0.39997558519241921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u val="double"/>
      <sz val="11"/>
      <color rgb="FF0000FF"/>
      <name val="Arial Black"/>
      <family val="2"/>
    </font>
    <font>
      <b/>
      <u/>
      <sz val="11"/>
      <color rgb="FFFF6600"/>
      <name val="Arial Black"/>
      <family val="2"/>
    </font>
    <font>
      <b/>
      <sz val="11"/>
      <color rgb="FFFF0000"/>
      <name val="Calibri"/>
      <family val="2"/>
    </font>
    <font>
      <b/>
      <sz val="9"/>
      <color rgb="FFFF6600"/>
      <name val="Arial Black"/>
      <family val="2"/>
    </font>
    <font>
      <b/>
      <u/>
      <sz val="14"/>
      <color rgb="FFFF6600"/>
      <name val="Calibri"/>
      <family val="2"/>
    </font>
    <font>
      <b/>
      <sz val="12"/>
      <name val="Arial Black"/>
      <family val="2"/>
    </font>
    <font>
      <b/>
      <sz val="10"/>
      <color rgb="FF000000"/>
      <name val="Arial Black"/>
      <family val="2"/>
    </font>
    <font>
      <b/>
      <u val="double"/>
      <sz val="14"/>
      <color rgb="FF000000"/>
      <name val="Arial Black"/>
      <family val="2"/>
    </font>
    <font>
      <b/>
      <sz val="11"/>
      <color rgb="FF000000"/>
      <name val="Calibri"/>
      <family val="2"/>
      <scheme val="minor"/>
    </font>
    <font>
      <b/>
      <sz val="12"/>
      <color rgb="FFC39800"/>
      <name val="Calibri"/>
      <family val="2"/>
    </font>
    <font>
      <b/>
      <sz val="11"/>
      <color rgb="FFC39800"/>
      <name val="Calibri"/>
      <family val="2"/>
    </font>
    <font>
      <b/>
      <sz val="14"/>
      <color rgb="FF00B0F0"/>
      <name val="Calibri"/>
      <family val="2"/>
    </font>
    <font>
      <sz val="9"/>
      <color rgb="FF7030A0"/>
      <name val="Arial Black"/>
      <family val="2"/>
    </font>
    <font>
      <sz val="9"/>
      <color rgb="FF0070C0"/>
      <name val="Arial Black"/>
      <family val="2"/>
    </font>
    <font>
      <b/>
      <u val="double"/>
      <sz val="14"/>
      <color rgb="FF00B0F0"/>
      <name val="Calibri"/>
      <family val="2"/>
    </font>
    <font>
      <b/>
      <u val="double"/>
      <sz val="9"/>
      <color rgb="FFFF6600"/>
      <name val="Arial Black"/>
      <family val="2"/>
    </font>
    <font>
      <b/>
      <u val="double"/>
      <sz val="12"/>
      <color rgb="FF00B0F0"/>
      <name val="Calibri"/>
      <family val="2"/>
    </font>
    <font>
      <b/>
      <u val="double"/>
      <sz val="16"/>
      <color rgb="FF00B0F0"/>
      <name val="Calibri"/>
      <family val="2"/>
    </font>
    <font>
      <b/>
      <u val="double"/>
      <sz val="11"/>
      <color rgb="FFFF6600"/>
      <name val="Arial Black"/>
      <family val="2"/>
    </font>
  </fonts>
  <fills count="2">
    <fill>
      <patternFill patternType="none"/>
    </fill>
    <fill>
      <patternFill patternType="gray125"/>
    </fill>
  </fills>
  <borders count="1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thick">
        <color indexed="0"/>
      </right>
      <top/>
      <bottom style="thick">
        <color indexed="0"/>
      </bottom>
      <diagonal/>
    </border>
    <border>
      <left style="thick">
        <color indexed="0"/>
      </left>
      <right style="thick">
        <color indexed="0"/>
      </right>
      <top/>
      <bottom style="thick">
        <color indexed="0"/>
      </bottom>
      <diagonal/>
    </border>
    <border>
      <left/>
      <right style="thick">
        <color indexed="0"/>
      </right>
      <top/>
      <bottom style="thick">
        <color indexed="0"/>
      </bottom>
      <diagonal/>
    </border>
    <border>
      <left/>
      <right style="thick">
        <color indexed="0"/>
      </right>
      <top/>
      <bottom/>
      <diagonal/>
    </border>
    <border>
      <left style="thick">
        <color indexed="0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0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indexed="0"/>
      </right>
      <top style="medium">
        <color indexed="0"/>
      </top>
      <bottom/>
      <diagonal/>
    </border>
    <border>
      <left style="thick">
        <color indexed="0"/>
      </left>
      <right style="thick">
        <color indexed="0"/>
      </right>
      <top/>
      <bottom/>
      <diagonal/>
    </border>
    <border>
      <left style="medium">
        <color indexed="0"/>
      </left>
      <right style="medium">
        <color indexed="0"/>
      </right>
      <top style="medium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 style="thick">
        <color indexed="0"/>
      </left>
      <right style="medium">
        <color auto="1"/>
      </right>
      <top style="thick">
        <color indexed="0"/>
      </top>
      <bottom/>
      <diagonal/>
    </border>
    <border>
      <left style="medium">
        <color indexed="0"/>
      </left>
      <right style="medium">
        <color indexed="0"/>
      </right>
      <top/>
      <bottom/>
      <diagonal/>
    </border>
    <border>
      <left style="thick">
        <color indexed="0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indexed="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indexed="0"/>
      </left>
      <right/>
      <top style="medium">
        <color indexed="0"/>
      </top>
      <bottom/>
      <diagonal/>
    </border>
    <border>
      <left style="thick">
        <color indexed="0"/>
      </left>
      <right style="thick">
        <color indexed="0"/>
      </right>
      <top style="thick">
        <color indexed="0"/>
      </top>
      <bottom/>
      <diagonal/>
    </border>
    <border>
      <left/>
      <right/>
      <top style="thick">
        <color indexed="0"/>
      </top>
      <bottom/>
      <diagonal/>
    </border>
    <border>
      <left/>
      <right style="thick">
        <color indexed="0"/>
      </right>
      <top style="thick">
        <color indexed="0"/>
      </top>
      <bottom/>
      <diagonal/>
    </border>
    <border>
      <left/>
      <right style="medium">
        <color auto="1"/>
      </right>
      <top style="thick">
        <color indexed="0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indexed="0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indexed="0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indexed="0"/>
      </left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/>
      <bottom style="thick">
        <color indexed="0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indexed="0"/>
      </bottom>
      <diagonal/>
    </border>
    <border>
      <left/>
      <right style="thick">
        <color indexed="0"/>
      </right>
      <top style="thick">
        <color auto="1"/>
      </top>
      <bottom style="thick">
        <color indexed="0"/>
      </bottom>
      <diagonal/>
    </border>
    <border>
      <left style="thick">
        <color indexed="0"/>
      </left>
      <right/>
      <top style="thick">
        <color auto="1"/>
      </top>
      <bottom/>
      <diagonal/>
    </border>
    <border>
      <left/>
      <right style="thick">
        <color indexed="0"/>
      </right>
      <top style="thick">
        <color auto="1"/>
      </top>
      <bottom/>
      <diagonal/>
    </border>
    <border>
      <left style="thick">
        <color auto="1"/>
      </left>
      <right/>
      <top style="medium">
        <color indexed="0"/>
      </top>
      <bottom style="medium">
        <color indexed="0"/>
      </bottom>
      <diagonal/>
    </border>
    <border>
      <left/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thick">
        <color auto="1"/>
      </left>
      <right/>
      <top style="thick">
        <color indexed="0"/>
      </top>
      <bottom style="thick">
        <color indexed="0"/>
      </bottom>
      <diagonal/>
    </border>
    <border>
      <left/>
      <right style="thick">
        <color auto="1"/>
      </right>
      <top style="thick">
        <color indexed="0"/>
      </top>
      <bottom style="thick">
        <color indexed="0"/>
      </bottom>
      <diagonal/>
    </border>
    <border>
      <left style="thick">
        <color indexed="0"/>
      </left>
      <right style="thick">
        <color auto="1"/>
      </right>
      <top style="thick">
        <color indexed="0"/>
      </top>
      <bottom/>
      <diagonal/>
    </border>
    <border>
      <left style="thick">
        <color indexed="0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indexed="0"/>
      </right>
      <top/>
      <bottom style="thick">
        <color indexed="0"/>
      </bottom>
      <diagonal/>
    </border>
    <border>
      <left/>
      <right style="thick">
        <color auto="1"/>
      </right>
      <top style="thick">
        <color indexed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ck">
        <color indexed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0"/>
      </top>
      <bottom/>
      <diagonal/>
    </border>
    <border>
      <left style="thick">
        <color indexed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 style="thick">
        <color indexed="0"/>
      </left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ck">
        <color indexed="0"/>
      </right>
      <top/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medium">
        <color indexed="0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0"/>
      </left>
      <right/>
      <top/>
      <bottom/>
      <diagonal/>
    </border>
    <border>
      <left style="medium">
        <color indexed="0"/>
      </left>
      <right style="medium">
        <color indexed="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2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left" vertical="center"/>
    </xf>
    <xf numFmtId="0" fontId="9" fillId="0" borderId="42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1" fontId="9" fillId="0" borderId="42" xfId="0" applyNumberFormat="1" applyFont="1" applyBorder="1" applyAlignment="1">
      <alignment horizontal="center" vertical="center"/>
    </xf>
    <xf numFmtId="164" fontId="10" fillId="0" borderId="42" xfId="0" applyNumberFormat="1" applyFont="1" applyBorder="1" applyAlignment="1">
      <alignment horizontal="center" vertical="center"/>
    </xf>
    <xf numFmtId="164" fontId="11" fillId="0" borderId="42" xfId="0" applyNumberFormat="1" applyFont="1" applyBorder="1" applyAlignment="1">
      <alignment horizontal="center" vertical="center"/>
    </xf>
    <xf numFmtId="2" fontId="9" fillId="0" borderId="42" xfId="0" applyNumberFormat="1" applyFont="1" applyBorder="1" applyAlignment="1">
      <alignment horizontal="right" vertical="center"/>
    </xf>
    <xf numFmtId="2" fontId="15" fillId="0" borderId="42" xfId="0" applyNumberFormat="1" applyFont="1" applyBorder="1" applyAlignment="1">
      <alignment horizontal="right" vertical="center"/>
    </xf>
    <xf numFmtId="2" fontId="16" fillId="0" borderId="42" xfId="0" applyNumberFormat="1" applyFont="1" applyBorder="1" applyAlignment="1">
      <alignment horizontal="right" vertical="center"/>
    </xf>
    <xf numFmtId="2" fontId="16" fillId="0" borderId="43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right" vertical="center"/>
    </xf>
    <xf numFmtId="2" fontId="16" fillId="0" borderId="8" xfId="0" applyNumberFormat="1" applyFont="1" applyBorder="1" applyAlignment="1">
      <alignment horizontal="right" vertical="center"/>
    </xf>
    <xf numFmtId="2" fontId="16" fillId="0" borderId="9" xfId="0" applyNumberFormat="1" applyFont="1" applyBorder="1" applyAlignment="1">
      <alignment horizontal="right" vertical="center"/>
    </xf>
    <xf numFmtId="164" fontId="9" fillId="0" borderId="8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right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164" fontId="17" fillId="0" borderId="8" xfId="0" applyNumberFormat="1" applyFont="1" applyBorder="1" applyAlignment="1">
      <alignment horizontal="center" vertical="center"/>
    </xf>
    <xf numFmtId="1" fontId="17" fillId="0" borderId="8" xfId="0" applyNumberFormat="1" applyFont="1" applyBorder="1" applyAlignment="1">
      <alignment horizontal="center" vertical="center"/>
    </xf>
    <xf numFmtId="2" fontId="17" fillId="0" borderId="8" xfId="0" applyNumberFormat="1" applyFont="1" applyBorder="1" applyAlignment="1">
      <alignment horizontal="right" vertical="center"/>
    </xf>
    <xf numFmtId="2" fontId="17" fillId="0" borderId="9" xfId="0" applyNumberFormat="1" applyFont="1" applyBorder="1" applyAlignment="1">
      <alignment horizontal="right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2" fontId="19" fillId="0" borderId="8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/>
    </xf>
    <xf numFmtId="166" fontId="21" fillId="0" borderId="8" xfId="0" applyNumberFormat="1" applyFont="1" applyBorder="1" applyAlignment="1">
      <alignment horizontal="center" vertical="center"/>
    </xf>
    <xf numFmtId="166" fontId="9" fillId="0" borderId="8" xfId="0" applyNumberFormat="1" applyFont="1" applyBorder="1" applyAlignment="1">
      <alignment horizontal="center" vertical="center"/>
    </xf>
    <xf numFmtId="164" fontId="21" fillId="0" borderId="8" xfId="0" applyNumberFormat="1" applyFont="1" applyBorder="1" applyAlignment="1">
      <alignment horizontal="center" vertical="center" wrapText="1"/>
    </xf>
    <xf numFmtId="166" fontId="21" fillId="0" borderId="8" xfId="0" applyNumberFormat="1" applyFont="1" applyBorder="1" applyAlignment="1">
      <alignment horizontal="center"/>
    </xf>
    <xf numFmtId="164" fontId="21" fillId="0" borderId="8" xfId="0" applyNumberFormat="1" applyFont="1" applyBorder="1" applyAlignment="1">
      <alignment horizontal="center" vertical="center"/>
    </xf>
    <xf numFmtId="2" fontId="21" fillId="0" borderId="8" xfId="0" applyNumberFormat="1" applyFont="1" applyBorder="1" applyAlignment="1">
      <alignment horizontal="right" vertical="center"/>
    </xf>
    <xf numFmtId="2" fontId="21" fillId="0" borderId="9" xfId="0" applyNumberFormat="1" applyFont="1" applyBorder="1" applyAlignment="1">
      <alignment horizontal="right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164" fontId="14" fillId="0" borderId="8" xfId="0" applyNumberFormat="1" applyFont="1" applyBorder="1" applyAlignment="1">
      <alignment horizontal="center" vertical="center"/>
    </xf>
    <xf numFmtId="2" fontId="14" fillId="0" borderId="8" xfId="0" applyNumberFormat="1" applyFont="1" applyBorder="1">
      <alignment vertical="center"/>
    </xf>
    <xf numFmtId="2" fontId="14" fillId="0" borderId="9" xfId="0" applyNumberFormat="1" applyFont="1" applyBorder="1">
      <alignment vertical="center"/>
    </xf>
    <xf numFmtId="2" fontId="14" fillId="0" borderId="5" xfId="0" applyNumberFormat="1" applyFont="1" applyBorder="1">
      <alignment vertical="center"/>
    </xf>
    <xf numFmtId="2" fontId="14" fillId="0" borderId="44" xfId="0" applyNumberFormat="1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>
      <alignment vertical="center"/>
    </xf>
    <xf numFmtId="0" fontId="13" fillId="0" borderId="11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2" fontId="14" fillId="0" borderId="11" xfId="0" applyNumberFormat="1" applyFont="1" applyBorder="1" applyAlignment="1">
      <alignment horizontal="right" vertical="center"/>
    </xf>
    <xf numFmtId="2" fontId="14" fillId="0" borderId="45" xfId="0" applyNumberFormat="1" applyFont="1" applyBorder="1">
      <alignment vertical="center"/>
    </xf>
    <xf numFmtId="2" fontId="14" fillId="0" borderId="12" xfId="0" applyNumberFormat="1" applyFont="1" applyBorder="1">
      <alignment vertical="center"/>
    </xf>
    <xf numFmtId="0" fontId="9" fillId="0" borderId="1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27" xfId="0" applyNumberFormat="1" applyFont="1" applyBorder="1" applyAlignment="1">
      <alignment horizontal="right" vertical="center"/>
    </xf>
    <xf numFmtId="2" fontId="9" fillId="0" borderId="49" xfId="0" applyNumberFormat="1" applyFont="1" applyBorder="1">
      <alignment vertical="center"/>
    </xf>
    <xf numFmtId="164" fontId="22" fillId="0" borderId="50" xfId="0" applyNumberFormat="1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top"/>
    </xf>
    <xf numFmtId="0" fontId="24" fillId="0" borderId="53" xfId="0" applyFont="1" applyBorder="1" applyAlignment="1">
      <alignment horizontal="center" vertical="top"/>
    </xf>
    <xf numFmtId="164" fontId="22" fillId="0" borderId="54" xfId="0" applyNumberFormat="1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64" fontId="25" fillId="0" borderId="56" xfId="0" applyNumberFormat="1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164" fontId="29" fillId="0" borderId="3" xfId="0" applyNumberFormat="1" applyFont="1" applyBorder="1" applyAlignment="1">
      <alignment horizontal="center" vertical="center"/>
    </xf>
    <xf numFmtId="2" fontId="30" fillId="0" borderId="22" xfId="0" applyNumberFormat="1" applyFont="1" applyBorder="1" applyAlignment="1">
      <alignment horizontal="center" vertical="center"/>
    </xf>
    <xf numFmtId="2" fontId="23" fillId="0" borderId="20" xfId="0" applyNumberFormat="1" applyFont="1" applyBorder="1" applyAlignment="1">
      <alignment horizontal="center" vertical="center"/>
    </xf>
    <xf numFmtId="2" fontId="24" fillId="0" borderId="60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164" fontId="32" fillId="0" borderId="13" xfId="0" applyNumberFormat="1" applyFont="1" applyBorder="1">
      <alignment vertical="center"/>
    </xf>
    <xf numFmtId="164" fontId="32" fillId="0" borderId="14" xfId="0" applyNumberFormat="1" applyFont="1" applyBorder="1">
      <alignment vertical="center"/>
    </xf>
    <xf numFmtId="164" fontId="32" fillId="0" borderId="15" xfId="0" applyNumberFormat="1" applyFont="1" applyBorder="1">
      <alignment vertical="center"/>
    </xf>
    <xf numFmtId="0" fontId="1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6" fillId="0" borderId="7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7" fillId="0" borderId="27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0" fontId="13" fillId="0" borderId="5" xfId="0" applyFont="1" applyBorder="1" applyAlignment="1"/>
    <xf numFmtId="0" fontId="10" fillId="0" borderId="72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9" fillId="0" borderId="78" xfId="0" applyFont="1" applyBorder="1" applyAlignment="1">
      <alignment horizontal="left" vertical="center"/>
    </xf>
    <xf numFmtId="0" fontId="9" fillId="0" borderId="78" xfId="0" applyFont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164" fontId="10" fillId="0" borderId="78" xfId="0" applyNumberFormat="1" applyFont="1" applyBorder="1" applyAlignment="1">
      <alignment horizontal="center" vertical="center"/>
    </xf>
    <xf numFmtId="164" fontId="11" fillId="0" borderId="78" xfId="0" applyNumberFormat="1" applyFont="1" applyBorder="1" applyAlignment="1">
      <alignment horizontal="center" vertical="center"/>
    </xf>
    <xf numFmtId="1" fontId="9" fillId="0" borderId="78" xfId="0" applyNumberFormat="1" applyFont="1" applyBorder="1" applyAlignment="1">
      <alignment horizontal="center" vertical="center"/>
    </xf>
    <xf numFmtId="2" fontId="9" fillId="0" borderId="78" xfId="0" applyNumberFormat="1" applyFont="1" applyBorder="1" applyAlignment="1">
      <alignment horizontal="right" vertical="center"/>
    </xf>
    <xf numFmtId="2" fontId="15" fillId="0" borderId="78" xfId="0" applyNumberFormat="1" applyFont="1" applyBorder="1" applyAlignment="1">
      <alignment horizontal="right" vertical="center"/>
    </xf>
    <xf numFmtId="2" fontId="16" fillId="0" borderId="78" xfId="0" applyNumberFormat="1" applyFont="1" applyBorder="1" applyAlignment="1">
      <alignment horizontal="right" vertical="center"/>
    </xf>
    <xf numFmtId="2" fontId="16" fillId="0" borderId="79" xfId="0" applyNumberFormat="1" applyFont="1" applyBorder="1" applyAlignment="1">
      <alignment horizontal="right" vertical="center"/>
    </xf>
    <xf numFmtId="1" fontId="9" fillId="0" borderId="59" xfId="0" applyNumberFormat="1" applyFont="1" applyBorder="1" applyAlignment="1">
      <alignment horizontal="center" vertical="center"/>
    </xf>
    <xf numFmtId="164" fontId="14" fillId="0" borderId="59" xfId="0" applyNumberFormat="1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2" fontId="14" fillId="0" borderId="59" xfId="0" applyNumberFormat="1" applyFont="1" applyBorder="1" applyAlignment="1">
      <alignment horizontal="right" vertical="center"/>
    </xf>
    <xf numFmtId="2" fontId="9" fillId="0" borderId="22" xfId="0" applyNumberFormat="1" applyFont="1" applyBorder="1" applyAlignment="1">
      <alignment horizontal="center" vertical="center"/>
    </xf>
    <xf numFmtId="2" fontId="9" fillId="0" borderId="80" xfId="0" applyNumberFormat="1" applyFont="1" applyBorder="1" applyAlignment="1">
      <alignment horizontal="right" vertical="center"/>
    </xf>
    <xf numFmtId="2" fontId="9" fillId="0" borderId="20" xfId="0" applyNumberFormat="1" applyFont="1" applyBorder="1">
      <alignment vertical="center"/>
    </xf>
    <xf numFmtId="0" fontId="9" fillId="0" borderId="0" xfId="0" applyFont="1" applyAlignment="1">
      <alignment horizontal="center" vertical="center"/>
    </xf>
    <xf numFmtId="2" fontId="16" fillId="0" borderId="26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top"/>
    </xf>
    <xf numFmtId="0" fontId="11" fillId="0" borderId="81" xfId="0" applyFont="1" applyBorder="1" applyAlignment="1">
      <alignment horizontal="center" vertical="top"/>
    </xf>
    <xf numFmtId="0" fontId="13" fillId="0" borderId="26" xfId="0" applyFont="1" applyBorder="1" applyAlignment="1">
      <alignment horizontal="center"/>
    </xf>
    <xf numFmtId="0" fontId="38" fillId="0" borderId="26" xfId="0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2" fontId="30" fillId="0" borderId="70" xfId="0" applyNumberFormat="1" applyFont="1" applyBorder="1" applyAlignment="1">
      <alignment horizontal="center" vertical="center"/>
    </xf>
    <xf numFmtId="2" fontId="23" fillId="0" borderId="69" xfId="0" applyNumberFormat="1" applyFont="1" applyBorder="1" applyAlignment="1">
      <alignment horizontal="center" vertical="center"/>
    </xf>
    <xf numFmtId="2" fontId="40" fillId="0" borderId="33" xfId="0" applyNumberFormat="1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41" fillId="0" borderId="0" xfId="0" applyFont="1">
      <alignment vertical="center"/>
    </xf>
    <xf numFmtId="0" fontId="43" fillId="0" borderId="69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4" fillId="0" borderId="70" xfId="0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46" fillId="0" borderId="27" xfId="0" applyFont="1" applyBorder="1" applyAlignment="1">
      <alignment horizontal="center"/>
    </xf>
    <xf numFmtId="0" fontId="47" fillId="0" borderId="27" xfId="0" applyFont="1" applyBorder="1" applyAlignment="1">
      <alignment horizontal="left" vertical="center"/>
    </xf>
    <xf numFmtId="0" fontId="48" fillId="0" borderId="0" xfId="0" applyFont="1" applyAlignment="1">
      <alignment horizontal="center"/>
    </xf>
    <xf numFmtId="0" fontId="48" fillId="0" borderId="0" xfId="0" applyFont="1" applyAlignment="1"/>
    <xf numFmtId="0" fontId="48" fillId="0" borderId="5" xfId="0" applyFont="1" applyBorder="1" applyAlignment="1"/>
    <xf numFmtId="0" fontId="49" fillId="0" borderId="4" xfId="0" applyFont="1" applyBorder="1" applyAlignment="1">
      <alignment horizontal="center"/>
    </xf>
    <xf numFmtId="0" fontId="49" fillId="0" borderId="31" xfId="0" applyFont="1" applyBorder="1" applyAlignment="1">
      <alignment horizontal="center" vertical="center"/>
    </xf>
    <xf numFmtId="0" fontId="50" fillId="0" borderId="72" xfId="0" applyFont="1" applyBorder="1" applyAlignment="1">
      <alignment horizontal="center" vertical="center"/>
    </xf>
    <xf numFmtId="0" fontId="49" fillId="0" borderId="73" xfId="0" applyFont="1" applyBorder="1" applyAlignment="1">
      <alignment horizontal="center" vertical="center"/>
    </xf>
    <xf numFmtId="0" fontId="51" fillId="0" borderId="74" xfId="0" applyFont="1" applyBorder="1" applyAlignment="1">
      <alignment horizontal="center" vertical="center"/>
    </xf>
    <xf numFmtId="0" fontId="49" fillId="0" borderId="37" xfId="0" applyFont="1" applyBorder="1" applyAlignment="1">
      <alignment horizontal="center" vertical="center"/>
    </xf>
    <xf numFmtId="0" fontId="49" fillId="0" borderId="31" xfId="0" applyFont="1" applyBorder="1" applyAlignment="1">
      <alignment horizontal="center"/>
    </xf>
    <xf numFmtId="0" fontId="49" fillId="0" borderId="36" xfId="0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38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49" fillId="0" borderId="39" xfId="0" applyFont="1" applyBorder="1" applyAlignment="1">
      <alignment horizontal="center" vertical="center"/>
    </xf>
    <xf numFmtId="0" fontId="49" fillId="0" borderId="40" xfId="0" applyFont="1" applyBorder="1" applyAlignment="1">
      <alignment horizontal="center" vertical="center"/>
    </xf>
    <xf numFmtId="0" fontId="49" fillId="0" borderId="77" xfId="0" applyFont="1" applyBorder="1" applyAlignment="1">
      <alignment horizontal="center" vertical="center"/>
    </xf>
    <xf numFmtId="0" fontId="49" fillId="0" borderId="78" xfId="0" applyFont="1" applyBorder="1" applyAlignment="1">
      <alignment horizontal="left" vertical="center"/>
    </xf>
    <xf numFmtId="0" fontId="49" fillId="0" borderId="78" xfId="0" applyFont="1" applyBorder="1" applyAlignment="1">
      <alignment horizontal="center" vertical="center"/>
    </xf>
    <xf numFmtId="0" fontId="52" fillId="0" borderId="78" xfId="0" applyFont="1" applyBorder="1" applyAlignment="1">
      <alignment horizontal="center" vertical="center"/>
    </xf>
    <xf numFmtId="1" fontId="49" fillId="0" borderId="8" xfId="0" applyNumberFormat="1" applyFont="1" applyBorder="1" applyAlignment="1">
      <alignment horizontal="center" vertical="center"/>
    </xf>
    <xf numFmtId="164" fontId="50" fillId="0" borderId="78" xfId="0" applyNumberFormat="1" applyFont="1" applyBorder="1" applyAlignment="1">
      <alignment horizontal="center" vertical="center"/>
    </xf>
    <xf numFmtId="164" fontId="51" fillId="0" borderId="78" xfId="0" applyNumberFormat="1" applyFont="1" applyBorder="1" applyAlignment="1">
      <alignment horizontal="center" vertical="center"/>
    </xf>
    <xf numFmtId="1" fontId="49" fillId="0" borderId="78" xfId="0" applyNumberFormat="1" applyFont="1" applyBorder="1" applyAlignment="1">
      <alignment horizontal="center" vertical="center"/>
    </xf>
    <xf numFmtId="2" fontId="49" fillId="0" borderId="78" xfId="0" applyNumberFormat="1" applyFont="1" applyBorder="1" applyAlignment="1">
      <alignment horizontal="right" vertical="center"/>
    </xf>
    <xf numFmtId="2" fontId="53" fillId="0" borderId="78" xfId="0" applyNumberFormat="1" applyFont="1" applyBorder="1" applyAlignment="1">
      <alignment horizontal="right" vertical="center"/>
    </xf>
    <xf numFmtId="2" fontId="54" fillId="0" borderId="78" xfId="0" applyNumberFormat="1" applyFont="1" applyBorder="1" applyAlignment="1">
      <alignment horizontal="right" vertical="center"/>
    </xf>
    <xf numFmtId="2" fontId="54" fillId="0" borderId="79" xfId="0" applyNumberFormat="1" applyFont="1" applyBorder="1" applyAlignment="1">
      <alignment horizontal="right" vertical="center"/>
    </xf>
    <xf numFmtId="0" fontId="49" fillId="0" borderId="7" xfId="0" applyFont="1" applyBorder="1" applyAlignment="1">
      <alignment horizontal="center" vertical="center"/>
    </xf>
    <xf numFmtId="0" fontId="49" fillId="0" borderId="8" xfId="0" applyFont="1" applyBorder="1" applyAlignment="1">
      <alignment horizontal="left" vertical="center"/>
    </xf>
    <xf numFmtId="0" fontId="49" fillId="0" borderId="8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164" fontId="50" fillId="0" borderId="8" xfId="0" applyNumberFormat="1" applyFont="1" applyBorder="1" applyAlignment="1">
      <alignment horizontal="center" vertical="center"/>
    </xf>
    <xf numFmtId="164" fontId="51" fillId="0" borderId="8" xfId="0" applyNumberFormat="1" applyFont="1" applyBorder="1" applyAlignment="1">
      <alignment horizontal="center" vertical="center"/>
    </xf>
    <xf numFmtId="2" fontId="49" fillId="0" borderId="8" xfId="0" applyNumberFormat="1" applyFont="1" applyBorder="1" applyAlignment="1">
      <alignment horizontal="right" vertical="center"/>
    </xf>
    <xf numFmtId="2" fontId="54" fillId="0" borderId="8" xfId="0" applyNumberFormat="1" applyFont="1" applyBorder="1" applyAlignment="1">
      <alignment horizontal="right" vertical="center"/>
    </xf>
    <xf numFmtId="2" fontId="54" fillId="0" borderId="9" xfId="0" applyNumberFormat="1" applyFont="1" applyBorder="1" applyAlignment="1">
      <alignment horizontal="right" vertical="center"/>
    </xf>
    <xf numFmtId="165" fontId="50" fillId="0" borderId="8" xfId="0" applyNumberFormat="1" applyFont="1" applyBorder="1" applyAlignment="1">
      <alignment horizontal="center" vertical="center"/>
    </xf>
    <xf numFmtId="165" fontId="51" fillId="0" borderId="8" xfId="0" applyNumberFormat="1" applyFont="1" applyBorder="1" applyAlignment="1">
      <alignment horizontal="center" vertical="center"/>
    </xf>
    <xf numFmtId="2" fontId="52" fillId="0" borderId="8" xfId="0" applyNumberFormat="1" applyFont="1" applyBorder="1" applyAlignment="1">
      <alignment horizontal="right" vertical="center"/>
    </xf>
    <xf numFmtId="0" fontId="45" fillId="0" borderId="7" xfId="0" applyFont="1" applyBorder="1" applyAlignment="1">
      <alignment horizontal="center" vertical="center"/>
    </xf>
    <xf numFmtId="0" fontId="45" fillId="0" borderId="8" xfId="0" applyFont="1" applyBorder="1" applyAlignment="1">
      <alignment horizontal="left" vertical="center"/>
    </xf>
    <xf numFmtId="0" fontId="45" fillId="0" borderId="8" xfId="0" applyFont="1" applyBorder="1" applyAlignment="1">
      <alignment horizontal="center" vertical="center"/>
    </xf>
    <xf numFmtId="164" fontId="45" fillId="0" borderId="8" xfId="0" applyNumberFormat="1" applyFont="1" applyBorder="1" applyAlignment="1">
      <alignment horizontal="center" vertical="center"/>
    </xf>
    <xf numFmtId="1" fontId="45" fillId="0" borderId="8" xfId="0" applyNumberFormat="1" applyFont="1" applyBorder="1" applyAlignment="1">
      <alignment horizontal="center" vertical="center"/>
    </xf>
    <xf numFmtId="2" fontId="45" fillId="0" borderId="8" xfId="0" applyNumberFormat="1" applyFont="1" applyBorder="1" applyAlignment="1">
      <alignment horizontal="right" vertical="center"/>
    </xf>
    <xf numFmtId="2" fontId="45" fillId="0" borderId="9" xfId="0" applyNumberFormat="1" applyFont="1" applyBorder="1" applyAlignment="1">
      <alignment horizontal="right" vertical="center"/>
    </xf>
    <xf numFmtId="0" fontId="55" fillId="0" borderId="7" xfId="0" applyFont="1" applyBorder="1" applyAlignment="1">
      <alignment horizontal="center" vertical="center"/>
    </xf>
    <xf numFmtId="0" fontId="55" fillId="0" borderId="8" xfId="0" applyFont="1" applyBorder="1" applyAlignment="1">
      <alignment horizontal="left" vertical="center"/>
    </xf>
    <xf numFmtId="0" fontId="56" fillId="0" borderId="8" xfId="0" applyFont="1" applyBorder="1" applyAlignment="1">
      <alignment horizontal="center" vertical="center"/>
    </xf>
    <xf numFmtId="164" fontId="56" fillId="0" borderId="8" xfId="0" applyNumberFormat="1" applyFont="1" applyBorder="1" applyAlignment="1">
      <alignment horizontal="center" vertical="center"/>
    </xf>
    <xf numFmtId="2" fontId="56" fillId="0" borderId="8" xfId="0" applyNumberFormat="1" applyFont="1" applyBorder="1" applyAlignment="1">
      <alignment horizontal="right" vertical="center"/>
    </xf>
    <xf numFmtId="2" fontId="56" fillId="0" borderId="9" xfId="0" applyNumberFormat="1" applyFont="1" applyBorder="1" applyAlignment="1">
      <alignment horizontal="right" vertical="center"/>
    </xf>
    <xf numFmtId="0" fontId="57" fillId="0" borderId="7" xfId="0" applyFont="1" applyBorder="1" applyAlignment="1">
      <alignment horizontal="center" vertical="center"/>
    </xf>
    <xf numFmtId="0" fontId="57" fillId="0" borderId="8" xfId="0" applyFont="1" applyBorder="1" applyAlignment="1">
      <alignment horizontal="left" vertical="center"/>
    </xf>
    <xf numFmtId="0" fontId="58" fillId="0" borderId="8" xfId="0" applyFont="1" applyBorder="1" applyAlignment="1">
      <alignment horizontal="center" vertical="center"/>
    </xf>
    <xf numFmtId="0" fontId="58" fillId="0" borderId="8" xfId="0" applyFont="1" applyBorder="1" applyAlignment="1">
      <alignment horizontal="center"/>
    </xf>
    <xf numFmtId="166" fontId="58" fillId="0" borderId="8" xfId="0" applyNumberFormat="1" applyFont="1" applyBorder="1" applyAlignment="1">
      <alignment horizontal="center" vertical="center"/>
    </xf>
    <xf numFmtId="164" fontId="58" fillId="0" borderId="8" xfId="0" applyNumberFormat="1" applyFont="1" applyBorder="1" applyAlignment="1">
      <alignment horizontal="center" vertical="center" wrapText="1"/>
    </xf>
    <xf numFmtId="166" fontId="58" fillId="0" borderId="8" xfId="0" applyNumberFormat="1" applyFont="1" applyBorder="1" applyAlignment="1">
      <alignment horizontal="center"/>
    </xf>
    <xf numFmtId="164" fontId="58" fillId="0" borderId="8" xfId="0" applyNumberFormat="1" applyFont="1" applyBorder="1" applyAlignment="1">
      <alignment horizontal="center" vertical="center"/>
    </xf>
    <xf numFmtId="2" fontId="58" fillId="0" borderId="8" xfId="0" applyNumberFormat="1" applyFont="1" applyBorder="1" applyAlignment="1">
      <alignment horizontal="right" vertical="center"/>
    </xf>
    <xf numFmtId="2" fontId="58" fillId="0" borderId="9" xfId="0" applyNumberFormat="1" applyFont="1" applyBorder="1" applyAlignment="1">
      <alignment horizontal="right" vertical="center"/>
    </xf>
    <xf numFmtId="0" fontId="52" fillId="0" borderId="7" xfId="0" applyFont="1" applyBorder="1" applyAlignment="1">
      <alignment horizontal="center" vertical="center"/>
    </xf>
    <xf numFmtId="0" fontId="52" fillId="0" borderId="8" xfId="0" applyFont="1" applyBorder="1">
      <alignment vertical="center"/>
    </xf>
    <xf numFmtId="0" fontId="41" fillId="0" borderId="8" xfId="0" applyFont="1" applyBorder="1" applyAlignment="1">
      <alignment horizontal="center" vertical="center"/>
    </xf>
    <xf numFmtId="0" fontId="41" fillId="0" borderId="8" xfId="0" applyFont="1" applyBorder="1">
      <alignment vertical="center"/>
    </xf>
    <xf numFmtId="164" fontId="52" fillId="0" borderId="8" xfId="0" applyNumberFormat="1" applyFont="1" applyBorder="1" applyAlignment="1">
      <alignment horizontal="center" vertical="center"/>
    </xf>
    <xf numFmtId="2" fontId="52" fillId="0" borderId="8" xfId="0" applyNumberFormat="1" applyFont="1" applyBorder="1">
      <alignment vertical="center"/>
    </xf>
    <xf numFmtId="2" fontId="52" fillId="0" borderId="9" xfId="0" applyNumberFormat="1" applyFont="1" applyBorder="1">
      <alignment vertical="center"/>
    </xf>
    <xf numFmtId="2" fontId="52" fillId="0" borderId="5" xfId="0" applyNumberFormat="1" applyFont="1" applyBorder="1">
      <alignment vertical="center"/>
    </xf>
    <xf numFmtId="2" fontId="52" fillId="0" borderId="44" xfId="0" applyNumberFormat="1" applyFont="1" applyBorder="1">
      <alignment vertical="center"/>
    </xf>
    <xf numFmtId="0" fontId="52" fillId="0" borderId="10" xfId="0" applyFont="1" applyBorder="1" applyAlignment="1">
      <alignment horizontal="center" vertical="center"/>
    </xf>
    <xf numFmtId="0" fontId="52" fillId="0" borderId="11" xfId="0" applyFont="1" applyBorder="1">
      <alignment vertical="center"/>
    </xf>
    <xf numFmtId="0" fontId="48" fillId="0" borderId="11" xfId="0" applyFont="1" applyBorder="1" applyAlignment="1">
      <alignment horizontal="center" vertical="center"/>
    </xf>
    <xf numFmtId="0" fontId="41" fillId="0" borderId="11" xfId="0" applyFont="1" applyBorder="1">
      <alignment vertical="center"/>
    </xf>
    <xf numFmtId="0" fontId="41" fillId="0" borderId="11" xfId="0" applyFont="1" applyBorder="1" applyAlignment="1">
      <alignment horizontal="center" vertical="center"/>
    </xf>
    <xf numFmtId="1" fontId="49" fillId="0" borderId="59" xfId="0" applyNumberFormat="1" applyFont="1" applyBorder="1" applyAlignment="1">
      <alignment horizontal="center" vertical="center"/>
    </xf>
    <xf numFmtId="164" fontId="52" fillId="0" borderId="59" xfId="0" applyNumberFormat="1" applyFont="1" applyBorder="1" applyAlignment="1">
      <alignment horizontal="center" vertical="center"/>
    </xf>
    <xf numFmtId="0" fontId="52" fillId="0" borderId="59" xfId="0" applyFont="1" applyBorder="1" applyAlignment="1">
      <alignment horizontal="center" vertical="center"/>
    </xf>
    <xf numFmtId="2" fontId="52" fillId="0" borderId="11" xfId="0" applyNumberFormat="1" applyFont="1" applyBorder="1" applyAlignment="1">
      <alignment horizontal="right" vertical="center"/>
    </xf>
    <xf numFmtId="2" fontId="52" fillId="0" borderId="45" xfId="0" applyNumberFormat="1" applyFont="1" applyBorder="1">
      <alignment vertical="center"/>
    </xf>
    <xf numFmtId="2" fontId="52" fillId="0" borderId="12" xfId="0" applyNumberFormat="1" applyFont="1" applyBorder="1">
      <alignment vertical="center"/>
    </xf>
    <xf numFmtId="0" fontId="49" fillId="0" borderId="83" xfId="0" applyFont="1" applyBorder="1" applyAlignment="1">
      <alignment horizontal="center"/>
    </xf>
    <xf numFmtId="0" fontId="52" fillId="0" borderId="1" xfId="0" applyFont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0" fontId="49" fillId="0" borderId="42" xfId="0" applyFont="1" applyBorder="1" applyAlignment="1">
      <alignment horizontal="center" vertical="center"/>
    </xf>
    <xf numFmtId="165" fontId="49" fillId="0" borderId="43" xfId="0" applyNumberFormat="1" applyFont="1" applyBorder="1" applyAlignment="1">
      <alignment horizontal="center" vertical="center"/>
    </xf>
    <xf numFmtId="2" fontId="49" fillId="0" borderId="22" xfId="0" applyNumberFormat="1" applyFont="1" applyBorder="1" applyAlignment="1">
      <alignment horizontal="center" vertical="center"/>
    </xf>
    <xf numFmtId="2" fontId="49" fillId="0" borderId="80" xfId="0" applyNumberFormat="1" applyFont="1" applyBorder="1" applyAlignment="1">
      <alignment horizontal="right" vertical="center"/>
    </xf>
    <xf numFmtId="2" fontId="49" fillId="0" borderId="20" xfId="0" applyNumberFormat="1" applyFont="1" applyBorder="1">
      <alignment vertical="center"/>
    </xf>
    <xf numFmtId="0" fontId="49" fillId="0" borderId="84" xfId="0" applyFont="1" applyBorder="1" applyAlignment="1">
      <alignment horizontal="center" vertical="center"/>
    </xf>
    <xf numFmtId="0" fontId="49" fillId="0" borderId="85" xfId="0" applyFont="1" applyBorder="1" applyAlignment="1">
      <alignment horizontal="center" vertical="center"/>
    </xf>
    <xf numFmtId="164" fontId="49" fillId="0" borderId="86" xfId="0" applyNumberFormat="1" applyFont="1" applyBorder="1" applyAlignment="1">
      <alignment horizontal="center" vertical="center"/>
    </xf>
    <xf numFmtId="165" fontId="49" fillId="0" borderId="9" xfId="0" applyNumberFormat="1" applyFont="1" applyBorder="1" applyAlignment="1">
      <alignment horizontal="center" vertical="center"/>
    </xf>
    <xf numFmtId="2" fontId="54" fillId="0" borderId="26" xfId="0" applyNumberFormat="1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top"/>
    </xf>
    <xf numFmtId="0" fontId="51" fillId="0" borderId="81" xfId="0" applyFont="1" applyBorder="1" applyAlignment="1">
      <alignment horizontal="center" vertical="top"/>
    </xf>
    <xf numFmtId="0" fontId="49" fillId="0" borderId="87" xfId="0" applyFont="1" applyBorder="1" applyAlignment="1">
      <alignment horizontal="center" vertical="center"/>
    </xf>
    <xf numFmtId="164" fontId="49" fillId="0" borderId="88" xfId="0" applyNumberFormat="1" applyFont="1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59" fillId="0" borderId="26" xfId="0" applyFont="1" applyBorder="1" applyAlignment="1">
      <alignment horizontal="center" vertical="center"/>
    </xf>
    <xf numFmtId="0" fontId="60" fillId="0" borderId="82" xfId="0" applyFont="1" applyBorder="1" applyAlignment="1">
      <alignment horizontal="center" vertical="center"/>
    </xf>
    <xf numFmtId="0" fontId="49" fillId="0" borderId="89" xfId="0" applyFont="1" applyBorder="1" applyAlignment="1">
      <alignment horizontal="center" vertical="center"/>
    </xf>
    <xf numFmtId="0" fontId="52" fillId="0" borderId="90" xfId="0" applyFont="1" applyBorder="1" applyAlignment="1">
      <alignment horizontal="center" vertical="center"/>
    </xf>
    <xf numFmtId="164" fontId="52" fillId="0" borderId="91" xfId="0" applyNumberFormat="1" applyFont="1" applyBorder="1" applyAlignment="1">
      <alignment horizontal="center" vertical="center"/>
    </xf>
    <xf numFmtId="165" fontId="52" fillId="0" borderId="9" xfId="0" applyNumberFormat="1" applyFont="1" applyBorder="1" applyAlignment="1">
      <alignment horizontal="center" vertical="center"/>
    </xf>
    <xf numFmtId="2" fontId="61" fillId="0" borderId="70" xfId="0" applyNumberFormat="1" applyFont="1" applyBorder="1" applyAlignment="1">
      <alignment horizontal="center" vertical="center"/>
    </xf>
    <xf numFmtId="2" fontId="62" fillId="0" borderId="69" xfId="0" applyNumberFormat="1" applyFont="1" applyBorder="1" applyAlignment="1">
      <alignment horizontal="center" vertical="center"/>
    </xf>
    <xf numFmtId="2" fontId="63" fillId="0" borderId="33" xfId="0" applyNumberFormat="1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43" fillId="0" borderId="6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165" fontId="52" fillId="0" borderId="12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2" fillId="0" borderId="92" xfId="0" applyFont="1" applyBorder="1" applyAlignment="1">
      <alignment horizontal="center" vertical="center"/>
    </xf>
    <xf numFmtId="0" fontId="67" fillId="0" borderId="93" xfId="0" applyFont="1" applyBorder="1" applyAlignment="1">
      <alignment horizontal="center" vertical="center"/>
    </xf>
    <xf numFmtId="165" fontId="52" fillId="0" borderId="94" xfId="0" applyNumberFormat="1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" fontId="9" fillId="0" borderId="78" xfId="0" applyNumberFormat="1" applyFont="1" applyBorder="1" applyAlignment="1">
      <alignment horizontal="center" vertical="center"/>
    </xf>
    <xf numFmtId="2" fontId="15" fillId="0" borderId="78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/>
    </xf>
    <xf numFmtId="2" fontId="17" fillId="0" borderId="8" xfId="0" applyNumberFormat="1" applyFont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2" fontId="21" fillId="0" borderId="8" xfId="0" applyNumberFormat="1" applyFont="1" applyBorder="1" applyAlignment="1">
      <alignment horizontal="center" vertical="center"/>
    </xf>
    <xf numFmtId="2" fontId="14" fillId="0" borderId="11" xfId="0" applyNumberFormat="1" applyFont="1" applyBorder="1" applyAlignment="1">
      <alignment horizontal="center" vertical="center"/>
    </xf>
    <xf numFmtId="0" fontId="9" fillId="0" borderId="83" xfId="0" applyFont="1" applyBorder="1" applyAlignment="1">
      <alignment horizontal="center"/>
    </xf>
    <xf numFmtId="0" fontId="14" fillId="0" borderId="83" xfId="0" applyFont="1" applyBorder="1" applyAlignment="1">
      <alignment horizontal="center" vertical="center"/>
    </xf>
    <xf numFmtId="2" fontId="9" fillId="0" borderId="21" xfId="0" applyNumberFormat="1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9" fillId="0" borderId="95" xfId="0" applyFont="1" applyBorder="1" applyAlignment="1">
      <alignment horizontal="center" vertical="center"/>
    </xf>
    <xf numFmtId="0" fontId="9" fillId="0" borderId="96" xfId="0" applyFont="1" applyBorder="1" applyAlignment="1">
      <alignment horizontal="center" vertical="center"/>
    </xf>
    <xf numFmtId="164" fontId="9" fillId="0" borderId="66" xfId="0" applyNumberFormat="1" applyFont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164" fontId="9" fillId="0" borderId="97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4" fillId="0" borderId="91" xfId="0" applyFont="1" applyBorder="1" applyAlignment="1">
      <alignment horizontal="center" vertical="center"/>
    </xf>
    <xf numFmtId="0" fontId="1" fillId="0" borderId="83" xfId="0" applyFont="1" applyBorder="1">
      <alignment vertical="center"/>
    </xf>
    <xf numFmtId="164" fontId="14" fillId="0" borderId="97" xfId="0" applyNumberFormat="1" applyFont="1" applyBorder="1" applyAlignment="1">
      <alignment horizontal="center" vertical="center"/>
    </xf>
    <xf numFmtId="2" fontId="11" fillId="0" borderId="32" xfId="0" applyNumberFormat="1" applyFont="1" applyBorder="1" applyAlignment="1">
      <alignment horizontal="center" vertical="center"/>
    </xf>
    <xf numFmtId="2" fontId="10" fillId="0" borderId="69" xfId="0" applyNumberFormat="1" applyFont="1" applyBorder="1" applyAlignment="1">
      <alignment horizontal="center" vertical="center"/>
    </xf>
    <xf numFmtId="2" fontId="68" fillId="0" borderId="3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70" fillId="0" borderId="0" xfId="0" applyFont="1">
      <alignment vertical="center"/>
    </xf>
    <xf numFmtId="0" fontId="71" fillId="0" borderId="0" xfId="0" applyFont="1">
      <alignment vertical="center"/>
    </xf>
    <xf numFmtId="0" fontId="73" fillId="0" borderId="69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4" fillId="0" borderId="32" xfId="0" applyFont="1" applyBorder="1" applyAlignment="1">
      <alignment horizontal="center" vertical="center"/>
    </xf>
    <xf numFmtId="0" fontId="75" fillId="0" borderId="70" xfId="0" applyFont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7" fillId="0" borderId="27" xfId="0" applyFont="1" applyBorder="1" applyAlignment="1">
      <alignment horizontal="center" vertical="center"/>
    </xf>
    <xf numFmtId="0" fontId="78" fillId="0" borderId="27" xfId="0" applyFont="1" applyBorder="1" applyAlignment="1">
      <alignment horizontal="left" vertical="center"/>
    </xf>
    <xf numFmtId="0" fontId="79" fillId="0" borderId="0" xfId="0" applyFont="1" applyAlignment="1">
      <alignment horizontal="center"/>
    </xf>
    <xf numFmtId="0" fontId="79" fillId="0" borderId="0" xfId="0" applyFont="1" applyAlignment="1"/>
    <xf numFmtId="0" fontId="79" fillId="0" borderId="5" xfId="0" applyFont="1" applyBorder="1" applyAlignment="1"/>
    <xf numFmtId="0" fontId="80" fillId="0" borderId="4" xfId="0" applyFont="1" applyBorder="1" applyAlignment="1">
      <alignment horizontal="center"/>
    </xf>
    <xf numFmtId="0" fontId="80" fillId="0" borderId="31" xfId="0" applyFont="1" applyBorder="1" applyAlignment="1">
      <alignment horizontal="center" vertical="center"/>
    </xf>
    <xf numFmtId="0" fontId="81" fillId="0" borderId="72" xfId="0" applyFont="1" applyBorder="1" applyAlignment="1">
      <alignment horizontal="center" vertical="center"/>
    </xf>
    <xf numFmtId="0" fontId="80" fillId="0" borderId="73" xfId="0" applyFont="1" applyBorder="1" applyAlignment="1">
      <alignment horizontal="center" vertical="center"/>
    </xf>
    <xf numFmtId="0" fontId="82" fillId="0" borderId="74" xfId="0" applyFont="1" applyBorder="1" applyAlignment="1">
      <alignment horizontal="center" vertical="center"/>
    </xf>
    <xf numFmtId="0" fontId="80" fillId="0" borderId="37" xfId="0" applyFont="1" applyBorder="1" applyAlignment="1">
      <alignment horizontal="center" vertical="center"/>
    </xf>
    <xf numFmtId="0" fontId="80" fillId="0" borderId="31" xfId="0" applyFont="1" applyBorder="1" applyAlignment="1">
      <alignment horizontal="center"/>
    </xf>
    <xf numFmtId="0" fontId="80" fillId="0" borderId="36" xfId="0" applyFont="1" applyBorder="1" applyAlignment="1">
      <alignment horizontal="center" vertical="center"/>
    </xf>
    <xf numFmtId="0" fontId="81" fillId="0" borderId="31" xfId="0" applyFont="1" applyBorder="1" applyAlignment="1">
      <alignment horizontal="center" vertical="center"/>
    </xf>
    <xf numFmtId="0" fontId="80" fillId="0" borderId="35" xfId="0" applyFont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0" fillId="0" borderId="27" xfId="0" applyFont="1" applyBorder="1" applyAlignment="1">
      <alignment horizontal="center" vertical="center"/>
    </xf>
    <xf numFmtId="0" fontId="80" fillId="0" borderId="38" xfId="0" applyFont="1" applyBorder="1" applyAlignment="1">
      <alignment horizontal="center" vertical="center"/>
    </xf>
    <xf numFmtId="0" fontId="79" fillId="0" borderId="4" xfId="0" applyFont="1" applyBorder="1" applyAlignment="1">
      <alignment horizontal="center"/>
    </xf>
    <xf numFmtId="0" fontId="80" fillId="0" borderId="39" xfId="0" applyFont="1" applyBorder="1" applyAlignment="1">
      <alignment horizontal="center" vertical="center"/>
    </xf>
    <xf numFmtId="0" fontId="80" fillId="0" borderId="40" xfId="0" applyFont="1" applyBorder="1" applyAlignment="1">
      <alignment horizontal="center" vertical="center"/>
    </xf>
    <xf numFmtId="0" fontId="80" fillId="0" borderId="77" xfId="0" applyFont="1" applyBorder="1" applyAlignment="1">
      <alignment horizontal="center" vertical="center"/>
    </xf>
    <xf numFmtId="0" fontId="80" fillId="0" borderId="78" xfId="0" applyFont="1" applyBorder="1" applyAlignment="1">
      <alignment horizontal="left" vertical="center"/>
    </xf>
    <xf numFmtId="0" fontId="80" fillId="0" borderId="78" xfId="0" applyFont="1" applyBorder="1" applyAlignment="1">
      <alignment horizontal="center" vertical="center"/>
    </xf>
    <xf numFmtId="0" fontId="71" fillId="0" borderId="78" xfId="0" applyFont="1" applyBorder="1" applyAlignment="1">
      <alignment horizontal="center" vertical="center"/>
    </xf>
    <xf numFmtId="1" fontId="80" fillId="0" borderId="78" xfId="0" applyNumberFormat="1" applyFont="1" applyBorder="1" applyAlignment="1">
      <alignment horizontal="center" vertical="center"/>
    </xf>
    <xf numFmtId="164" fontId="81" fillId="0" borderId="78" xfId="0" applyNumberFormat="1" applyFont="1" applyBorder="1" applyAlignment="1">
      <alignment horizontal="center" vertical="center"/>
    </xf>
    <xf numFmtId="164" fontId="82" fillId="0" borderId="78" xfId="0" applyNumberFormat="1" applyFont="1" applyBorder="1" applyAlignment="1">
      <alignment horizontal="center" vertical="center"/>
    </xf>
    <xf numFmtId="2" fontId="80" fillId="0" borderId="78" xfId="0" applyNumberFormat="1" applyFont="1" applyBorder="1" applyAlignment="1">
      <alignment horizontal="right" vertical="center"/>
    </xf>
    <xf numFmtId="2" fontId="83" fillId="0" borderId="78" xfId="0" applyNumberFormat="1" applyFont="1" applyBorder="1" applyAlignment="1">
      <alignment horizontal="right" vertical="center"/>
    </xf>
    <xf numFmtId="2" fontId="84" fillId="0" borderId="78" xfId="0" applyNumberFormat="1" applyFont="1" applyBorder="1" applyAlignment="1">
      <alignment horizontal="right" vertical="center"/>
    </xf>
    <xf numFmtId="2" fontId="84" fillId="0" borderId="79" xfId="0" applyNumberFormat="1" applyFont="1" applyBorder="1" applyAlignment="1">
      <alignment horizontal="right" vertical="center"/>
    </xf>
    <xf numFmtId="0" fontId="80" fillId="0" borderId="7" xfId="0" applyFont="1" applyBorder="1" applyAlignment="1">
      <alignment horizontal="center" vertical="center"/>
    </xf>
    <xf numFmtId="0" fontId="80" fillId="0" borderId="8" xfId="0" applyFont="1" applyBorder="1" applyAlignment="1">
      <alignment horizontal="left" vertical="center"/>
    </xf>
    <xf numFmtId="0" fontId="80" fillId="0" borderId="8" xfId="0" applyFont="1" applyBorder="1" applyAlignment="1">
      <alignment horizontal="center" vertical="center"/>
    </xf>
    <xf numFmtId="0" fontId="71" fillId="0" borderId="8" xfId="0" applyFont="1" applyBorder="1" applyAlignment="1">
      <alignment horizontal="center" vertical="center"/>
    </xf>
    <xf numFmtId="164" fontId="81" fillId="0" borderId="8" xfId="0" applyNumberFormat="1" applyFont="1" applyBorder="1" applyAlignment="1">
      <alignment horizontal="center" vertical="center"/>
    </xf>
    <xf numFmtId="164" fontId="82" fillId="0" borderId="8" xfId="0" applyNumberFormat="1" applyFont="1" applyBorder="1" applyAlignment="1">
      <alignment horizontal="center" vertical="center"/>
    </xf>
    <xf numFmtId="1" fontId="80" fillId="0" borderId="8" xfId="0" applyNumberFormat="1" applyFont="1" applyBorder="1" applyAlignment="1">
      <alignment horizontal="center" vertical="center"/>
    </xf>
    <xf numFmtId="2" fontId="80" fillId="0" borderId="8" xfId="0" applyNumberFormat="1" applyFont="1" applyBorder="1" applyAlignment="1">
      <alignment horizontal="right" vertical="center"/>
    </xf>
    <xf numFmtId="2" fontId="84" fillId="0" borderId="8" xfId="0" applyNumberFormat="1" applyFont="1" applyBorder="1" applyAlignment="1">
      <alignment horizontal="right" vertical="center"/>
    </xf>
    <xf numFmtId="2" fontId="84" fillId="0" borderId="9" xfId="0" applyNumberFormat="1" applyFont="1" applyBorder="1" applyAlignment="1">
      <alignment horizontal="right" vertical="center"/>
    </xf>
    <xf numFmtId="165" fontId="81" fillId="0" borderId="8" xfId="0" applyNumberFormat="1" applyFont="1" applyBorder="1" applyAlignment="1">
      <alignment horizontal="center" vertical="center"/>
    </xf>
    <xf numFmtId="165" fontId="82" fillId="0" borderId="8" xfId="0" applyNumberFormat="1" applyFont="1" applyBorder="1" applyAlignment="1">
      <alignment horizontal="center" vertical="center"/>
    </xf>
    <xf numFmtId="2" fontId="71" fillId="0" borderId="8" xfId="0" applyNumberFormat="1" applyFont="1" applyBorder="1" applyAlignment="1">
      <alignment horizontal="right" vertical="center"/>
    </xf>
    <xf numFmtId="0" fontId="76" fillId="0" borderId="7" xfId="0" applyFont="1" applyBorder="1" applyAlignment="1">
      <alignment horizontal="center" vertical="center"/>
    </xf>
    <xf numFmtId="0" fontId="76" fillId="0" borderId="8" xfId="0" applyFont="1" applyBorder="1" applyAlignment="1">
      <alignment horizontal="left" vertical="center"/>
    </xf>
    <xf numFmtId="0" fontId="76" fillId="0" borderId="8" xfId="0" applyFont="1" applyBorder="1" applyAlignment="1">
      <alignment horizontal="center" vertical="center"/>
    </xf>
    <xf numFmtId="164" fontId="76" fillId="0" borderId="8" xfId="0" applyNumberFormat="1" applyFont="1" applyBorder="1" applyAlignment="1">
      <alignment horizontal="center" vertical="center"/>
    </xf>
    <xf numFmtId="1" fontId="76" fillId="0" borderId="8" xfId="0" applyNumberFormat="1" applyFont="1" applyBorder="1" applyAlignment="1">
      <alignment horizontal="center" vertical="center"/>
    </xf>
    <xf numFmtId="2" fontId="76" fillId="0" borderId="8" xfId="0" applyNumberFormat="1" applyFont="1" applyBorder="1" applyAlignment="1">
      <alignment horizontal="right" vertical="center"/>
    </xf>
    <xf numFmtId="2" fontId="76" fillId="0" borderId="9" xfId="0" applyNumberFormat="1" applyFont="1" applyBorder="1" applyAlignment="1">
      <alignment horizontal="right" vertical="center"/>
    </xf>
    <xf numFmtId="0" fontId="85" fillId="0" borderId="7" xfId="0" applyFont="1" applyBorder="1" applyAlignment="1">
      <alignment horizontal="center" vertical="center"/>
    </xf>
    <xf numFmtId="0" fontId="85" fillId="0" borderId="8" xfId="0" applyFont="1" applyBorder="1" applyAlignment="1">
      <alignment horizontal="left" vertical="center"/>
    </xf>
    <xf numFmtId="0" fontId="86" fillId="0" borderId="8" xfId="0" applyFont="1" applyBorder="1" applyAlignment="1">
      <alignment horizontal="center" vertical="center"/>
    </xf>
    <xf numFmtId="164" fontId="86" fillId="0" borderId="8" xfId="0" applyNumberFormat="1" applyFont="1" applyBorder="1" applyAlignment="1">
      <alignment horizontal="center" vertical="center"/>
    </xf>
    <xf numFmtId="2" fontId="86" fillId="0" borderId="8" xfId="0" applyNumberFormat="1" applyFont="1" applyBorder="1" applyAlignment="1">
      <alignment horizontal="right" vertical="center"/>
    </xf>
    <xf numFmtId="2" fontId="86" fillId="0" borderId="9" xfId="0" applyNumberFormat="1" applyFont="1" applyBorder="1" applyAlignment="1">
      <alignment horizontal="right" vertical="center"/>
    </xf>
    <xf numFmtId="0" fontId="87" fillId="0" borderId="7" xfId="0" applyFont="1" applyBorder="1" applyAlignment="1">
      <alignment horizontal="center" vertical="center"/>
    </xf>
    <xf numFmtId="0" fontId="87" fillId="0" borderId="8" xfId="0" applyFont="1" applyBorder="1" applyAlignment="1">
      <alignment horizontal="left" vertical="center"/>
    </xf>
    <xf numFmtId="0" fontId="88" fillId="0" borderId="8" xfId="0" applyFont="1" applyBorder="1" applyAlignment="1">
      <alignment horizontal="center" vertical="center"/>
    </xf>
    <xf numFmtId="0" fontId="88" fillId="0" borderId="8" xfId="0" applyFont="1" applyBorder="1" applyAlignment="1">
      <alignment horizontal="center"/>
    </xf>
    <xf numFmtId="166" fontId="88" fillId="0" borderId="8" xfId="0" applyNumberFormat="1" applyFont="1" applyBorder="1" applyAlignment="1">
      <alignment horizontal="center" vertical="center"/>
    </xf>
    <xf numFmtId="164" fontId="88" fillId="0" borderId="8" xfId="0" applyNumberFormat="1" applyFont="1" applyBorder="1" applyAlignment="1">
      <alignment horizontal="center" vertical="center" wrapText="1"/>
    </xf>
    <xf numFmtId="166" fontId="88" fillId="0" borderId="8" xfId="0" applyNumberFormat="1" applyFont="1" applyBorder="1" applyAlignment="1">
      <alignment horizontal="center"/>
    </xf>
    <xf numFmtId="164" fontId="88" fillId="0" borderId="8" xfId="0" applyNumberFormat="1" applyFont="1" applyBorder="1" applyAlignment="1">
      <alignment horizontal="center" vertical="center"/>
    </xf>
    <xf numFmtId="2" fontId="88" fillId="0" borderId="8" xfId="0" applyNumberFormat="1" applyFont="1" applyBorder="1" applyAlignment="1">
      <alignment horizontal="right" vertical="center"/>
    </xf>
    <xf numFmtId="2" fontId="88" fillId="0" borderId="9" xfId="0" applyNumberFormat="1" applyFont="1" applyBorder="1" applyAlignment="1">
      <alignment horizontal="right" vertical="center"/>
    </xf>
    <xf numFmtId="0" fontId="71" fillId="0" borderId="7" xfId="0" applyFont="1" applyBorder="1" applyAlignment="1">
      <alignment horizontal="center" vertical="center"/>
    </xf>
    <xf numFmtId="0" fontId="71" fillId="0" borderId="8" xfId="0" applyFont="1" applyBorder="1">
      <alignment vertical="center"/>
    </xf>
    <xf numFmtId="0" fontId="70" fillId="0" borderId="8" xfId="0" applyFont="1" applyBorder="1" applyAlignment="1">
      <alignment horizontal="center" vertical="center"/>
    </xf>
    <xf numFmtId="0" fontId="70" fillId="0" borderId="8" xfId="0" applyFont="1" applyBorder="1">
      <alignment vertical="center"/>
    </xf>
    <xf numFmtId="164" fontId="71" fillId="0" borderId="8" xfId="0" applyNumberFormat="1" applyFont="1" applyBorder="1" applyAlignment="1">
      <alignment horizontal="center" vertical="center"/>
    </xf>
    <xf numFmtId="2" fontId="71" fillId="0" borderId="8" xfId="0" applyNumberFormat="1" applyFont="1" applyBorder="1">
      <alignment vertical="center"/>
    </xf>
    <xf numFmtId="2" fontId="71" fillId="0" borderId="9" xfId="0" applyNumberFormat="1" applyFont="1" applyBorder="1">
      <alignment vertical="center"/>
    </xf>
    <xf numFmtId="2" fontId="71" fillId="0" borderId="5" xfId="0" applyNumberFormat="1" applyFont="1" applyBorder="1">
      <alignment vertical="center"/>
    </xf>
    <xf numFmtId="2" fontId="71" fillId="0" borderId="44" xfId="0" applyNumberFormat="1" applyFont="1" applyBorder="1">
      <alignment vertical="center"/>
    </xf>
    <xf numFmtId="0" fontId="71" fillId="0" borderId="58" xfId="0" applyFont="1" applyBorder="1" applyAlignment="1">
      <alignment horizontal="center" vertical="center"/>
    </xf>
    <xf numFmtId="0" fontId="71" fillId="0" borderId="59" xfId="0" applyFont="1" applyBorder="1">
      <alignment vertical="center"/>
    </xf>
    <xf numFmtId="0" fontId="79" fillId="0" borderId="59" xfId="0" applyFont="1" applyBorder="1" applyAlignment="1">
      <alignment horizontal="center" vertical="center"/>
    </xf>
    <xf numFmtId="0" fontId="70" fillId="0" borderId="59" xfId="0" applyFont="1" applyBorder="1">
      <alignment vertical="center"/>
    </xf>
    <xf numFmtId="0" fontId="70" fillId="0" borderId="59" xfId="0" applyFont="1" applyBorder="1" applyAlignment="1">
      <alignment horizontal="center" vertical="center"/>
    </xf>
    <xf numFmtId="164" fontId="71" fillId="0" borderId="59" xfId="0" applyNumberFormat="1" applyFont="1" applyBorder="1" applyAlignment="1">
      <alignment horizontal="center" vertical="center"/>
    </xf>
    <xf numFmtId="0" fontId="71" fillId="0" borderId="59" xfId="0" applyFont="1" applyBorder="1" applyAlignment="1">
      <alignment horizontal="center" vertical="center"/>
    </xf>
    <xf numFmtId="2" fontId="71" fillId="0" borderId="59" xfId="0" applyNumberFormat="1" applyFont="1" applyBorder="1" applyAlignment="1">
      <alignment horizontal="right" vertical="center"/>
    </xf>
    <xf numFmtId="2" fontId="71" fillId="0" borderId="98" xfId="0" applyNumberFormat="1" applyFont="1" applyBorder="1">
      <alignment vertical="center"/>
    </xf>
    <xf numFmtId="0" fontId="80" fillId="0" borderId="99" xfId="0" applyFont="1" applyBorder="1" applyAlignment="1">
      <alignment horizontal="center"/>
    </xf>
    <xf numFmtId="0" fontId="80" fillId="0" borderId="89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2" fontId="80" fillId="0" borderId="32" xfId="0" applyNumberFormat="1" applyFont="1" applyBorder="1" applyAlignment="1">
      <alignment horizontal="center" vertical="center"/>
    </xf>
    <xf numFmtId="2" fontId="80" fillId="0" borderId="100" xfId="0" applyNumberFormat="1" applyFont="1" applyBorder="1" applyAlignment="1">
      <alignment horizontal="right" vertical="center"/>
    </xf>
    <xf numFmtId="2" fontId="80" fillId="0" borderId="71" xfId="0" applyNumberFormat="1" applyFont="1" applyBorder="1">
      <alignment vertical="center"/>
    </xf>
    <xf numFmtId="0" fontId="80" fillId="0" borderId="85" xfId="0" applyFont="1" applyBorder="1" applyAlignment="1">
      <alignment horizontal="center" vertical="center"/>
    </xf>
    <xf numFmtId="0" fontId="80" fillId="0" borderId="95" xfId="0" applyFont="1" applyBorder="1" applyAlignment="1">
      <alignment horizontal="center" vertical="center"/>
    </xf>
    <xf numFmtId="0" fontId="80" fillId="0" borderId="96" xfId="0" applyFont="1" applyBorder="1" applyAlignment="1">
      <alignment horizontal="center" vertical="center"/>
    </xf>
    <xf numFmtId="164" fontId="80" fillId="0" borderId="66" xfId="0" applyNumberFormat="1" applyFont="1" applyBorder="1" applyAlignment="1">
      <alignment horizontal="center" vertical="center"/>
    </xf>
    <xf numFmtId="2" fontId="84" fillId="0" borderId="26" xfId="0" applyNumberFormat="1" applyFont="1" applyBorder="1" applyAlignment="1">
      <alignment horizontal="center" vertical="center"/>
    </xf>
    <xf numFmtId="0" fontId="81" fillId="0" borderId="25" xfId="0" applyFont="1" applyBorder="1" applyAlignment="1">
      <alignment horizontal="center" vertical="top"/>
    </xf>
    <xf numFmtId="0" fontId="82" fillId="0" borderId="101" xfId="0" applyFont="1" applyBorder="1" applyAlignment="1">
      <alignment horizontal="center" vertical="top"/>
    </xf>
    <xf numFmtId="0" fontId="89" fillId="0" borderId="88" xfId="0" applyFont="1" applyBorder="1" applyAlignment="1">
      <alignment horizontal="center" vertical="center"/>
    </xf>
    <xf numFmtId="164" fontId="80" fillId="0" borderId="97" xfId="0" applyNumberFormat="1" applyFont="1" applyBorder="1" applyAlignment="1">
      <alignment horizontal="center" vertical="center"/>
    </xf>
    <xf numFmtId="0" fontId="79" fillId="0" borderId="26" xfId="0" applyFont="1" applyBorder="1" applyAlignment="1">
      <alignment horizontal="center"/>
    </xf>
    <xf numFmtId="0" fontId="81" fillId="0" borderId="26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0" fillId="0" borderId="83" xfId="0" applyFont="1" applyBorder="1">
      <alignment vertical="center"/>
    </xf>
    <xf numFmtId="164" fontId="71" fillId="0" borderId="97" xfId="0" applyNumberFormat="1" applyFont="1" applyBorder="1" applyAlignment="1">
      <alignment horizontal="center" vertical="center"/>
    </xf>
    <xf numFmtId="2" fontId="90" fillId="0" borderId="32" xfId="0" applyNumberFormat="1" applyFont="1" applyBorder="1" applyAlignment="1">
      <alignment horizontal="center" vertical="center"/>
    </xf>
    <xf numFmtId="2" fontId="91" fillId="0" borderId="69" xfId="0" applyNumberFormat="1" applyFont="1" applyBorder="1" applyAlignment="1">
      <alignment horizontal="center" vertical="center"/>
    </xf>
    <xf numFmtId="2" fontId="92" fillId="0" borderId="102" xfId="0" applyNumberFormat="1" applyFont="1" applyBorder="1" applyAlignment="1">
      <alignment horizontal="center" vertical="center"/>
    </xf>
    <xf numFmtId="0" fontId="80" fillId="0" borderId="28" xfId="0" applyFont="1" applyBorder="1" applyAlignment="1">
      <alignment horizontal="center" vertical="center"/>
    </xf>
    <xf numFmtId="0" fontId="89" fillId="0" borderId="103" xfId="0" applyFont="1" applyBorder="1" applyAlignment="1">
      <alignment horizontal="center" vertical="center"/>
    </xf>
    <xf numFmtId="0" fontId="71" fillId="0" borderId="29" xfId="0" applyFont="1" applyBorder="1" applyAlignment="1">
      <alignment horizontal="center" vertical="center"/>
    </xf>
    <xf numFmtId="0" fontId="80" fillId="0" borderId="29" xfId="0" applyFont="1" applyBorder="1" applyAlignment="1">
      <alignment horizontal="center" vertical="center"/>
    </xf>
    <xf numFmtId="0" fontId="80" fillId="0" borderId="30" xfId="0" applyFont="1" applyBorder="1" applyAlignment="1">
      <alignment horizontal="center" vertical="center"/>
    </xf>
    <xf numFmtId="0" fontId="93" fillId="0" borderId="0" xfId="0" applyFont="1">
      <alignment vertical="center"/>
    </xf>
    <xf numFmtId="0" fontId="96" fillId="0" borderId="32" xfId="0" applyFont="1" applyBorder="1" applyAlignment="1">
      <alignment horizontal="center" vertical="center"/>
    </xf>
    <xf numFmtId="0" fontId="95" fillId="0" borderId="69" xfId="0" applyFont="1" applyBorder="1" applyAlignment="1">
      <alignment horizontal="center" vertical="center"/>
    </xf>
    <xf numFmtId="0" fontId="97" fillId="0" borderId="70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27" xfId="0" applyFont="1" applyBorder="1" applyAlignment="1">
      <alignment horizontal="center" vertical="center"/>
    </xf>
    <xf numFmtId="0" fontId="98" fillId="0" borderId="27" xfId="0" applyFont="1" applyBorder="1" applyAlignment="1">
      <alignment horizontal="center" vertical="center"/>
    </xf>
    <xf numFmtId="0" fontId="100" fillId="0" borderId="27" xfId="0" applyFont="1" applyBorder="1" applyAlignment="1">
      <alignment horizontal="left" vertical="center"/>
    </xf>
    <xf numFmtId="0" fontId="101" fillId="0" borderId="0" xfId="0" applyFont="1" applyAlignment="1">
      <alignment horizontal="center"/>
    </xf>
    <xf numFmtId="0" fontId="101" fillId="0" borderId="0" xfId="0" applyFont="1" applyAlignment="1">
      <alignment horizontal="center" vertical="center"/>
    </xf>
    <xf numFmtId="2" fontId="101" fillId="0" borderId="82" xfId="0" applyNumberFormat="1" applyFont="1" applyBorder="1" applyAlignment="1">
      <alignment horizontal="center" vertical="center"/>
    </xf>
    <xf numFmtId="0" fontId="102" fillId="0" borderId="83" xfId="0" applyFont="1" applyBorder="1" applyAlignment="1">
      <alignment horizontal="center"/>
    </xf>
    <xf numFmtId="0" fontId="102" fillId="0" borderId="31" xfId="0" applyFont="1" applyBorder="1" applyAlignment="1">
      <alignment horizontal="center" vertical="center"/>
    </xf>
    <xf numFmtId="0" fontId="103" fillId="0" borderId="72" xfId="0" applyFont="1" applyBorder="1" applyAlignment="1">
      <alignment horizontal="center" vertical="center"/>
    </xf>
    <xf numFmtId="0" fontId="102" fillId="0" borderId="73" xfId="0" applyFont="1" applyBorder="1" applyAlignment="1">
      <alignment horizontal="center" vertical="center"/>
    </xf>
    <xf numFmtId="0" fontId="104" fillId="0" borderId="74" xfId="0" applyFont="1" applyBorder="1" applyAlignment="1">
      <alignment horizontal="center" vertical="center"/>
    </xf>
    <xf numFmtId="0" fontId="102" fillId="0" borderId="37" xfId="0" applyFont="1" applyBorder="1" applyAlignment="1">
      <alignment horizontal="center" vertical="center"/>
    </xf>
    <xf numFmtId="0" fontId="102" fillId="0" borderId="31" xfId="0" applyFont="1" applyBorder="1" applyAlignment="1">
      <alignment horizontal="center"/>
    </xf>
    <xf numFmtId="0" fontId="102" fillId="0" borderId="36" xfId="0" applyFont="1" applyBorder="1" applyAlignment="1">
      <alignment horizontal="center" vertical="center"/>
    </xf>
    <xf numFmtId="0" fontId="103" fillId="0" borderId="31" xfId="0" applyFont="1" applyBorder="1" applyAlignment="1">
      <alignment horizontal="center" vertical="center"/>
    </xf>
    <xf numFmtId="0" fontId="102" fillId="0" borderId="35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2" fillId="0" borderId="27" xfId="0" applyFont="1" applyBorder="1" applyAlignment="1">
      <alignment horizontal="center" vertical="center"/>
    </xf>
    <xf numFmtId="2" fontId="102" fillId="0" borderId="114" xfId="0" applyNumberFormat="1" applyFont="1" applyBorder="1" applyAlignment="1">
      <alignment horizontal="center" vertical="center"/>
    </xf>
    <xf numFmtId="0" fontId="101" fillId="0" borderId="83" xfId="0" applyFont="1" applyBorder="1" applyAlignment="1">
      <alignment horizontal="center"/>
    </xf>
    <xf numFmtId="0" fontId="102" fillId="0" borderId="39" xfId="0" applyFont="1" applyBorder="1" applyAlignment="1">
      <alignment horizontal="center" vertical="center"/>
    </xf>
    <xf numFmtId="2" fontId="102" fillId="0" borderId="115" xfId="0" applyNumberFormat="1" applyFont="1" applyBorder="1" applyAlignment="1">
      <alignment horizontal="center" vertical="center"/>
    </xf>
    <xf numFmtId="0" fontId="102" fillId="0" borderId="116" xfId="0" applyFont="1" applyBorder="1" applyAlignment="1">
      <alignment horizontal="center" vertical="center"/>
    </xf>
    <xf numFmtId="0" fontId="102" fillId="0" borderId="78" xfId="0" applyFont="1" applyBorder="1" applyAlignment="1">
      <alignment horizontal="left" vertical="center"/>
    </xf>
    <xf numFmtId="0" fontId="102" fillId="0" borderId="78" xfId="0" applyFont="1" applyBorder="1" applyAlignment="1">
      <alignment horizontal="center" vertical="center"/>
    </xf>
    <xf numFmtId="0" fontId="105" fillId="0" borderId="78" xfId="0" applyFont="1" applyBorder="1" applyAlignment="1">
      <alignment horizontal="center" vertical="center"/>
    </xf>
    <xf numFmtId="0" fontId="102" fillId="0" borderId="117" xfId="0" applyFont="1" applyBorder="1" applyAlignment="1">
      <alignment horizontal="center" vertical="center"/>
    </xf>
    <xf numFmtId="1" fontId="102" fillId="0" borderId="8" xfId="0" applyNumberFormat="1" applyFont="1" applyBorder="1" applyAlignment="1">
      <alignment horizontal="center" vertical="center"/>
    </xf>
    <xf numFmtId="164" fontId="103" fillId="0" borderId="118" xfId="0" applyNumberFormat="1" applyFont="1" applyBorder="1" applyAlignment="1">
      <alignment horizontal="center" vertical="center"/>
    </xf>
    <xf numFmtId="0" fontId="102" fillId="0" borderId="8" xfId="0" applyFont="1" applyBorder="1" applyAlignment="1">
      <alignment horizontal="center" vertical="center"/>
    </xf>
    <xf numFmtId="164" fontId="104" fillId="0" borderId="78" xfId="0" applyNumberFormat="1" applyFont="1" applyBorder="1" applyAlignment="1">
      <alignment horizontal="center" vertical="center"/>
    </xf>
    <xf numFmtId="1" fontId="102" fillId="0" borderId="78" xfId="0" applyNumberFormat="1" applyFont="1" applyBorder="1" applyAlignment="1">
      <alignment horizontal="center" vertical="center"/>
    </xf>
    <xf numFmtId="2" fontId="102" fillId="0" borderId="78" xfId="0" applyNumberFormat="1" applyFont="1" applyBorder="1" applyAlignment="1">
      <alignment horizontal="center" vertical="center"/>
    </xf>
    <xf numFmtId="2" fontId="106" fillId="0" borderId="78" xfId="0" applyNumberFormat="1" applyFont="1" applyBorder="1" applyAlignment="1">
      <alignment horizontal="center" vertical="center"/>
    </xf>
    <xf numFmtId="2" fontId="107" fillId="0" borderId="78" xfId="0" applyNumberFormat="1" applyFont="1" applyBorder="1" applyAlignment="1">
      <alignment horizontal="center" vertical="center"/>
    </xf>
    <xf numFmtId="2" fontId="107" fillId="0" borderId="119" xfId="0" applyNumberFormat="1" applyFont="1" applyBorder="1" applyAlignment="1">
      <alignment horizontal="center" vertical="center"/>
    </xf>
    <xf numFmtId="0" fontId="102" fillId="0" borderId="120" xfId="0" applyFont="1" applyBorder="1" applyAlignment="1">
      <alignment horizontal="center" vertical="center"/>
    </xf>
    <xf numFmtId="0" fontId="102" fillId="0" borderId="8" xfId="0" applyFont="1" applyBorder="1" applyAlignment="1">
      <alignment horizontal="left" vertical="center"/>
    </xf>
    <xf numFmtId="0" fontId="105" fillId="0" borderId="8" xfId="0" applyFont="1" applyBorder="1" applyAlignment="1">
      <alignment horizontal="center" vertical="center"/>
    </xf>
    <xf numFmtId="0" fontId="102" fillId="0" borderId="121" xfId="0" applyFont="1" applyBorder="1" applyAlignment="1">
      <alignment horizontal="center" vertical="center"/>
    </xf>
    <xf numFmtId="164" fontId="103" fillId="0" borderId="122" xfId="0" applyNumberFormat="1" applyFont="1" applyBorder="1" applyAlignment="1">
      <alignment horizontal="center" vertical="center"/>
    </xf>
    <xf numFmtId="164" fontId="104" fillId="0" borderId="8" xfId="0" applyNumberFormat="1" applyFont="1" applyBorder="1" applyAlignment="1">
      <alignment horizontal="center" vertical="center"/>
    </xf>
    <xf numFmtId="2" fontId="102" fillId="0" borderId="8" xfId="0" applyNumberFormat="1" applyFont="1" applyBorder="1" applyAlignment="1">
      <alignment horizontal="center" vertical="center"/>
    </xf>
    <xf numFmtId="2" fontId="107" fillId="0" borderId="8" xfId="0" applyNumberFormat="1" applyFont="1" applyBorder="1" applyAlignment="1">
      <alignment horizontal="center" vertical="center"/>
    </xf>
    <xf numFmtId="2" fontId="107" fillId="0" borderId="44" xfId="0" applyNumberFormat="1" applyFont="1" applyBorder="1" applyAlignment="1">
      <alignment horizontal="center" vertical="center"/>
    </xf>
    <xf numFmtId="165" fontId="103" fillId="0" borderId="122" xfId="0" applyNumberFormat="1" applyFont="1" applyBorder="1" applyAlignment="1">
      <alignment horizontal="center" vertical="center"/>
    </xf>
    <xf numFmtId="165" fontId="104" fillId="0" borderId="8" xfId="0" applyNumberFormat="1" applyFont="1" applyBorder="1" applyAlignment="1">
      <alignment horizontal="center" vertical="center"/>
    </xf>
    <xf numFmtId="0" fontId="102" fillId="0" borderId="123" xfId="0" applyFont="1" applyBorder="1" applyAlignment="1">
      <alignment horizontal="center" vertical="center"/>
    </xf>
    <xf numFmtId="0" fontId="102" fillId="0" borderId="59" xfId="0" applyFont="1" applyBorder="1" applyAlignment="1">
      <alignment horizontal="center" vertical="center"/>
    </xf>
    <xf numFmtId="0" fontId="102" fillId="0" borderId="124" xfId="0" applyFont="1" applyBorder="1" applyAlignment="1">
      <alignment horizontal="center" vertical="center"/>
    </xf>
    <xf numFmtId="0" fontId="102" fillId="0" borderId="88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2" fontId="105" fillId="0" borderId="8" xfId="0" applyNumberFormat="1" applyFont="1" applyBorder="1" applyAlignment="1">
      <alignment horizontal="center" vertical="center"/>
    </xf>
    <xf numFmtId="0" fontId="98" fillId="0" borderId="120" xfId="0" applyFont="1" applyBorder="1" applyAlignment="1">
      <alignment horizontal="center" vertical="center"/>
    </xf>
    <xf numFmtId="0" fontId="98" fillId="0" borderId="8" xfId="0" applyFont="1" applyBorder="1" applyAlignment="1">
      <alignment horizontal="left" vertical="center"/>
    </xf>
    <xf numFmtId="0" fontId="98" fillId="0" borderId="8" xfId="0" applyFont="1" applyBorder="1" applyAlignment="1">
      <alignment horizontal="center" vertical="center"/>
    </xf>
    <xf numFmtId="0" fontId="98" fillId="0" borderId="121" xfId="0" applyFont="1" applyBorder="1" applyAlignment="1">
      <alignment horizontal="center" vertical="center"/>
    </xf>
    <xf numFmtId="164" fontId="98" fillId="0" borderId="122" xfId="0" applyNumberFormat="1" applyFont="1" applyBorder="1" applyAlignment="1">
      <alignment horizontal="center" vertical="center"/>
    </xf>
    <xf numFmtId="164" fontId="98" fillId="0" borderId="8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2" fontId="98" fillId="0" borderId="8" xfId="0" applyNumberFormat="1" applyFont="1" applyBorder="1" applyAlignment="1">
      <alignment horizontal="center" vertical="center"/>
    </xf>
    <xf numFmtId="2" fontId="98" fillId="0" borderId="44" xfId="0" applyNumberFormat="1" applyFont="1" applyBorder="1" applyAlignment="1">
      <alignment horizontal="center" vertical="center"/>
    </xf>
    <xf numFmtId="0" fontId="108" fillId="0" borderId="120" xfId="0" applyFont="1" applyBorder="1" applyAlignment="1">
      <alignment horizontal="center" vertical="center"/>
    </xf>
    <xf numFmtId="0" fontId="108" fillId="0" borderId="8" xfId="0" applyFont="1" applyBorder="1" applyAlignment="1">
      <alignment horizontal="left" vertical="center"/>
    </xf>
    <xf numFmtId="0" fontId="109" fillId="0" borderId="8" xfId="0" applyFont="1" applyBorder="1" applyAlignment="1">
      <alignment horizontal="center" vertical="center"/>
    </xf>
    <xf numFmtId="0" fontId="109" fillId="0" borderId="121" xfId="0" applyFont="1" applyBorder="1" applyAlignment="1">
      <alignment horizontal="center" vertical="center"/>
    </xf>
    <xf numFmtId="164" fontId="109" fillId="0" borderId="8" xfId="0" applyNumberFormat="1" applyFont="1" applyBorder="1" applyAlignment="1">
      <alignment horizontal="center" vertical="center"/>
    </xf>
    <xf numFmtId="2" fontId="109" fillId="0" borderId="8" xfId="0" applyNumberFormat="1" applyFont="1" applyBorder="1" applyAlignment="1">
      <alignment horizontal="center" vertical="center"/>
    </xf>
    <xf numFmtId="2" fontId="109" fillId="0" borderId="44" xfId="0" applyNumberFormat="1" applyFont="1" applyBorder="1" applyAlignment="1">
      <alignment horizontal="center" vertical="center"/>
    </xf>
    <xf numFmtId="0" fontId="110" fillId="0" borderId="120" xfId="0" applyFont="1" applyBorder="1" applyAlignment="1">
      <alignment horizontal="center" vertical="center"/>
    </xf>
    <xf numFmtId="0" fontId="110" fillId="0" borderId="8" xfId="0" applyFont="1" applyBorder="1" applyAlignment="1">
      <alignment horizontal="left" vertical="center"/>
    </xf>
    <xf numFmtId="0" fontId="111" fillId="0" borderId="8" xfId="0" applyFont="1" applyBorder="1" applyAlignment="1">
      <alignment horizontal="center" vertical="center"/>
    </xf>
    <xf numFmtId="0" fontId="111" fillId="0" borderId="8" xfId="0" applyFont="1" applyBorder="1" applyAlignment="1">
      <alignment horizontal="center"/>
    </xf>
    <xf numFmtId="166" fontId="111" fillId="0" borderId="121" xfId="0" applyNumberFormat="1" applyFont="1" applyBorder="1" applyAlignment="1">
      <alignment horizontal="center" vertical="center"/>
    </xf>
    <xf numFmtId="164" fontId="111" fillId="0" borderId="122" xfId="0" applyNumberFormat="1" applyFont="1" applyBorder="1" applyAlignment="1">
      <alignment horizontal="center" vertical="center" wrapText="1"/>
    </xf>
    <xf numFmtId="164" fontId="111" fillId="0" borderId="8" xfId="0" applyNumberFormat="1" applyFont="1" applyBorder="1" applyAlignment="1">
      <alignment horizontal="center" vertical="center"/>
    </xf>
    <xf numFmtId="2" fontId="111" fillId="0" borderId="8" xfId="0" applyNumberFormat="1" applyFont="1" applyBorder="1" applyAlignment="1">
      <alignment horizontal="center" vertical="center"/>
    </xf>
    <xf numFmtId="2" fontId="111" fillId="0" borderId="44" xfId="0" applyNumberFormat="1" applyFont="1" applyBorder="1" applyAlignment="1">
      <alignment horizontal="center" vertical="center"/>
    </xf>
    <xf numFmtId="164" fontId="111" fillId="0" borderId="122" xfId="0" applyNumberFormat="1" applyFont="1" applyBorder="1" applyAlignment="1">
      <alignment horizontal="center" vertical="center"/>
    </xf>
    <xf numFmtId="0" fontId="105" fillId="0" borderId="120" xfId="0" applyFont="1" applyBorder="1" applyAlignment="1">
      <alignment horizontal="center" vertical="center"/>
    </xf>
    <xf numFmtId="0" fontId="105" fillId="0" borderId="8" xfId="0" applyFont="1" applyBorder="1">
      <alignment vertical="center"/>
    </xf>
    <xf numFmtId="0" fontId="93" fillId="0" borderId="8" xfId="0" applyFont="1" applyBorder="1">
      <alignment vertical="center"/>
    </xf>
    <xf numFmtId="0" fontId="105" fillId="0" borderId="121" xfId="0" applyFont="1" applyBorder="1" applyAlignment="1">
      <alignment horizontal="center" vertical="center"/>
    </xf>
    <xf numFmtId="164" fontId="105" fillId="0" borderId="122" xfId="0" applyNumberFormat="1" applyFont="1" applyBorder="1" applyAlignment="1">
      <alignment horizontal="center" vertical="center"/>
    </xf>
    <xf numFmtId="164" fontId="105" fillId="0" borderId="8" xfId="0" applyNumberFormat="1" applyFont="1" applyBorder="1" applyAlignment="1">
      <alignment horizontal="center" vertical="center"/>
    </xf>
    <xf numFmtId="2" fontId="105" fillId="0" borderId="44" xfId="0" applyNumberFormat="1" applyFont="1" applyBorder="1" applyAlignment="1">
      <alignment horizontal="center" vertical="center"/>
    </xf>
    <xf numFmtId="2" fontId="105" fillId="0" borderId="125" xfId="0" applyNumberFormat="1" applyFont="1" applyBorder="1" applyAlignment="1">
      <alignment horizontal="center" vertical="center"/>
    </xf>
    <xf numFmtId="2" fontId="105" fillId="0" borderId="121" xfId="0" applyNumberFormat="1" applyFont="1" applyBorder="1" applyAlignment="1">
      <alignment horizontal="center" vertical="center"/>
    </xf>
    <xf numFmtId="2" fontId="105" fillId="0" borderId="51" xfId="0" applyNumberFormat="1" applyFont="1" applyBorder="1" applyAlignment="1">
      <alignment horizontal="center" vertical="center"/>
    </xf>
    <xf numFmtId="0" fontId="105" fillId="0" borderId="126" xfId="0" applyFont="1" applyBorder="1" applyAlignment="1">
      <alignment horizontal="center" vertical="center"/>
    </xf>
    <xf numFmtId="0" fontId="105" fillId="0" borderId="59" xfId="0" applyFont="1" applyBorder="1">
      <alignment vertical="center"/>
    </xf>
    <xf numFmtId="0" fontId="93" fillId="0" borderId="59" xfId="0" applyFont="1" applyBorder="1">
      <alignment vertical="center"/>
    </xf>
    <xf numFmtId="0" fontId="105" fillId="0" borderId="123" xfId="0" applyFont="1" applyBorder="1" applyAlignment="1">
      <alignment horizontal="center" vertical="center"/>
    </xf>
    <xf numFmtId="164" fontId="105" fillId="0" borderId="127" xfId="0" applyNumberFormat="1" applyFont="1" applyBorder="1" applyAlignment="1">
      <alignment horizontal="center" vertical="center"/>
    </xf>
    <xf numFmtId="164" fontId="105" fillId="0" borderId="59" xfId="0" applyNumberFormat="1" applyFont="1" applyBorder="1" applyAlignment="1">
      <alignment horizontal="center" vertical="center"/>
    </xf>
    <xf numFmtId="0" fontId="105" fillId="0" borderId="59" xfId="0" applyFont="1" applyBorder="1" applyAlignment="1">
      <alignment horizontal="center" vertical="center"/>
    </xf>
    <xf numFmtId="2" fontId="105" fillId="0" borderId="59" xfId="0" applyNumberFormat="1" applyFont="1" applyBorder="1" applyAlignment="1">
      <alignment horizontal="center" vertical="center"/>
    </xf>
    <xf numFmtId="0" fontId="102" fillId="0" borderId="89" xfId="0" applyFont="1" applyBorder="1" applyAlignment="1">
      <alignment horizontal="center"/>
    </xf>
    <xf numFmtId="0" fontId="105" fillId="0" borderId="89" xfId="0" applyFont="1" applyBorder="1" applyAlignment="1">
      <alignment horizontal="center" vertical="center"/>
    </xf>
    <xf numFmtId="2" fontId="102" fillId="0" borderId="70" xfId="0" applyNumberFormat="1" applyFont="1" applyBorder="1" applyAlignment="1">
      <alignment horizontal="center" vertical="center"/>
    </xf>
    <xf numFmtId="2" fontId="102" fillId="0" borderId="100" xfId="0" applyNumberFormat="1" applyFont="1" applyBorder="1" applyAlignment="1">
      <alignment horizontal="center" vertical="center"/>
    </xf>
    <xf numFmtId="2" fontId="102" fillId="0" borderId="69" xfId="0" applyNumberFormat="1" applyFont="1" applyBorder="1" applyAlignment="1">
      <alignment horizontal="center" vertical="center"/>
    </xf>
    <xf numFmtId="0" fontId="102" fillId="0" borderId="84" xfId="0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/>
    </xf>
    <xf numFmtId="0" fontId="102" fillId="0" borderId="96" xfId="0" applyFont="1" applyBorder="1" applyAlignment="1">
      <alignment horizontal="center" vertical="center"/>
    </xf>
    <xf numFmtId="164" fontId="80" fillId="0" borderId="89" xfId="0" applyNumberFormat="1" applyFont="1" applyBorder="1" applyAlignment="1">
      <alignment horizontal="center" vertical="center"/>
    </xf>
    <xf numFmtId="0" fontId="105" fillId="0" borderId="0" xfId="0" applyFont="1">
      <alignment vertical="center"/>
    </xf>
    <xf numFmtId="2" fontId="107" fillId="0" borderId="26" xfId="0" applyNumberFormat="1" applyFont="1" applyBorder="1" applyAlignment="1">
      <alignment horizontal="center" vertical="center"/>
    </xf>
    <xf numFmtId="0" fontId="103" fillId="0" borderId="25" xfId="0" applyFont="1" applyBorder="1" applyAlignment="1">
      <alignment horizontal="center" vertical="center"/>
    </xf>
    <xf numFmtId="2" fontId="104" fillId="0" borderId="81" xfId="0" applyNumberFormat="1" applyFont="1" applyBorder="1" applyAlignment="1">
      <alignment horizontal="center" vertical="center"/>
    </xf>
    <xf numFmtId="0" fontId="112" fillId="0" borderId="88" xfId="0" applyFont="1" applyBorder="1" applyAlignment="1">
      <alignment horizontal="center" vertical="center"/>
    </xf>
    <xf numFmtId="0" fontId="93" fillId="0" borderId="83" xfId="0" applyFont="1" applyBorder="1">
      <alignment vertical="center"/>
    </xf>
    <xf numFmtId="164" fontId="80" fillId="0" borderId="128" xfId="0" applyNumberFormat="1" applyFont="1" applyBorder="1" applyAlignment="1">
      <alignment horizontal="center" vertical="center"/>
    </xf>
    <xf numFmtId="0" fontId="101" fillId="0" borderId="26" xfId="0" applyFont="1" applyBorder="1" applyAlignment="1">
      <alignment horizontal="center"/>
    </xf>
    <xf numFmtId="0" fontId="103" fillId="0" borderId="26" xfId="0" applyFont="1" applyBorder="1" applyAlignment="1">
      <alignment horizontal="center" vertical="center"/>
    </xf>
    <xf numFmtId="2" fontId="104" fillId="0" borderId="82" xfId="0" applyNumberFormat="1" applyFont="1" applyBorder="1" applyAlignment="1">
      <alignment horizontal="center" vertical="center"/>
    </xf>
    <xf numFmtId="0" fontId="105" fillId="0" borderId="91" xfId="0" applyFont="1" applyBorder="1" applyAlignment="1">
      <alignment horizontal="center" vertical="center"/>
    </xf>
    <xf numFmtId="164" fontId="71" fillId="0" borderId="128" xfId="0" applyNumberFormat="1" applyFont="1" applyBorder="1" applyAlignment="1">
      <alignment horizontal="center" vertical="center"/>
    </xf>
    <xf numFmtId="2" fontId="97" fillId="0" borderId="70" xfId="0" applyNumberFormat="1" applyFont="1" applyBorder="1" applyAlignment="1">
      <alignment horizontal="center" vertical="center"/>
    </xf>
    <xf numFmtId="2" fontId="113" fillId="0" borderId="69" xfId="0" applyNumberFormat="1" applyFont="1" applyBorder="1" applyAlignment="1">
      <alignment horizontal="center" vertical="center"/>
    </xf>
    <xf numFmtId="2" fontId="114" fillId="0" borderId="33" xfId="0" applyNumberFormat="1" applyFont="1" applyBorder="1" applyAlignment="1">
      <alignment horizontal="center" vertical="center"/>
    </xf>
    <xf numFmtId="0" fontId="105" fillId="0" borderId="88" xfId="0" applyFont="1" applyBorder="1" applyAlignment="1">
      <alignment horizontal="center" vertical="center"/>
    </xf>
    <xf numFmtId="2" fontId="104" fillId="0" borderId="0" xfId="0" applyNumberFormat="1" applyFont="1" applyAlignment="1">
      <alignment horizontal="center" vertical="center"/>
    </xf>
    <xf numFmtId="2" fontId="103" fillId="0" borderId="0" xfId="0" applyNumberFormat="1" applyFont="1" applyAlignment="1">
      <alignment horizontal="center" vertical="center"/>
    </xf>
    <xf numFmtId="2" fontId="115" fillId="0" borderId="0" xfId="0" applyNumberFormat="1" applyFont="1" applyAlignment="1">
      <alignment horizontal="center" vertical="center"/>
    </xf>
    <xf numFmtId="0" fontId="105" fillId="0" borderId="83" xfId="0" applyFont="1" applyBorder="1" applyAlignment="1">
      <alignment horizontal="center" vertical="center"/>
    </xf>
    <xf numFmtId="0" fontId="102" fillId="0" borderId="66" xfId="0" applyFont="1" applyBorder="1" applyAlignment="1">
      <alignment horizontal="center" vertical="center"/>
    </xf>
    <xf numFmtId="0" fontId="102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16" fillId="0" borderId="52" xfId="0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2" fontId="102" fillId="0" borderId="0" xfId="0" applyNumberFormat="1" applyFont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7" fillId="0" borderId="27" xfId="0" applyFont="1" applyBorder="1" applyAlignment="1">
      <alignment horizontal="center" vertical="center"/>
    </xf>
    <xf numFmtId="0" fontId="118" fillId="0" borderId="2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2" fontId="79" fillId="0" borderId="82" xfId="0" applyNumberFormat="1" applyFont="1" applyBorder="1" applyAlignment="1">
      <alignment horizontal="center" vertical="center"/>
    </xf>
    <xf numFmtId="0" fontId="80" fillId="0" borderId="83" xfId="0" applyFont="1" applyBorder="1" applyAlignment="1">
      <alignment horizontal="center"/>
    </xf>
    <xf numFmtId="2" fontId="80" fillId="0" borderId="114" xfId="0" applyNumberFormat="1" applyFont="1" applyBorder="1" applyAlignment="1">
      <alignment horizontal="center" vertical="center"/>
    </xf>
    <xf numFmtId="0" fontId="79" fillId="0" borderId="83" xfId="0" applyFont="1" applyBorder="1" applyAlignment="1">
      <alignment horizontal="center"/>
    </xf>
    <xf numFmtId="2" fontId="80" fillId="0" borderId="115" xfId="0" applyNumberFormat="1" applyFont="1" applyBorder="1" applyAlignment="1">
      <alignment horizontal="center" vertical="center"/>
    </xf>
    <xf numFmtId="0" fontId="80" fillId="0" borderId="116" xfId="0" applyFont="1" applyBorder="1" applyAlignment="1">
      <alignment horizontal="center" vertical="center"/>
    </xf>
    <xf numFmtId="0" fontId="80" fillId="0" borderId="117" xfId="0" applyFont="1" applyBorder="1" applyAlignment="1">
      <alignment horizontal="center" vertical="center"/>
    </xf>
    <xf numFmtId="164" fontId="81" fillId="0" borderId="118" xfId="0" applyNumberFormat="1" applyFont="1" applyBorder="1" applyAlignment="1">
      <alignment horizontal="center" vertical="center"/>
    </xf>
    <xf numFmtId="2" fontId="80" fillId="0" borderId="78" xfId="0" applyNumberFormat="1" applyFont="1" applyBorder="1" applyAlignment="1">
      <alignment horizontal="center" vertical="center"/>
    </xf>
    <xf numFmtId="2" fontId="83" fillId="0" borderId="78" xfId="0" applyNumberFormat="1" applyFont="1" applyBorder="1" applyAlignment="1">
      <alignment horizontal="center" vertical="center"/>
    </xf>
    <xf numFmtId="2" fontId="84" fillId="0" borderId="78" xfId="0" applyNumberFormat="1" applyFont="1" applyBorder="1" applyAlignment="1">
      <alignment horizontal="center" vertical="center"/>
    </xf>
    <xf numFmtId="2" fontId="84" fillId="0" borderId="119" xfId="0" applyNumberFormat="1" applyFont="1" applyBorder="1" applyAlignment="1">
      <alignment horizontal="center" vertical="center"/>
    </xf>
    <xf numFmtId="0" fontId="80" fillId="0" borderId="120" xfId="0" applyFont="1" applyBorder="1" applyAlignment="1">
      <alignment horizontal="center" vertical="center"/>
    </xf>
    <xf numFmtId="0" fontId="80" fillId="0" borderId="121" xfId="0" applyFont="1" applyBorder="1" applyAlignment="1">
      <alignment horizontal="center" vertical="center"/>
    </xf>
    <xf numFmtId="164" fontId="81" fillId="0" borderId="122" xfId="0" applyNumberFormat="1" applyFont="1" applyBorder="1" applyAlignment="1">
      <alignment horizontal="center" vertical="center"/>
    </xf>
    <xf numFmtId="2" fontId="80" fillId="0" borderId="8" xfId="0" applyNumberFormat="1" applyFont="1" applyBorder="1" applyAlignment="1">
      <alignment horizontal="center" vertical="center"/>
    </xf>
    <xf numFmtId="2" fontId="84" fillId="0" borderId="8" xfId="0" applyNumberFormat="1" applyFont="1" applyBorder="1" applyAlignment="1">
      <alignment horizontal="center" vertical="center"/>
    </xf>
    <xf numFmtId="2" fontId="84" fillId="0" borderId="44" xfId="0" applyNumberFormat="1" applyFont="1" applyBorder="1" applyAlignment="1">
      <alignment horizontal="center" vertical="center"/>
    </xf>
    <xf numFmtId="165" fontId="81" fillId="0" borderId="122" xfId="0" applyNumberFormat="1" applyFont="1" applyBorder="1" applyAlignment="1">
      <alignment horizontal="center" vertical="center"/>
    </xf>
    <xf numFmtId="0" fontId="80" fillId="0" borderId="123" xfId="0" applyFont="1" applyBorder="1" applyAlignment="1">
      <alignment horizontal="center" vertical="center"/>
    </xf>
    <xf numFmtId="0" fontId="80" fillId="0" borderId="59" xfId="0" applyFont="1" applyBorder="1" applyAlignment="1">
      <alignment horizontal="center" vertical="center"/>
    </xf>
    <xf numFmtId="0" fontId="80" fillId="0" borderId="124" xfId="0" applyFont="1" applyBorder="1" applyAlignment="1">
      <alignment horizontal="center" vertical="center"/>
    </xf>
    <xf numFmtId="0" fontId="80" fillId="0" borderId="88" xfId="0" applyFont="1" applyBorder="1" applyAlignment="1">
      <alignment horizontal="center" vertical="center"/>
    </xf>
    <xf numFmtId="1" fontId="80" fillId="0" borderId="0" xfId="0" applyNumberFormat="1" applyFont="1" applyAlignment="1">
      <alignment horizontal="center" vertical="center"/>
    </xf>
    <xf numFmtId="0" fontId="80" fillId="0" borderId="6" xfId="0" applyFont="1" applyBorder="1" applyAlignment="1">
      <alignment horizontal="center" vertical="center"/>
    </xf>
    <xf numFmtId="2" fontId="71" fillId="0" borderId="8" xfId="0" applyNumberFormat="1" applyFont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76" fillId="0" borderId="120" xfId="0" applyFont="1" applyBorder="1" applyAlignment="1">
      <alignment horizontal="center" vertical="center"/>
    </xf>
    <xf numFmtId="0" fontId="76" fillId="0" borderId="121" xfId="0" applyFont="1" applyBorder="1" applyAlignment="1">
      <alignment horizontal="center" vertical="center"/>
    </xf>
    <xf numFmtId="164" fontId="76" fillId="0" borderId="122" xfId="0" applyNumberFormat="1" applyFont="1" applyBorder="1" applyAlignment="1">
      <alignment horizontal="center" vertical="center"/>
    </xf>
    <xf numFmtId="2" fontId="76" fillId="0" borderId="8" xfId="0" applyNumberFormat="1" applyFont="1" applyBorder="1" applyAlignment="1">
      <alignment horizontal="center" vertical="center"/>
    </xf>
    <xf numFmtId="2" fontId="76" fillId="0" borderId="44" xfId="0" applyNumberFormat="1" applyFont="1" applyBorder="1" applyAlignment="1">
      <alignment horizontal="center" vertical="center"/>
    </xf>
    <xf numFmtId="0" fontId="85" fillId="0" borderId="120" xfId="0" applyFont="1" applyBorder="1" applyAlignment="1">
      <alignment horizontal="center" vertical="center"/>
    </xf>
    <xf numFmtId="0" fontId="86" fillId="0" borderId="121" xfId="0" applyFont="1" applyBorder="1" applyAlignment="1">
      <alignment horizontal="center" vertical="center"/>
    </xf>
    <xf numFmtId="2" fontId="86" fillId="0" borderId="8" xfId="0" applyNumberFormat="1" applyFont="1" applyBorder="1" applyAlignment="1">
      <alignment horizontal="center" vertical="center"/>
    </xf>
    <xf numFmtId="2" fontId="86" fillId="0" borderId="44" xfId="0" applyNumberFormat="1" applyFont="1" applyBorder="1" applyAlignment="1">
      <alignment horizontal="center" vertical="center"/>
    </xf>
    <xf numFmtId="0" fontId="87" fillId="0" borderId="120" xfId="0" applyFont="1" applyBorder="1" applyAlignment="1">
      <alignment horizontal="center" vertical="center"/>
    </xf>
    <xf numFmtId="166" fontId="88" fillId="0" borderId="121" xfId="0" applyNumberFormat="1" applyFont="1" applyBorder="1" applyAlignment="1">
      <alignment horizontal="center" vertical="center"/>
    </xf>
    <xf numFmtId="164" fontId="88" fillId="0" borderId="122" xfId="0" applyNumberFormat="1" applyFont="1" applyBorder="1" applyAlignment="1">
      <alignment horizontal="center" vertical="center" wrapText="1"/>
    </xf>
    <xf numFmtId="2" fontId="88" fillId="0" borderId="8" xfId="0" applyNumberFormat="1" applyFont="1" applyBorder="1" applyAlignment="1">
      <alignment horizontal="center" vertical="center"/>
    </xf>
    <xf numFmtId="2" fontId="88" fillId="0" borderId="44" xfId="0" applyNumberFormat="1" applyFont="1" applyBorder="1" applyAlignment="1">
      <alignment horizontal="center" vertical="center"/>
    </xf>
    <xf numFmtId="164" fontId="88" fillId="0" borderId="122" xfId="0" applyNumberFormat="1" applyFont="1" applyBorder="1" applyAlignment="1">
      <alignment horizontal="center" vertical="center"/>
    </xf>
    <xf numFmtId="0" fontId="71" fillId="0" borderId="120" xfId="0" applyFont="1" applyBorder="1" applyAlignment="1">
      <alignment horizontal="center" vertical="center"/>
    </xf>
    <xf numFmtId="0" fontId="71" fillId="0" borderId="121" xfId="0" applyFont="1" applyBorder="1" applyAlignment="1">
      <alignment horizontal="center" vertical="center"/>
    </xf>
    <xf numFmtId="164" fontId="71" fillId="0" borderId="122" xfId="0" applyNumberFormat="1" applyFont="1" applyBorder="1" applyAlignment="1">
      <alignment horizontal="center" vertical="center"/>
    </xf>
    <xf numFmtId="2" fontId="71" fillId="0" borderId="44" xfId="0" applyNumberFormat="1" applyFont="1" applyBorder="1" applyAlignment="1">
      <alignment horizontal="center" vertical="center"/>
    </xf>
    <xf numFmtId="2" fontId="71" fillId="0" borderId="125" xfId="0" applyNumberFormat="1" applyFont="1" applyBorder="1" applyAlignment="1">
      <alignment horizontal="center" vertical="center"/>
    </xf>
    <xf numFmtId="2" fontId="71" fillId="0" borderId="121" xfId="0" applyNumberFormat="1" applyFont="1" applyBorder="1" applyAlignment="1">
      <alignment horizontal="center" vertical="center"/>
    </xf>
    <xf numFmtId="2" fontId="71" fillId="0" borderId="51" xfId="0" applyNumberFormat="1" applyFont="1" applyBorder="1" applyAlignment="1">
      <alignment horizontal="center" vertical="center"/>
    </xf>
    <xf numFmtId="0" fontId="71" fillId="0" borderId="126" xfId="0" applyFont="1" applyBorder="1" applyAlignment="1">
      <alignment horizontal="center" vertical="center"/>
    </xf>
    <xf numFmtId="0" fontId="71" fillId="0" borderId="123" xfId="0" applyFont="1" applyBorder="1" applyAlignment="1">
      <alignment horizontal="center" vertical="center"/>
    </xf>
    <xf numFmtId="164" fontId="71" fillId="0" borderId="127" xfId="0" applyNumberFormat="1" applyFont="1" applyBorder="1" applyAlignment="1">
      <alignment horizontal="center" vertical="center"/>
    </xf>
    <xf numFmtId="2" fontId="71" fillId="0" borderId="59" xfId="0" applyNumberFormat="1" applyFont="1" applyBorder="1" applyAlignment="1">
      <alignment horizontal="center" vertical="center"/>
    </xf>
    <xf numFmtId="2" fontId="80" fillId="0" borderId="70" xfId="0" applyNumberFormat="1" applyFont="1" applyBorder="1" applyAlignment="1">
      <alignment horizontal="center" vertical="center"/>
    </xf>
    <xf numFmtId="2" fontId="80" fillId="0" borderId="100" xfId="0" applyNumberFormat="1" applyFont="1" applyBorder="1" applyAlignment="1">
      <alignment horizontal="center" vertical="center"/>
    </xf>
    <xf numFmtId="2" fontId="80" fillId="0" borderId="69" xfId="0" applyNumberFormat="1" applyFont="1" applyBorder="1" applyAlignment="1">
      <alignment horizontal="center" vertical="center"/>
    </xf>
    <xf numFmtId="0" fontId="80" fillId="0" borderId="84" xfId="0" applyFont="1" applyBorder="1" applyAlignment="1">
      <alignment horizontal="center" vertical="center"/>
    </xf>
    <xf numFmtId="0" fontId="81" fillId="0" borderId="25" xfId="0" applyFont="1" applyBorder="1" applyAlignment="1">
      <alignment horizontal="center" vertical="center"/>
    </xf>
    <xf numFmtId="2" fontId="82" fillId="0" borderId="81" xfId="0" applyNumberFormat="1" applyFont="1" applyBorder="1" applyAlignment="1">
      <alignment horizontal="center" vertical="center"/>
    </xf>
    <xf numFmtId="2" fontId="82" fillId="0" borderId="82" xfId="0" applyNumberFormat="1" applyFont="1" applyBorder="1" applyAlignment="1">
      <alignment horizontal="center" vertical="center"/>
    </xf>
    <xf numFmtId="2" fontId="82" fillId="0" borderId="70" xfId="0" applyNumberFormat="1" applyFont="1" applyBorder="1" applyAlignment="1">
      <alignment horizontal="center" vertical="center"/>
    </xf>
    <xf numFmtId="2" fontId="81" fillId="0" borderId="69" xfId="0" applyNumberFormat="1" applyFont="1" applyBorder="1" applyAlignment="1">
      <alignment horizontal="center" vertical="center"/>
    </xf>
    <xf numFmtId="2" fontId="119" fillId="0" borderId="33" xfId="0" applyNumberFormat="1" applyFont="1" applyBorder="1" applyAlignment="1">
      <alignment horizontal="center" vertical="center"/>
    </xf>
    <xf numFmtId="0" fontId="71" fillId="0" borderId="88" xfId="0" applyFont="1" applyBorder="1" applyAlignment="1">
      <alignment horizontal="center" vertical="center"/>
    </xf>
    <xf numFmtId="2" fontId="82" fillId="0" borderId="0" xfId="0" applyNumberFormat="1" applyFont="1" applyAlignment="1">
      <alignment horizontal="center" vertical="center"/>
    </xf>
    <xf numFmtId="2" fontId="81" fillId="0" borderId="0" xfId="0" applyNumberFormat="1" applyFont="1" applyAlignment="1">
      <alignment horizontal="center" vertical="center"/>
    </xf>
    <xf numFmtId="2" fontId="119" fillId="0" borderId="0" xfId="0" applyNumberFormat="1" applyFont="1" applyAlignment="1">
      <alignment horizontal="center" vertical="center"/>
    </xf>
    <xf numFmtId="0" fontId="71" fillId="0" borderId="83" xfId="0" applyFont="1" applyBorder="1" applyAlignment="1">
      <alignment horizontal="center" vertical="center"/>
    </xf>
    <xf numFmtId="0" fontId="80" fillId="0" borderId="21" xfId="0" applyFont="1" applyBorder="1" applyAlignment="1">
      <alignment horizontal="center" vertical="center"/>
    </xf>
    <xf numFmtId="0" fontId="89" fillId="0" borderId="20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2" fontId="80" fillId="0" borderId="0" xfId="0" applyNumberFormat="1" applyFont="1" applyAlignment="1">
      <alignment horizontal="center" vertical="center"/>
    </xf>
    <xf numFmtId="0" fontId="65" fillId="0" borderId="32" xfId="0" applyFont="1" applyBorder="1" applyAlignment="1">
      <alignment horizontal="center" vertical="center"/>
    </xf>
    <xf numFmtId="0" fontId="61" fillId="0" borderId="70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27" xfId="0" applyFont="1" applyBorder="1" applyAlignment="1">
      <alignment horizontal="center" vertical="center"/>
    </xf>
    <xf numFmtId="0" fontId="45" fillId="0" borderId="27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2" fontId="48" fillId="0" borderId="82" xfId="0" applyNumberFormat="1" applyFont="1" applyBorder="1" applyAlignment="1">
      <alignment horizontal="center" vertical="center"/>
    </xf>
    <xf numFmtId="2" fontId="49" fillId="0" borderId="114" xfId="0" applyNumberFormat="1" applyFont="1" applyBorder="1" applyAlignment="1">
      <alignment horizontal="center" vertical="center"/>
    </xf>
    <xf numFmtId="0" fontId="48" fillId="0" borderId="83" xfId="0" applyFont="1" applyBorder="1" applyAlignment="1">
      <alignment horizontal="center"/>
    </xf>
    <xf numFmtId="2" fontId="49" fillId="0" borderId="115" xfId="0" applyNumberFormat="1" applyFont="1" applyBorder="1" applyAlignment="1">
      <alignment horizontal="center" vertical="center"/>
    </xf>
    <xf numFmtId="0" fontId="49" fillId="0" borderId="116" xfId="0" applyFont="1" applyBorder="1" applyAlignment="1">
      <alignment horizontal="center" vertical="center"/>
    </xf>
    <xf numFmtId="0" fontId="49" fillId="0" borderId="117" xfId="0" applyFont="1" applyBorder="1" applyAlignment="1">
      <alignment horizontal="center" vertical="center"/>
    </xf>
    <xf numFmtId="164" fontId="50" fillId="0" borderId="118" xfId="0" applyNumberFormat="1" applyFont="1" applyBorder="1" applyAlignment="1">
      <alignment horizontal="center" vertical="center"/>
    </xf>
    <xf numFmtId="2" fontId="49" fillId="0" borderId="78" xfId="0" applyNumberFormat="1" applyFont="1" applyBorder="1" applyAlignment="1">
      <alignment horizontal="center" vertical="center"/>
    </xf>
    <xf numFmtId="2" fontId="53" fillId="0" borderId="78" xfId="0" applyNumberFormat="1" applyFont="1" applyBorder="1" applyAlignment="1">
      <alignment horizontal="center" vertical="center"/>
    </xf>
    <xf numFmtId="2" fontId="54" fillId="0" borderId="78" xfId="0" applyNumberFormat="1" applyFont="1" applyBorder="1" applyAlignment="1">
      <alignment horizontal="center" vertical="center"/>
    </xf>
    <xf numFmtId="2" fontId="54" fillId="0" borderId="119" xfId="0" applyNumberFormat="1" applyFont="1" applyBorder="1" applyAlignment="1">
      <alignment horizontal="center" vertical="center"/>
    </xf>
    <xf numFmtId="0" fontId="49" fillId="0" borderId="120" xfId="0" applyFont="1" applyBorder="1" applyAlignment="1">
      <alignment horizontal="center" vertical="center"/>
    </xf>
    <xf numFmtId="0" fontId="49" fillId="0" borderId="121" xfId="0" applyFont="1" applyBorder="1" applyAlignment="1">
      <alignment horizontal="center" vertical="center"/>
    </xf>
    <xf numFmtId="164" fontId="50" fillId="0" borderId="122" xfId="0" applyNumberFormat="1" applyFont="1" applyBorder="1" applyAlignment="1">
      <alignment horizontal="center" vertical="center"/>
    </xf>
    <xf numFmtId="2" fontId="49" fillId="0" borderId="8" xfId="0" applyNumberFormat="1" applyFont="1" applyBorder="1" applyAlignment="1">
      <alignment horizontal="center" vertical="center"/>
    </xf>
    <xf numFmtId="2" fontId="54" fillId="0" borderId="8" xfId="0" applyNumberFormat="1" applyFont="1" applyBorder="1" applyAlignment="1">
      <alignment horizontal="center" vertical="center"/>
    </xf>
    <xf numFmtId="2" fontId="54" fillId="0" borderId="44" xfId="0" applyNumberFormat="1" applyFont="1" applyBorder="1" applyAlignment="1">
      <alignment horizontal="center" vertical="center"/>
    </xf>
    <xf numFmtId="165" fontId="50" fillId="0" borderId="122" xfId="0" applyNumberFormat="1" applyFont="1" applyBorder="1" applyAlignment="1">
      <alignment horizontal="center" vertical="center"/>
    </xf>
    <xf numFmtId="0" fontId="49" fillId="0" borderId="123" xfId="0" applyFont="1" applyBorder="1" applyAlignment="1">
      <alignment horizontal="center" vertical="center"/>
    </xf>
    <xf numFmtId="0" fontId="49" fillId="0" borderId="59" xfId="0" applyFont="1" applyBorder="1" applyAlignment="1">
      <alignment horizontal="center" vertical="center"/>
    </xf>
    <xf numFmtId="0" fontId="49" fillId="0" borderId="124" xfId="0" applyFont="1" applyBorder="1" applyAlignment="1">
      <alignment horizontal="center" vertical="center"/>
    </xf>
    <xf numFmtId="0" fontId="49" fillId="0" borderId="88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2" fontId="52" fillId="0" borderId="8" xfId="0" applyNumberFormat="1" applyFont="1" applyBorder="1" applyAlignment="1">
      <alignment horizontal="center" vertical="center"/>
    </xf>
    <xf numFmtId="0" fontId="45" fillId="0" borderId="120" xfId="0" applyFont="1" applyBorder="1" applyAlignment="1">
      <alignment horizontal="center" vertical="center"/>
    </xf>
    <xf numFmtId="0" fontId="45" fillId="0" borderId="121" xfId="0" applyFont="1" applyBorder="1" applyAlignment="1">
      <alignment horizontal="center" vertical="center"/>
    </xf>
    <xf numFmtId="164" fontId="45" fillId="0" borderId="122" xfId="0" applyNumberFormat="1" applyFont="1" applyBorder="1" applyAlignment="1">
      <alignment horizontal="center" vertical="center"/>
    </xf>
    <xf numFmtId="2" fontId="45" fillId="0" borderId="8" xfId="0" applyNumberFormat="1" applyFont="1" applyBorder="1" applyAlignment="1">
      <alignment horizontal="center" vertical="center"/>
    </xf>
    <xf numFmtId="2" fontId="45" fillId="0" borderId="44" xfId="0" applyNumberFormat="1" applyFont="1" applyBorder="1" applyAlignment="1">
      <alignment horizontal="center" vertical="center"/>
    </xf>
    <xf numFmtId="0" fontId="55" fillId="0" borderId="120" xfId="0" applyFont="1" applyBorder="1" applyAlignment="1">
      <alignment horizontal="center" vertical="center"/>
    </xf>
    <xf numFmtId="0" fontId="56" fillId="0" borderId="121" xfId="0" applyFont="1" applyBorder="1" applyAlignment="1">
      <alignment horizontal="center" vertical="center"/>
    </xf>
    <xf numFmtId="2" fontId="56" fillId="0" borderId="8" xfId="0" applyNumberFormat="1" applyFont="1" applyBorder="1" applyAlignment="1">
      <alignment horizontal="center" vertical="center"/>
    </xf>
    <xf numFmtId="2" fontId="56" fillId="0" borderId="44" xfId="0" applyNumberFormat="1" applyFont="1" applyBorder="1" applyAlignment="1">
      <alignment horizontal="center" vertical="center"/>
    </xf>
    <xf numFmtId="0" fontId="57" fillId="0" borderId="120" xfId="0" applyFont="1" applyBorder="1" applyAlignment="1">
      <alignment horizontal="center" vertical="center"/>
    </xf>
    <xf numFmtId="166" fontId="58" fillId="0" borderId="121" xfId="0" applyNumberFormat="1" applyFont="1" applyBorder="1" applyAlignment="1">
      <alignment horizontal="center" vertical="center"/>
    </xf>
    <xf numFmtId="164" fontId="58" fillId="0" borderId="122" xfId="0" applyNumberFormat="1" applyFont="1" applyBorder="1" applyAlignment="1">
      <alignment horizontal="center" vertical="center" wrapText="1"/>
    </xf>
    <xf numFmtId="2" fontId="58" fillId="0" borderId="8" xfId="0" applyNumberFormat="1" applyFont="1" applyBorder="1" applyAlignment="1">
      <alignment horizontal="center" vertical="center"/>
    </xf>
    <xf numFmtId="2" fontId="58" fillId="0" borderId="44" xfId="0" applyNumberFormat="1" applyFont="1" applyBorder="1" applyAlignment="1">
      <alignment horizontal="center" vertical="center"/>
    </xf>
    <xf numFmtId="164" fontId="58" fillId="0" borderId="122" xfId="0" applyNumberFormat="1" applyFont="1" applyBorder="1" applyAlignment="1">
      <alignment horizontal="center" vertical="center"/>
    </xf>
    <xf numFmtId="0" fontId="52" fillId="0" borderId="120" xfId="0" applyFont="1" applyBorder="1" applyAlignment="1">
      <alignment horizontal="center" vertical="center"/>
    </xf>
    <xf numFmtId="0" fontId="52" fillId="0" borderId="121" xfId="0" applyFont="1" applyBorder="1" applyAlignment="1">
      <alignment horizontal="center" vertical="center"/>
    </xf>
    <xf numFmtId="164" fontId="52" fillId="0" borderId="122" xfId="0" applyNumberFormat="1" applyFont="1" applyBorder="1" applyAlignment="1">
      <alignment horizontal="center" vertical="center"/>
    </xf>
    <xf numFmtId="2" fontId="52" fillId="0" borderId="44" xfId="0" applyNumberFormat="1" applyFont="1" applyBorder="1" applyAlignment="1">
      <alignment horizontal="center" vertical="center"/>
    </xf>
    <xf numFmtId="2" fontId="52" fillId="0" borderId="125" xfId="0" applyNumberFormat="1" applyFont="1" applyBorder="1" applyAlignment="1">
      <alignment horizontal="center" vertical="center"/>
    </xf>
    <xf numFmtId="2" fontId="52" fillId="0" borderId="121" xfId="0" applyNumberFormat="1" applyFont="1" applyBorder="1" applyAlignment="1">
      <alignment horizontal="center" vertical="center"/>
    </xf>
    <xf numFmtId="2" fontId="52" fillId="0" borderId="51" xfId="0" applyNumberFormat="1" applyFont="1" applyBorder="1" applyAlignment="1">
      <alignment horizontal="center" vertical="center"/>
    </xf>
    <xf numFmtId="0" fontId="52" fillId="0" borderId="126" xfId="0" applyFont="1" applyBorder="1" applyAlignment="1">
      <alignment horizontal="center" vertical="center"/>
    </xf>
    <xf numFmtId="0" fontId="52" fillId="0" borderId="59" xfId="0" applyFont="1" applyBorder="1">
      <alignment vertical="center"/>
    </xf>
    <xf numFmtId="0" fontId="41" fillId="0" borderId="59" xfId="0" applyFont="1" applyBorder="1">
      <alignment vertical="center"/>
    </xf>
    <xf numFmtId="0" fontId="52" fillId="0" borderId="123" xfId="0" applyFont="1" applyBorder="1" applyAlignment="1">
      <alignment horizontal="center" vertical="center"/>
    </xf>
    <xf numFmtId="164" fontId="52" fillId="0" borderId="127" xfId="0" applyNumberFormat="1" applyFont="1" applyBorder="1" applyAlignment="1">
      <alignment horizontal="center" vertical="center"/>
    </xf>
    <xf numFmtId="2" fontId="52" fillId="0" borderId="59" xfId="0" applyNumberFormat="1" applyFont="1" applyBorder="1" applyAlignment="1">
      <alignment horizontal="center" vertical="center"/>
    </xf>
    <xf numFmtId="0" fontId="49" fillId="0" borderId="89" xfId="0" applyFont="1" applyBorder="1" applyAlignment="1">
      <alignment horizontal="center"/>
    </xf>
    <xf numFmtId="0" fontId="52" fillId="0" borderId="89" xfId="0" applyFont="1" applyBorder="1" applyAlignment="1">
      <alignment horizontal="center" vertical="center"/>
    </xf>
    <xf numFmtId="2" fontId="49" fillId="0" borderId="70" xfId="0" applyNumberFormat="1" applyFont="1" applyBorder="1" applyAlignment="1">
      <alignment horizontal="center" vertical="center"/>
    </xf>
    <xf numFmtId="2" fontId="49" fillId="0" borderId="100" xfId="0" applyNumberFormat="1" applyFont="1" applyBorder="1" applyAlignment="1">
      <alignment horizontal="center" vertical="center"/>
    </xf>
    <xf numFmtId="2" fontId="49" fillId="0" borderId="69" xfId="0" applyNumberFormat="1" applyFont="1" applyBorder="1" applyAlignment="1">
      <alignment horizontal="center" vertical="center"/>
    </xf>
    <xf numFmtId="0" fontId="49" fillId="0" borderId="95" xfId="0" applyFont="1" applyBorder="1" applyAlignment="1">
      <alignment horizontal="center" vertical="center"/>
    </xf>
    <xf numFmtId="0" fontId="49" fillId="0" borderId="96" xfId="0" applyFont="1" applyBorder="1" applyAlignment="1">
      <alignment horizontal="center" vertical="center"/>
    </xf>
    <xf numFmtId="164" fontId="49" fillId="0" borderId="89" xfId="0" applyNumberFormat="1" applyFont="1" applyBorder="1" applyAlignment="1">
      <alignment horizontal="center" vertical="center"/>
    </xf>
    <xf numFmtId="0" fontId="52" fillId="0" borderId="0" xfId="0" applyFont="1">
      <alignment vertical="center"/>
    </xf>
    <xf numFmtId="0" fontId="50" fillId="0" borderId="25" xfId="0" applyFont="1" applyBorder="1" applyAlignment="1">
      <alignment horizontal="center" vertical="center"/>
    </xf>
    <xf numFmtId="2" fontId="51" fillId="0" borderId="81" xfId="0" applyNumberFormat="1" applyFont="1" applyBorder="1" applyAlignment="1">
      <alignment horizontal="center" vertical="center"/>
    </xf>
    <xf numFmtId="0" fontId="120" fillId="0" borderId="88" xfId="0" applyFont="1" applyBorder="1" applyAlignment="1">
      <alignment horizontal="center" vertical="center"/>
    </xf>
    <xf numFmtId="0" fontId="41" fillId="0" borderId="83" xfId="0" applyFont="1" applyBorder="1">
      <alignment vertical="center"/>
    </xf>
    <xf numFmtId="164" fontId="49" fillId="0" borderId="128" xfId="0" applyNumberFormat="1" applyFont="1" applyBorder="1" applyAlignment="1">
      <alignment horizontal="center" vertical="center"/>
    </xf>
    <xf numFmtId="0" fontId="50" fillId="0" borderId="26" xfId="0" applyFont="1" applyBorder="1" applyAlignment="1">
      <alignment horizontal="center" vertical="center"/>
    </xf>
    <xf numFmtId="2" fontId="51" fillId="0" borderId="82" xfId="0" applyNumberFormat="1" applyFont="1" applyBorder="1" applyAlignment="1">
      <alignment horizontal="center" vertical="center"/>
    </xf>
    <xf numFmtId="0" fontId="52" fillId="0" borderId="91" xfId="0" applyFont="1" applyBorder="1" applyAlignment="1">
      <alignment horizontal="center" vertical="center"/>
    </xf>
    <xf numFmtId="164" fontId="52" fillId="0" borderId="128" xfId="0" applyNumberFormat="1" applyFont="1" applyBorder="1" applyAlignment="1">
      <alignment horizontal="center" vertical="center"/>
    </xf>
    <xf numFmtId="2" fontId="51" fillId="0" borderId="70" xfId="0" applyNumberFormat="1" applyFont="1" applyBorder="1" applyAlignment="1">
      <alignment horizontal="center" vertical="center"/>
    </xf>
    <xf numFmtId="2" fontId="50" fillId="0" borderId="69" xfId="0" applyNumberFormat="1" applyFont="1" applyBorder="1" applyAlignment="1">
      <alignment horizontal="center" vertical="center"/>
    </xf>
    <xf numFmtId="2" fontId="121" fillId="0" borderId="33" xfId="0" applyNumberFormat="1" applyFont="1" applyBorder="1" applyAlignment="1">
      <alignment horizontal="center" vertical="center"/>
    </xf>
    <xf numFmtId="0" fontId="52" fillId="0" borderId="88" xfId="0" applyFont="1" applyBorder="1" applyAlignment="1">
      <alignment horizontal="center" vertical="center"/>
    </xf>
    <xf numFmtId="164" fontId="52" fillId="0" borderId="129" xfId="0" applyNumberFormat="1" applyFont="1" applyBorder="1" applyAlignment="1">
      <alignment horizontal="center" vertical="center"/>
    </xf>
    <xf numFmtId="2" fontId="51" fillId="0" borderId="0" xfId="0" applyNumberFormat="1" applyFont="1" applyAlignment="1">
      <alignment horizontal="center" vertical="center"/>
    </xf>
    <xf numFmtId="2" fontId="50" fillId="0" borderId="0" xfId="0" applyNumberFormat="1" applyFont="1" applyAlignment="1">
      <alignment horizontal="center" vertical="center"/>
    </xf>
    <xf numFmtId="2" fontId="121" fillId="0" borderId="0" xfId="0" applyNumberFormat="1" applyFont="1" applyAlignment="1">
      <alignment horizontal="center" vertical="center"/>
    </xf>
    <xf numFmtId="0" fontId="52" fillId="0" borderId="83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120" fillId="0" borderId="20" xfId="0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2" fontId="49" fillId="0" borderId="0" xfId="0" applyNumberFormat="1" applyFont="1" applyAlignment="1">
      <alignment horizontal="center" vertical="center"/>
    </xf>
    <xf numFmtId="0" fontId="90" fillId="0" borderId="70" xfId="0" applyFont="1" applyBorder="1" applyAlignment="1">
      <alignment horizontal="center" vertical="center"/>
    </xf>
    <xf numFmtId="164" fontId="71" fillId="0" borderId="129" xfId="0" applyNumberFormat="1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2" fontId="70" fillId="0" borderId="0" xfId="0" applyNumberFormat="1" applyFont="1" applyAlignment="1">
      <alignment horizontal="center" vertical="center"/>
    </xf>
    <xf numFmtId="2" fontId="71" fillId="0" borderId="57" xfId="0" applyNumberFormat="1" applyFont="1" applyBorder="1" applyAlignment="1">
      <alignment horizontal="center" vertical="center"/>
    </xf>
    <xf numFmtId="2" fontId="71" fillId="0" borderId="130" xfId="0" applyNumberFormat="1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166" fontId="88" fillId="0" borderId="0" xfId="0" applyNumberFormat="1" applyFont="1" applyAlignment="1">
      <alignment horizontal="center"/>
    </xf>
    <xf numFmtId="0" fontId="87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 applyAlignment="1">
      <alignment horizontal="center"/>
    </xf>
    <xf numFmtId="0" fontId="71" fillId="0" borderId="0" xfId="0" applyFont="1" applyAlignment="1">
      <alignment horizontal="center" vertical="center"/>
    </xf>
    <xf numFmtId="0" fontId="80" fillId="0" borderId="122" xfId="0" applyFont="1" applyBorder="1" applyAlignment="1">
      <alignment horizontal="center" vertical="center"/>
    </xf>
    <xf numFmtId="0" fontId="80" fillId="0" borderId="51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2" fontId="93" fillId="0" borderId="0" xfId="0" applyNumberFormat="1" applyFont="1" applyAlignment="1">
      <alignment horizontal="center" vertical="center"/>
    </xf>
    <xf numFmtId="166" fontId="111" fillId="0" borderId="8" xfId="0" applyNumberFormat="1" applyFont="1" applyBorder="1" applyAlignment="1">
      <alignment horizontal="center"/>
    </xf>
    <xf numFmtId="2" fontId="105" fillId="0" borderId="0" xfId="0" applyNumberFormat="1" applyFont="1" applyAlignment="1">
      <alignment horizontal="center" vertical="center"/>
    </xf>
    <xf numFmtId="2" fontId="102" fillId="0" borderId="32" xfId="0" applyNumberFormat="1" applyFont="1" applyBorder="1" applyAlignment="1">
      <alignment horizontal="center" vertical="center"/>
    </xf>
    <xf numFmtId="164" fontId="102" fillId="0" borderId="66" xfId="0" applyNumberFormat="1" applyFont="1" applyBorder="1" applyAlignment="1">
      <alignment horizontal="center" vertical="center"/>
    </xf>
    <xf numFmtId="164" fontId="102" fillId="0" borderId="97" xfId="0" applyNumberFormat="1" applyFont="1" applyBorder="1" applyAlignment="1">
      <alignment horizontal="center" vertical="center"/>
    </xf>
    <xf numFmtId="164" fontId="105" fillId="0" borderId="97" xfId="0" applyNumberFormat="1" applyFont="1" applyBorder="1" applyAlignment="1">
      <alignment horizontal="center" vertical="center"/>
    </xf>
    <xf numFmtId="2" fontId="104" fillId="0" borderId="32" xfId="0" applyNumberFormat="1" applyFont="1" applyBorder="1" applyAlignment="1">
      <alignment horizontal="center" vertical="center"/>
    </xf>
    <xf numFmtId="2" fontId="103" fillId="0" borderId="69" xfId="0" applyNumberFormat="1" applyFont="1" applyBorder="1" applyAlignment="1">
      <alignment horizontal="center" vertical="center"/>
    </xf>
    <xf numFmtId="2" fontId="115" fillId="0" borderId="33" xfId="0" applyNumberFormat="1" applyFont="1" applyBorder="1" applyAlignment="1">
      <alignment horizontal="center" vertical="center"/>
    </xf>
    <xf numFmtId="164" fontId="105" fillId="0" borderId="129" xfId="0" applyNumberFormat="1" applyFont="1" applyBorder="1" applyAlignment="1">
      <alignment horizontal="center" vertical="center"/>
    </xf>
    <xf numFmtId="0" fontId="102" fillId="0" borderId="21" xfId="0" applyFont="1" applyBorder="1" applyAlignment="1">
      <alignment horizontal="center" vertical="center"/>
    </xf>
    <xf numFmtId="0" fontId="112" fillId="0" borderId="20" xfId="0" applyFont="1" applyBorder="1" applyAlignment="1">
      <alignment horizontal="center" vertical="center"/>
    </xf>
    <xf numFmtId="0" fontId="105" fillId="0" borderId="22" xfId="0" applyFont="1" applyBorder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22" fillId="0" borderId="0" xfId="0" applyFo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25" fillId="0" borderId="32" xfId="0" applyFont="1" applyBorder="1" applyAlignment="1">
      <alignment horizontal="center" vertical="center"/>
    </xf>
    <xf numFmtId="0" fontId="124" fillId="0" borderId="69" xfId="0" applyFont="1" applyBorder="1" applyAlignment="1">
      <alignment horizontal="center" vertical="center"/>
    </xf>
    <xf numFmtId="0" fontId="126" fillId="0" borderId="70" xfId="0" applyFont="1" applyBorder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28" fillId="0" borderId="27" xfId="0" applyFont="1" applyBorder="1" applyAlignment="1">
      <alignment horizontal="center" vertical="center"/>
    </xf>
    <xf numFmtId="0" fontId="127" fillId="0" borderId="27" xfId="0" applyFont="1" applyBorder="1" applyAlignment="1">
      <alignment horizontal="center" vertical="center"/>
    </xf>
    <xf numFmtId="0" fontId="129" fillId="0" borderId="27" xfId="0" applyFont="1" applyBorder="1" applyAlignment="1">
      <alignment horizontal="left" vertical="center"/>
    </xf>
    <xf numFmtId="0" fontId="130" fillId="0" borderId="0" xfId="0" applyFont="1" applyAlignment="1">
      <alignment horizontal="center"/>
    </xf>
    <xf numFmtId="0" fontId="130" fillId="0" borderId="0" xfId="0" applyFont="1" applyAlignment="1">
      <alignment horizontal="center" vertical="center"/>
    </xf>
    <xf numFmtId="2" fontId="130" fillId="0" borderId="82" xfId="0" applyNumberFormat="1" applyFont="1" applyBorder="1" applyAlignment="1">
      <alignment horizontal="center" vertical="center"/>
    </xf>
    <xf numFmtId="0" fontId="131" fillId="0" borderId="83" xfId="0" applyFont="1" applyBorder="1" applyAlignment="1">
      <alignment horizontal="center"/>
    </xf>
    <xf numFmtId="0" fontId="131" fillId="0" borderId="31" xfId="0" applyFont="1" applyBorder="1" applyAlignment="1">
      <alignment horizontal="center" vertical="center"/>
    </xf>
    <xf numFmtId="0" fontId="132" fillId="0" borderId="72" xfId="0" applyFont="1" applyBorder="1" applyAlignment="1">
      <alignment horizontal="center" vertical="center"/>
    </xf>
    <xf numFmtId="0" fontId="131" fillId="0" borderId="73" xfId="0" applyFont="1" applyBorder="1" applyAlignment="1">
      <alignment horizontal="center" vertical="center"/>
    </xf>
    <xf numFmtId="0" fontId="133" fillId="0" borderId="74" xfId="0" applyFont="1" applyBorder="1" applyAlignment="1">
      <alignment horizontal="center" vertical="center"/>
    </xf>
    <xf numFmtId="0" fontId="131" fillId="0" borderId="37" xfId="0" applyFont="1" applyBorder="1" applyAlignment="1">
      <alignment horizontal="center" vertical="center"/>
    </xf>
    <xf numFmtId="0" fontId="131" fillId="0" borderId="31" xfId="0" applyFont="1" applyBorder="1" applyAlignment="1">
      <alignment horizontal="center"/>
    </xf>
    <xf numFmtId="0" fontId="131" fillId="0" borderId="36" xfId="0" applyFont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0" fontId="131" fillId="0" borderId="35" xfId="0" applyFont="1" applyBorder="1" applyAlignment="1">
      <alignment horizontal="center" vertical="center"/>
    </xf>
    <xf numFmtId="0" fontId="133" fillId="0" borderId="0" xfId="0" applyFont="1" applyAlignment="1">
      <alignment horizontal="center" vertical="center"/>
    </xf>
    <xf numFmtId="0" fontId="131" fillId="0" borderId="27" xfId="0" applyFont="1" applyBorder="1" applyAlignment="1">
      <alignment horizontal="center" vertical="center"/>
    </xf>
    <xf numFmtId="2" fontId="131" fillId="0" borderId="114" xfId="0" applyNumberFormat="1" applyFont="1" applyBorder="1" applyAlignment="1">
      <alignment horizontal="center" vertical="center"/>
    </xf>
    <xf numFmtId="0" fontId="130" fillId="0" borderId="83" xfId="0" applyFont="1" applyBorder="1" applyAlignment="1">
      <alignment horizontal="center"/>
    </xf>
    <xf numFmtId="0" fontId="131" fillId="0" borderId="39" xfId="0" applyFont="1" applyBorder="1" applyAlignment="1">
      <alignment horizontal="center" vertical="center"/>
    </xf>
    <xf numFmtId="2" fontId="131" fillId="0" borderId="115" xfId="0" applyNumberFormat="1" applyFont="1" applyBorder="1" applyAlignment="1">
      <alignment horizontal="center" vertical="center"/>
    </xf>
    <xf numFmtId="0" fontId="131" fillId="0" borderId="116" xfId="0" applyFont="1" applyBorder="1" applyAlignment="1">
      <alignment horizontal="center" vertical="center"/>
    </xf>
    <xf numFmtId="0" fontId="131" fillId="0" borderId="78" xfId="0" applyFont="1" applyBorder="1" applyAlignment="1">
      <alignment horizontal="left" vertical="center"/>
    </xf>
    <xf numFmtId="0" fontId="131" fillId="0" borderId="78" xfId="0" applyFont="1" applyBorder="1" applyAlignment="1">
      <alignment horizontal="center" vertical="center"/>
    </xf>
    <xf numFmtId="0" fontId="122" fillId="0" borderId="78" xfId="0" applyFont="1" applyBorder="1" applyAlignment="1">
      <alignment horizontal="center" vertical="center"/>
    </xf>
    <xf numFmtId="164" fontId="132" fillId="0" borderId="78" xfId="0" applyNumberFormat="1" applyFont="1" applyBorder="1" applyAlignment="1">
      <alignment horizontal="center" vertical="center"/>
    </xf>
    <xf numFmtId="164" fontId="133" fillId="0" borderId="78" xfId="0" applyNumberFormat="1" applyFont="1" applyBorder="1" applyAlignment="1">
      <alignment horizontal="center" vertical="center"/>
    </xf>
    <xf numFmtId="1" fontId="131" fillId="0" borderId="78" xfId="0" applyNumberFormat="1" applyFont="1" applyBorder="1" applyAlignment="1">
      <alignment horizontal="center" vertical="center"/>
    </xf>
    <xf numFmtId="2" fontId="131" fillId="0" borderId="78" xfId="0" applyNumberFormat="1" applyFont="1" applyBorder="1" applyAlignment="1">
      <alignment horizontal="center" vertical="center"/>
    </xf>
    <xf numFmtId="2" fontId="134" fillId="0" borderId="78" xfId="0" applyNumberFormat="1" applyFont="1" applyBorder="1" applyAlignment="1">
      <alignment horizontal="center" vertical="center"/>
    </xf>
    <xf numFmtId="2" fontId="135" fillId="0" borderId="78" xfId="0" applyNumberFormat="1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/>
    </xf>
    <xf numFmtId="0" fontId="131" fillId="0" borderId="120" xfId="0" applyFont="1" applyBorder="1" applyAlignment="1">
      <alignment horizontal="center" vertical="center"/>
    </xf>
    <xf numFmtId="0" fontId="131" fillId="0" borderId="8" xfId="0" applyFont="1" applyBorder="1" applyAlignment="1">
      <alignment horizontal="left" vertical="center"/>
    </xf>
    <xf numFmtId="0" fontId="131" fillId="0" borderId="8" xfId="0" applyFont="1" applyBorder="1" applyAlignment="1">
      <alignment horizontal="center" vertical="center"/>
    </xf>
    <xf numFmtId="0" fontId="122" fillId="0" borderId="8" xfId="0" applyFont="1" applyBorder="1" applyAlignment="1">
      <alignment horizontal="center" vertical="center"/>
    </xf>
    <xf numFmtId="164" fontId="132" fillId="0" borderId="8" xfId="0" applyNumberFormat="1" applyFont="1" applyBorder="1" applyAlignment="1">
      <alignment horizontal="center" vertical="center"/>
    </xf>
    <xf numFmtId="164" fontId="133" fillId="0" borderId="8" xfId="0" applyNumberFormat="1" applyFont="1" applyBorder="1" applyAlignment="1">
      <alignment horizontal="center" vertical="center"/>
    </xf>
    <xf numFmtId="1" fontId="131" fillId="0" borderId="8" xfId="0" applyNumberFormat="1" applyFont="1" applyBorder="1" applyAlignment="1">
      <alignment horizontal="center" vertical="center"/>
    </xf>
    <xf numFmtId="2" fontId="131" fillId="0" borderId="8" xfId="0" applyNumberFormat="1" applyFont="1" applyBorder="1" applyAlignment="1">
      <alignment horizontal="center" vertical="center"/>
    </xf>
    <xf numFmtId="2" fontId="135" fillId="0" borderId="8" xfId="0" applyNumberFormat="1" applyFont="1" applyBorder="1" applyAlignment="1">
      <alignment horizontal="center" vertical="center"/>
    </xf>
    <xf numFmtId="2" fontId="135" fillId="0" borderId="44" xfId="0" applyNumberFormat="1" applyFont="1" applyBorder="1" applyAlignment="1">
      <alignment horizontal="center" vertical="center"/>
    </xf>
    <xf numFmtId="165" fontId="132" fillId="0" borderId="8" xfId="0" applyNumberFormat="1" applyFont="1" applyBorder="1" applyAlignment="1">
      <alignment horizontal="center" vertical="center"/>
    </xf>
    <xf numFmtId="165" fontId="133" fillId="0" borderId="8" xfId="0" applyNumberFormat="1" applyFont="1" applyBorder="1" applyAlignment="1">
      <alignment horizontal="center" vertical="center"/>
    </xf>
    <xf numFmtId="2" fontId="122" fillId="0" borderId="8" xfId="0" applyNumberFormat="1" applyFont="1" applyBorder="1" applyAlignment="1">
      <alignment horizontal="center" vertical="center"/>
    </xf>
    <xf numFmtId="0" fontId="127" fillId="0" borderId="120" xfId="0" applyFont="1" applyBorder="1" applyAlignment="1">
      <alignment horizontal="center" vertical="center"/>
    </xf>
    <xf numFmtId="0" fontId="127" fillId="0" borderId="8" xfId="0" applyFont="1" applyBorder="1" applyAlignment="1">
      <alignment horizontal="left" vertical="center"/>
    </xf>
    <xf numFmtId="0" fontId="127" fillId="0" borderId="8" xfId="0" applyFont="1" applyBorder="1" applyAlignment="1">
      <alignment horizontal="center" vertical="center"/>
    </xf>
    <xf numFmtId="164" fontId="127" fillId="0" borderId="8" xfId="0" applyNumberFormat="1" applyFont="1" applyBorder="1" applyAlignment="1">
      <alignment horizontal="center" vertical="center"/>
    </xf>
    <xf numFmtId="1" fontId="127" fillId="0" borderId="8" xfId="0" applyNumberFormat="1" applyFont="1" applyBorder="1" applyAlignment="1">
      <alignment horizontal="center" vertical="center"/>
    </xf>
    <xf numFmtId="2" fontId="127" fillId="0" borderId="8" xfId="0" applyNumberFormat="1" applyFont="1" applyBorder="1" applyAlignment="1">
      <alignment horizontal="center" vertical="center"/>
    </xf>
    <xf numFmtId="2" fontId="127" fillId="0" borderId="44" xfId="0" applyNumberFormat="1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0" borderId="8" xfId="0" applyFont="1" applyBorder="1" applyAlignment="1">
      <alignment horizontal="left" vertical="center"/>
    </xf>
    <xf numFmtId="0" fontId="137" fillId="0" borderId="8" xfId="0" applyFont="1" applyBorder="1" applyAlignment="1">
      <alignment horizontal="center" vertical="center"/>
    </xf>
    <xf numFmtId="164" fontId="137" fillId="0" borderId="8" xfId="0" applyNumberFormat="1" applyFont="1" applyBorder="1" applyAlignment="1">
      <alignment horizontal="center" vertical="center"/>
    </xf>
    <xf numFmtId="2" fontId="137" fillId="0" borderId="8" xfId="0" applyNumberFormat="1" applyFont="1" applyBorder="1" applyAlignment="1">
      <alignment horizontal="center" vertical="center"/>
    </xf>
    <xf numFmtId="2" fontId="137" fillId="0" borderId="44" xfId="0" applyNumberFormat="1" applyFont="1" applyBorder="1" applyAlignment="1">
      <alignment horizontal="center" vertical="center"/>
    </xf>
    <xf numFmtId="0" fontId="138" fillId="0" borderId="120" xfId="0" applyFont="1" applyBorder="1" applyAlignment="1">
      <alignment horizontal="center" vertical="center"/>
    </xf>
    <xf numFmtId="0" fontId="138" fillId="0" borderId="8" xfId="0" applyFont="1" applyBorder="1" applyAlignment="1">
      <alignment horizontal="left" vertical="center"/>
    </xf>
    <xf numFmtId="0" fontId="139" fillId="0" borderId="8" xfId="0" applyFont="1" applyBorder="1" applyAlignment="1">
      <alignment horizontal="center" vertical="center"/>
    </xf>
    <xf numFmtId="0" fontId="139" fillId="0" borderId="8" xfId="0" applyFont="1" applyBorder="1" applyAlignment="1">
      <alignment horizontal="center"/>
    </xf>
    <xf numFmtId="166" fontId="139" fillId="0" borderId="8" xfId="0" applyNumberFormat="1" applyFont="1" applyBorder="1" applyAlignment="1">
      <alignment horizontal="center" vertical="center"/>
    </xf>
    <xf numFmtId="164" fontId="139" fillId="0" borderId="8" xfId="0" applyNumberFormat="1" applyFont="1" applyBorder="1" applyAlignment="1">
      <alignment horizontal="center" vertical="center" wrapText="1"/>
    </xf>
    <xf numFmtId="166" fontId="139" fillId="0" borderId="8" xfId="0" applyNumberFormat="1" applyFont="1" applyBorder="1" applyAlignment="1">
      <alignment horizontal="center"/>
    </xf>
    <xf numFmtId="164" fontId="139" fillId="0" borderId="8" xfId="0" applyNumberFormat="1" applyFont="1" applyBorder="1" applyAlignment="1">
      <alignment horizontal="center" vertical="center"/>
    </xf>
    <xf numFmtId="2" fontId="139" fillId="0" borderId="8" xfId="0" applyNumberFormat="1" applyFont="1" applyBorder="1" applyAlignment="1">
      <alignment horizontal="center" vertical="center"/>
    </xf>
    <xf numFmtId="2" fontId="139" fillId="0" borderId="44" xfId="0" applyNumberFormat="1" applyFont="1" applyBorder="1" applyAlignment="1">
      <alignment horizontal="center" vertical="center"/>
    </xf>
    <xf numFmtId="0" fontId="122" fillId="0" borderId="120" xfId="0" applyFont="1" applyBorder="1" applyAlignment="1">
      <alignment horizontal="center" vertical="center"/>
    </xf>
    <xf numFmtId="0" fontId="122" fillId="0" borderId="8" xfId="0" applyFont="1" applyBorder="1">
      <alignment vertical="center"/>
    </xf>
    <xf numFmtId="0" fontId="0" fillId="0" borderId="8" xfId="0" applyBorder="1">
      <alignment vertical="center"/>
    </xf>
    <xf numFmtId="164" fontId="122" fillId="0" borderId="8" xfId="0" applyNumberFormat="1" applyFont="1" applyBorder="1" applyAlignment="1">
      <alignment horizontal="center" vertical="center"/>
    </xf>
    <xf numFmtId="2" fontId="122" fillId="0" borderId="44" xfId="0" applyNumberFormat="1" applyFont="1" applyBorder="1" applyAlignment="1">
      <alignment horizontal="center" vertical="center"/>
    </xf>
    <xf numFmtId="2" fontId="122" fillId="0" borderId="0" xfId="0" applyNumberFormat="1" applyFont="1" applyAlignment="1">
      <alignment horizontal="center" vertical="center"/>
    </xf>
    <xf numFmtId="0" fontId="122" fillId="0" borderId="126" xfId="0" applyFont="1" applyBorder="1" applyAlignment="1">
      <alignment horizontal="center" vertical="center"/>
    </xf>
    <xf numFmtId="0" fontId="122" fillId="0" borderId="59" xfId="0" applyFont="1" applyBorder="1">
      <alignment vertical="center"/>
    </xf>
    <xf numFmtId="0" fontId="131" fillId="0" borderId="59" xfId="0" applyFont="1" applyBorder="1" applyAlignment="1">
      <alignment horizontal="center" vertical="center"/>
    </xf>
    <xf numFmtId="0" fontId="0" fillId="0" borderId="59" xfId="0" applyBorder="1">
      <alignment vertical="center"/>
    </xf>
    <xf numFmtId="0" fontId="122" fillId="0" borderId="59" xfId="0" applyFont="1" applyBorder="1" applyAlignment="1">
      <alignment horizontal="center" vertical="center"/>
    </xf>
    <xf numFmtId="164" fontId="122" fillId="0" borderId="59" xfId="0" applyNumberFormat="1" applyFont="1" applyBorder="1" applyAlignment="1">
      <alignment horizontal="center" vertical="center"/>
    </xf>
    <xf numFmtId="2" fontId="122" fillId="0" borderId="59" xfId="0" applyNumberFormat="1" applyFont="1" applyBorder="1" applyAlignment="1">
      <alignment horizontal="center" vertical="center"/>
    </xf>
    <xf numFmtId="2" fontId="122" fillId="0" borderId="125" xfId="0" applyNumberFormat="1" applyFont="1" applyBorder="1" applyAlignment="1">
      <alignment horizontal="center" vertical="center"/>
    </xf>
    <xf numFmtId="0" fontId="131" fillId="0" borderId="89" xfId="0" applyFont="1" applyBorder="1" applyAlignment="1">
      <alignment horizontal="center"/>
    </xf>
    <xf numFmtId="0" fontId="122" fillId="0" borderId="89" xfId="0" applyFont="1" applyBorder="1" applyAlignment="1">
      <alignment horizontal="center" vertical="center"/>
    </xf>
    <xf numFmtId="2" fontId="131" fillId="0" borderId="32" xfId="0" applyNumberFormat="1" applyFont="1" applyBorder="1" applyAlignment="1">
      <alignment horizontal="center" vertical="center"/>
    </xf>
    <xf numFmtId="2" fontId="131" fillId="0" borderId="100" xfId="0" applyNumberFormat="1" applyFont="1" applyBorder="1" applyAlignment="1">
      <alignment horizontal="center" vertical="center"/>
    </xf>
    <xf numFmtId="2" fontId="131" fillId="0" borderId="69" xfId="0" applyNumberFormat="1" applyFont="1" applyBorder="1" applyAlignment="1">
      <alignment horizontal="center" vertical="center"/>
    </xf>
    <xf numFmtId="0" fontId="131" fillId="0" borderId="84" xfId="0" applyFont="1" applyBorder="1" applyAlignment="1">
      <alignment horizontal="center" vertical="center"/>
    </xf>
    <xf numFmtId="0" fontId="131" fillId="0" borderId="95" xfId="0" applyFont="1" applyBorder="1" applyAlignment="1">
      <alignment horizontal="center" vertical="center"/>
    </xf>
    <xf numFmtId="0" fontId="131" fillId="0" borderId="96" xfId="0" applyFont="1" applyBorder="1" applyAlignment="1">
      <alignment horizontal="center" vertical="center"/>
    </xf>
    <xf numFmtId="164" fontId="131" fillId="0" borderId="66" xfId="0" applyNumberFormat="1" applyFont="1" applyBorder="1" applyAlignment="1">
      <alignment horizontal="center" vertical="center"/>
    </xf>
    <xf numFmtId="2" fontId="135" fillId="0" borderId="26" xfId="0" applyNumberFormat="1" applyFont="1" applyBorder="1" applyAlignment="1">
      <alignment horizontal="center" vertical="center"/>
    </xf>
    <xf numFmtId="0" fontId="132" fillId="0" borderId="25" xfId="0" applyFont="1" applyBorder="1" applyAlignment="1">
      <alignment horizontal="center" vertical="center"/>
    </xf>
    <xf numFmtId="2" fontId="133" fillId="0" borderId="81" xfId="0" applyNumberFormat="1" applyFont="1" applyBorder="1" applyAlignment="1">
      <alignment horizontal="center" vertical="center"/>
    </xf>
    <xf numFmtId="0" fontId="140" fillId="0" borderId="88" xfId="0" applyFont="1" applyBorder="1" applyAlignment="1">
      <alignment horizontal="center" vertical="center"/>
    </xf>
    <xf numFmtId="0" fontId="0" fillId="0" borderId="83" xfId="0" applyBorder="1">
      <alignment vertical="center"/>
    </xf>
    <xf numFmtId="164" fontId="131" fillId="0" borderId="97" xfId="0" applyNumberFormat="1" applyFont="1" applyBorder="1" applyAlignment="1">
      <alignment horizontal="center" vertical="center"/>
    </xf>
    <xf numFmtId="0" fontId="130" fillId="0" borderId="26" xfId="0" applyFont="1" applyBorder="1" applyAlignment="1">
      <alignment horizontal="center"/>
    </xf>
    <xf numFmtId="0" fontId="132" fillId="0" borderId="26" xfId="0" applyFont="1" applyBorder="1" applyAlignment="1">
      <alignment horizontal="center" vertical="center"/>
    </xf>
    <xf numFmtId="2" fontId="133" fillId="0" borderId="82" xfId="0" applyNumberFormat="1" applyFont="1" applyBorder="1" applyAlignment="1">
      <alignment horizontal="center" vertical="center"/>
    </xf>
    <xf numFmtId="0" fontId="131" fillId="0" borderId="88" xfId="0" applyFont="1" applyBorder="1" applyAlignment="1">
      <alignment horizontal="center" vertical="center"/>
    </xf>
    <xf numFmtId="0" fontId="122" fillId="0" borderId="91" xfId="0" applyFont="1" applyBorder="1" applyAlignment="1">
      <alignment horizontal="center" vertical="center"/>
    </xf>
    <xf numFmtId="164" fontId="122" fillId="0" borderId="97" xfId="0" applyNumberFormat="1" applyFont="1" applyBorder="1" applyAlignment="1">
      <alignment horizontal="center" vertical="center"/>
    </xf>
    <xf numFmtId="2" fontId="133" fillId="0" borderId="32" xfId="0" applyNumberFormat="1" applyFont="1" applyBorder="1" applyAlignment="1">
      <alignment horizontal="center" vertical="center"/>
    </xf>
    <xf numFmtId="2" fontId="132" fillId="0" borderId="69" xfId="0" applyNumberFormat="1" applyFont="1" applyBorder="1" applyAlignment="1">
      <alignment horizontal="center" vertical="center"/>
    </xf>
    <xf numFmtId="2" fontId="141" fillId="0" borderId="33" xfId="0" applyNumberFormat="1" applyFont="1" applyBorder="1" applyAlignment="1">
      <alignment horizontal="center" vertical="center"/>
    </xf>
    <xf numFmtId="0" fontId="122" fillId="0" borderId="88" xfId="0" applyFont="1" applyBorder="1" applyAlignment="1">
      <alignment horizontal="center" vertical="center"/>
    </xf>
    <xf numFmtId="164" fontId="122" fillId="0" borderId="129" xfId="0" applyNumberFormat="1" applyFont="1" applyBorder="1" applyAlignment="1">
      <alignment horizontal="center" vertical="center"/>
    </xf>
    <xf numFmtId="2" fontId="133" fillId="0" borderId="0" xfId="0" applyNumberFormat="1" applyFont="1" applyAlignment="1">
      <alignment horizontal="center" vertical="center"/>
    </xf>
    <xf numFmtId="2" fontId="132" fillId="0" borderId="0" xfId="0" applyNumberFormat="1" applyFont="1" applyAlignment="1">
      <alignment horizontal="center" vertical="center"/>
    </xf>
    <xf numFmtId="2" fontId="141" fillId="0" borderId="0" xfId="0" applyNumberFormat="1" applyFont="1" applyAlignment="1">
      <alignment horizontal="center" vertical="center"/>
    </xf>
    <xf numFmtId="0" fontId="122" fillId="0" borderId="83" xfId="0" applyFont="1" applyBorder="1" applyAlignment="1">
      <alignment horizontal="center" vertical="center"/>
    </xf>
    <xf numFmtId="0" fontId="131" fillId="0" borderId="21" xfId="0" applyFont="1" applyBorder="1" applyAlignment="1">
      <alignment horizontal="center" vertical="center"/>
    </xf>
    <xf numFmtId="0" fontId="140" fillId="0" borderId="20" xfId="0" applyFont="1" applyBorder="1" applyAlignment="1">
      <alignment horizontal="center" vertical="center"/>
    </xf>
    <xf numFmtId="0" fontId="122" fillId="0" borderId="22" xfId="0" applyFont="1" applyBorder="1" applyAlignment="1">
      <alignment horizontal="center" vertical="center"/>
    </xf>
    <xf numFmtId="0" fontId="131" fillId="0" borderId="0" xfId="0" applyFont="1" applyAlignment="1">
      <alignment horizontal="center" vertical="center"/>
    </xf>
    <xf numFmtId="2" fontId="131" fillId="0" borderId="0" xfId="0" applyNumberFormat="1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2" fontId="41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2" fontId="49" fillId="0" borderId="32" xfId="0" applyNumberFormat="1" applyFont="1" applyBorder="1" applyAlignment="1">
      <alignment horizontal="center" vertical="center"/>
    </xf>
    <xf numFmtId="164" fontId="49" fillId="0" borderId="66" xfId="0" applyNumberFormat="1" applyFont="1" applyBorder="1" applyAlignment="1">
      <alignment horizontal="center" vertical="center"/>
    </xf>
    <xf numFmtId="164" fontId="49" fillId="0" borderId="97" xfId="0" applyNumberFormat="1" applyFont="1" applyBorder="1" applyAlignment="1">
      <alignment horizontal="center" vertical="center"/>
    </xf>
    <xf numFmtId="164" fontId="52" fillId="0" borderId="97" xfId="0" applyNumberFormat="1" applyFont="1" applyBorder="1" applyAlignment="1">
      <alignment horizontal="center" vertical="center"/>
    </xf>
    <xf numFmtId="2" fontId="51" fillId="0" borderId="32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48" fillId="0" borderId="82" xfId="0" applyFont="1" applyBorder="1" applyAlignment="1">
      <alignment horizontal="center" vertical="center"/>
    </xf>
    <xf numFmtId="0" fontId="49" fillId="0" borderId="114" xfId="0" applyFont="1" applyBorder="1" applyAlignment="1">
      <alignment horizontal="center" vertical="center"/>
    </xf>
    <xf numFmtId="0" fontId="49" fillId="0" borderId="11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1" fillId="0" borderId="81" xfId="0" applyFont="1" applyBorder="1" applyAlignment="1">
      <alignment horizontal="center" vertical="center"/>
    </xf>
    <xf numFmtId="0" fontId="51" fillId="0" borderId="82" xfId="0" applyFont="1" applyBorder="1" applyAlignment="1">
      <alignment horizontal="center" vertical="center"/>
    </xf>
    <xf numFmtId="0" fontId="62" fillId="0" borderId="55" xfId="0" applyFont="1" applyBorder="1" applyAlignment="1">
      <alignment horizontal="center" vertical="center"/>
    </xf>
    <xf numFmtId="0" fontId="143" fillId="0" borderId="5" xfId="0" applyFont="1" applyBorder="1" applyAlignment="1">
      <alignment horizontal="center" vertical="center"/>
    </xf>
    <xf numFmtId="0" fontId="144" fillId="0" borderId="57" xfId="0" applyFont="1" applyBorder="1" applyAlignment="1">
      <alignment horizontal="center" vertical="center"/>
    </xf>
    <xf numFmtId="0" fontId="145" fillId="0" borderId="30" xfId="0" applyFont="1" applyBorder="1" applyAlignment="1">
      <alignment horizontal="center" vertical="center"/>
    </xf>
    <xf numFmtId="0" fontId="113" fillId="0" borderId="52" xfId="0" applyFont="1" applyBorder="1" applyAlignment="1">
      <alignment horizontal="center" vertical="top"/>
    </xf>
    <xf numFmtId="0" fontId="146" fillId="0" borderId="53" xfId="0" applyFont="1" applyBorder="1" applyAlignment="1">
      <alignment horizontal="center" vertical="top"/>
    </xf>
    <xf numFmtId="164" fontId="125" fillId="0" borderId="15" xfId="0" applyNumberFormat="1" applyFont="1" applyBorder="1">
      <alignment vertical="center"/>
    </xf>
    <xf numFmtId="164" fontId="147" fillId="0" borderId="8" xfId="0" applyNumberFormat="1" applyFont="1" applyBorder="1" applyAlignment="1">
      <alignment horizontal="center" vertical="center"/>
    </xf>
    <xf numFmtId="166" fontId="148" fillId="0" borderId="8" xfId="0" applyNumberFormat="1" applyFont="1" applyBorder="1" applyAlignment="1">
      <alignment horizontal="center" vertical="center"/>
    </xf>
    <xf numFmtId="1" fontId="147" fillId="0" borderId="8" xfId="0" applyNumberFormat="1" applyFont="1" applyBorder="1" applyAlignment="1">
      <alignment horizontal="center" vertical="center"/>
    </xf>
    <xf numFmtId="1" fontId="149" fillId="0" borderId="8" xfId="0" applyNumberFormat="1" applyFont="1" applyBorder="1" applyAlignment="1">
      <alignment horizontal="center" vertical="center"/>
    </xf>
    <xf numFmtId="0" fontId="149" fillId="0" borderId="8" xfId="0" applyFont="1" applyBorder="1" applyAlignment="1">
      <alignment horizontal="center" vertical="center"/>
    </xf>
    <xf numFmtId="0" fontId="149" fillId="0" borderId="8" xfId="0" applyFont="1" applyBorder="1" applyAlignment="1">
      <alignment horizontal="left" vertical="center"/>
    </xf>
    <xf numFmtId="164" fontId="149" fillId="0" borderId="8" xfId="0" applyNumberFormat="1" applyFont="1" applyBorder="1" applyAlignment="1">
      <alignment horizontal="center" vertical="center"/>
    </xf>
    <xf numFmtId="2" fontId="149" fillId="0" borderId="8" xfId="0" applyNumberFormat="1" applyFont="1" applyBorder="1" applyAlignment="1">
      <alignment horizontal="right" vertical="center"/>
    </xf>
    <xf numFmtId="2" fontId="149" fillId="0" borderId="9" xfId="0" applyNumberFormat="1" applyFont="1" applyBorder="1" applyAlignment="1">
      <alignment horizontal="right" vertical="center"/>
    </xf>
    <xf numFmtId="0" fontId="131" fillId="0" borderId="42" xfId="0" applyFont="1" applyBorder="1" applyAlignment="1">
      <alignment horizontal="left" vertical="center"/>
    </xf>
    <xf numFmtId="0" fontId="152" fillId="0" borderId="8" xfId="0" applyFont="1" applyBorder="1" applyAlignment="1">
      <alignment horizontal="left" vertical="center"/>
    </xf>
    <xf numFmtId="0" fontId="122" fillId="0" borderId="11" xfId="0" applyFont="1" applyBorder="1">
      <alignment vertical="center"/>
    </xf>
    <xf numFmtId="0" fontId="131" fillId="0" borderId="1" xfId="0" applyFont="1" applyBorder="1" applyAlignment="1">
      <alignment horizontal="center"/>
    </xf>
    <xf numFmtId="0" fontId="131" fillId="0" borderId="46" xfId="0" applyFont="1" applyBorder="1" applyAlignment="1">
      <alignment horizontal="center"/>
    </xf>
    <xf numFmtId="0" fontId="154" fillId="0" borderId="27" xfId="0" applyFont="1" applyBorder="1" applyAlignment="1">
      <alignment horizontal="center"/>
    </xf>
    <xf numFmtId="0" fontId="131" fillId="0" borderId="38" xfId="0" applyFont="1" applyBorder="1" applyAlignment="1">
      <alignment horizontal="center" vertical="center"/>
    </xf>
    <xf numFmtId="0" fontId="131" fillId="0" borderId="40" xfId="0" applyFont="1" applyBorder="1" applyAlignment="1">
      <alignment horizontal="center" vertical="center"/>
    </xf>
    <xf numFmtId="164" fontId="32" fillId="0" borderId="133" xfId="0" applyNumberFormat="1" applyFont="1" applyBorder="1">
      <alignment vertical="center"/>
    </xf>
    <xf numFmtId="164" fontId="32" fillId="0" borderId="135" xfId="0" applyNumberFormat="1" applyFont="1" applyBorder="1">
      <alignment vertical="center"/>
    </xf>
    <xf numFmtId="164" fontId="125" fillId="0" borderId="134" xfId="0" applyNumberFormat="1" applyFont="1" applyBorder="1">
      <alignment vertical="center"/>
    </xf>
    <xf numFmtId="164" fontId="65" fillId="0" borderId="134" xfId="0" applyNumberFormat="1" applyFont="1" applyBorder="1">
      <alignment vertical="center"/>
    </xf>
    <xf numFmtId="0" fontId="9" fillId="0" borderId="0" xfId="0" applyFont="1" applyAlignment="1"/>
    <xf numFmtId="0" fontId="9" fillId="0" borderId="0" xfId="0" applyFont="1">
      <alignment vertical="center"/>
    </xf>
    <xf numFmtId="0" fontId="80" fillId="0" borderId="46" xfId="0" applyFont="1" applyBorder="1">
      <alignment vertical="center"/>
    </xf>
    <xf numFmtId="0" fontId="131" fillId="0" borderId="0" xfId="0" applyFont="1" applyAlignment="1">
      <alignment horizontal="center"/>
    </xf>
    <xf numFmtId="0" fontId="80" fillId="0" borderId="0" xfId="0" applyFont="1">
      <alignment vertical="center"/>
    </xf>
    <xf numFmtId="164" fontId="22" fillId="0" borderId="0" xfId="0" applyNumberFormat="1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0" fontId="9" fillId="0" borderId="8" xfId="0" applyFont="1" applyBorder="1">
      <alignment vertical="center"/>
    </xf>
    <xf numFmtId="0" fontId="9" fillId="0" borderId="8" xfId="0" applyFont="1" applyBorder="1" applyAlignment="1">
      <alignment horizontal="center"/>
    </xf>
    <xf numFmtId="164" fontId="22" fillId="0" borderId="8" xfId="0" applyNumberFormat="1" applyFont="1" applyBorder="1">
      <alignment vertical="center"/>
    </xf>
    <xf numFmtId="164" fontId="25" fillId="0" borderId="8" xfId="0" applyNumberFormat="1" applyFont="1" applyBorder="1">
      <alignment vertical="center"/>
    </xf>
    <xf numFmtId="164" fontId="156" fillId="0" borderId="8" xfId="0" applyNumberFormat="1" applyFont="1" applyBorder="1">
      <alignment vertical="center"/>
    </xf>
    <xf numFmtId="164" fontId="9" fillId="0" borderId="8" xfId="0" applyNumberFormat="1" applyFont="1" applyBorder="1" applyAlignment="1"/>
    <xf numFmtId="0" fontId="151" fillId="0" borderId="27" xfId="0" applyFont="1" applyBorder="1" applyAlignment="1"/>
    <xf numFmtId="0" fontId="0" fillId="0" borderId="30" xfId="0" applyBorder="1">
      <alignment vertical="center"/>
    </xf>
    <xf numFmtId="0" fontId="132" fillId="0" borderId="0" xfId="0" applyFont="1">
      <alignment vertical="center"/>
    </xf>
    <xf numFmtId="0" fontId="132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9" fillId="0" borderId="139" xfId="0" applyFont="1" applyBorder="1" applyAlignment="1">
      <alignment horizontal="center"/>
    </xf>
    <xf numFmtId="0" fontId="13" fillId="0" borderId="139" xfId="0" applyFont="1" applyBorder="1" applyAlignment="1">
      <alignment horizontal="center"/>
    </xf>
    <xf numFmtId="0" fontId="9" fillId="0" borderId="122" xfId="0" applyFont="1" applyBorder="1" applyAlignment="1">
      <alignment horizontal="center" vertical="center"/>
    </xf>
    <xf numFmtId="0" fontId="14" fillId="0" borderId="122" xfId="0" applyFont="1" applyBorder="1" applyAlignment="1">
      <alignment horizontal="center" vertical="center"/>
    </xf>
    <xf numFmtId="0" fontId="25" fillId="0" borderId="127" xfId="0" applyFont="1" applyBorder="1" applyAlignment="1">
      <alignment horizontal="center" vertical="center"/>
    </xf>
    <xf numFmtId="0" fontId="155" fillId="0" borderId="15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3" fillId="0" borderId="140" xfId="0" applyFont="1" applyBorder="1" applyAlignment="1">
      <alignment horizontal="center" vertical="center"/>
    </xf>
    <xf numFmtId="0" fontId="158" fillId="0" borderId="46" xfId="0" applyFont="1" applyBorder="1" applyAlignment="1">
      <alignment horizontal="center"/>
    </xf>
    <xf numFmtId="0" fontId="80" fillId="0" borderId="8" xfId="0" applyFont="1" applyBorder="1">
      <alignment vertical="center"/>
    </xf>
    <xf numFmtId="0" fontId="113" fillId="0" borderId="133" xfId="0" applyFont="1" applyBorder="1" applyAlignment="1">
      <alignment horizontal="center" vertical="top"/>
    </xf>
    <xf numFmtId="0" fontId="62" fillId="0" borderId="139" xfId="0" applyFont="1" applyBorder="1" applyAlignment="1">
      <alignment horizontal="center" vertical="center"/>
    </xf>
    <xf numFmtId="0" fontId="144" fillId="0" borderId="141" xfId="0" applyFont="1" applyBorder="1" applyAlignment="1">
      <alignment horizontal="center" vertical="center"/>
    </xf>
    <xf numFmtId="0" fontId="146" fillId="0" borderId="142" xfId="0" applyFont="1" applyBorder="1" applyAlignment="1">
      <alignment horizontal="center" vertical="top"/>
    </xf>
    <xf numFmtId="0" fontId="143" fillId="0" borderId="143" xfId="0" applyFont="1" applyBorder="1" applyAlignment="1">
      <alignment horizontal="center" vertical="center"/>
    </xf>
    <xf numFmtId="0" fontId="145" fillId="0" borderId="57" xfId="0" applyFont="1" applyBorder="1" applyAlignment="1">
      <alignment horizontal="center" vertical="center"/>
    </xf>
    <xf numFmtId="2" fontId="24" fillId="0" borderId="57" xfId="0" applyNumberFormat="1" applyFont="1" applyBorder="1" applyAlignment="1">
      <alignment horizontal="center" vertical="center"/>
    </xf>
    <xf numFmtId="2" fontId="14" fillId="0" borderId="121" xfId="0" applyNumberFormat="1" applyFont="1" applyBorder="1">
      <alignment vertical="center"/>
    </xf>
    <xf numFmtId="2" fontId="14" fillId="0" borderId="123" xfId="0" applyNumberFormat="1" applyFont="1" applyBorder="1">
      <alignment vertical="center"/>
    </xf>
    <xf numFmtId="2" fontId="14" fillId="0" borderId="59" xfId="0" applyNumberFormat="1" applyFont="1" applyBorder="1">
      <alignment vertical="center"/>
    </xf>
    <xf numFmtId="2" fontId="9" fillId="0" borderId="144" xfId="0" applyNumberFormat="1" applyFont="1" applyBorder="1" applyAlignment="1">
      <alignment horizontal="right" vertical="center"/>
    </xf>
    <xf numFmtId="2" fontId="9" fillId="0" borderId="145" xfId="0" applyNumberFormat="1" applyFont="1" applyBorder="1">
      <alignment vertical="center"/>
    </xf>
    <xf numFmtId="2" fontId="23" fillId="0" borderId="141" xfId="0" applyNumberFormat="1" applyFont="1" applyBorder="1" applyAlignment="1">
      <alignment horizontal="center" vertical="center"/>
    </xf>
    <xf numFmtId="0" fontId="146" fillId="0" borderId="147" xfId="0" applyFont="1" applyBorder="1" applyAlignment="1">
      <alignment horizontal="center" vertical="top"/>
    </xf>
    <xf numFmtId="0" fontId="0" fillId="0" borderId="146" xfId="0" applyBorder="1">
      <alignment vertical="center"/>
    </xf>
    <xf numFmtId="2" fontId="0" fillId="0" borderId="0" xfId="0" applyNumberFormat="1">
      <alignment vertical="center"/>
    </xf>
    <xf numFmtId="2" fontId="21" fillId="0" borderId="0" xfId="0" applyNumberFormat="1" applyFont="1" applyAlignment="1">
      <alignment horizontal="right" vertical="center"/>
    </xf>
    <xf numFmtId="0" fontId="159" fillId="0" borderId="7" xfId="0" applyFont="1" applyBorder="1" applyAlignment="1">
      <alignment horizontal="center" vertical="center"/>
    </xf>
    <xf numFmtId="0" fontId="160" fillId="0" borderId="8" xfId="0" applyFont="1" applyBorder="1" applyAlignment="1">
      <alignment horizontal="left" vertical="center"/>
    </xf>
    <xf numFmtId="0" fontId="159" fillId="0" borderId="8" xfId="0" applyFont="1" applyBorder="1" applyAlignment="1">
      <alignment horizontal="center" vertical="center"/>
    </xf>
    <xf numFmtId="1" fontId="159" fillId="0" borderId="8" xfId="0" applyNumberFormat="1" applyFont="1" applyBorder="1" applyAlignment="1">
      <alignment horizontal="center" vertical="center"/>
    </xf>
    <xf numFmtId="164" fontId="159" fillId="0" borderId="8" xfId="0" applyNumberFormat="1" applyFont="1" applyBorder="1" applyAlignment="1">
      <alignment horizontal="center" vertical="center"/>
    </xf>
    <xf numFmtId="2" fontId="159" fillId="0" borderId="8" xfId="0" applyNumberFormat="1" applyFont="1" applyBorder="1" applyAlignment="1">
      <alignment horizontal="right" vertical="center"/>
    </xf>
    <xf numFmtId="2" fontId="159" fillId="0" borderId="9" xfId="0" applyNumberFormat="1" applyFont="1" applyBorder="1" applyAlignment="1">
      <alignment horizontal="right" vertical="center"/>
    </xf>
    <xf numFmtId="0" fontId="146" fillId="0" borderId="148" xfId="0" applyFont="1" applyBorder="1" applyAlignment="1">
      <alignment horizontal="center" vertical="top"/>
    </xf>
    <xf numFmtId="0" fontId="131" fillId="0" borderId="151" xfId="0" applyFont="1" applyBorder="1" applyAlignment="1">
      <alignment horizontal="center" vertical="center"/>
    </xf>
    <xf numFmtId="0" fontId="131" fillId="0" borderId="141" xfId="0" applyFont="1" applyBorder="1" applyAlignment="1">
      <alignment horizontal="center" vertical="center"/>
    </xf>
    <xf numFmtId="0" fontId="131" fillId="0" borderId="152" xfId="0" applyFont="1" applyBorder="1" applyAlignment="1">
      <alignment horizontal="center" vertical="center"/>
    </xf>
    <xf numFmtId="0" fontId="132" fillId="0" borderId="153" xfId="0" applyFont="1" applyBorder="1" applyAlignment="1">
      <alignment horizontal="center" vertical="center"/>
    </xf>
    <xf numFmtId="0" fontId="81" fillId="0" borderId="143" xfId="0" applyFont="1" applyBorder="1" applyAlignment="1">
      <alignment horizontal="center" vertical="center"/>
    </xf>
    <xf numFmtId="0" fontId="132" fillId="0" borderId="57" xfId="0" applyFont="1" applyBorder="1" applyAlignment="1">
      <alignment horizontal="center" vertical="center"/>
    </xf>
    <xf numFmtId="2" fontId="9" fillId="0" borderId="154" xfId="0" applyNumberFormat="1" applyFont="1" applyBorder="1" applyAlignment="1">
      <alignment horizontal="center" vertical="center"/>
    </xf>
    <xf numFmtId="2" fontId="9" fillId="0" borderId="155" xfId="0" applyNumberFormat="1" applyFont="1" applyBorder="1" applyAlignment="1">
      <alignment horizontal="right" vertical="center"/>
    </xf>
    <xf numFmtId="2" fontId="9" fillId="0" borderId="156" xfId="0" applyNumberFormat="1" applyFont="1" applyBorder="1">
      <alignment vertical="center"/>
    </xf>
    <xf numFmtId="2" fontId="16" fillId="0" borderId="157" xfId="0" applyNumberFormat="1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top"/>
    </xf>
    <xf numFmtId="0" fontId="13" fillId="0" borderId="157" xfId="0" applyFont="1" applyBorder="1" applyAlignment="1">
      <alignment horizontal="center"/>
    </xf>
    <xf numFmtId="0" fontId="60" fillId="0" borderId="5" xfId="0" applyFont="1" applyBorder="1" applyAlignment="1">
      <alignment horizontal="center" vertical="center"/>
    </xf>
    <xf numFmtId="2" fontId="30" fillId="0" borderId="158" xfId="0" applyNumberFormat="1" applyFont="1" applyBorder="1" applyAlignment="1">
      <alignment horizontal="center" vertical="center"/>
    </xf>
    <xf numFmtId="2" fontId="23" fillId="0" borderId="104" xfId="0" applyNumberFormat="1" applyFont="1" applyBorder="1" applyAlignment="1">
      <alignment horizontal="center" vertical="center"/>
    </xf>
    <xf numFmtId="2" fontId="40" fillId="0" borderId="159" xfId="0" applyNumberFormat="1" applyFont="1" applyBorder="1" applyAlignment="1">
      <alignment horizontal="center" vertical="center"/>
    </xf>
    <xf numFmtId="0" fontId="131" fillId="0" borderId="8" xfId="0" applyFont="1" applyBorder="1">
      <alignment vertical="center"/>
    </xf>
    <xf numFmtId="0" fontId="9" fillId="0" borderId="121" xfId="0" applyFont="1" applyBorder="1" applyAlignment="1">
      <alignment horizontal="center" vertical="center"/>
    </xf>
    <xf numFmtId="164" fontId="10" fillId="0" borderId="122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64" fontId="150" fillId="0" borderId="0" xfId="0" applyNumberFormat="1" applyFont="1">
      <alignment vertical="center"/>
    </xf>
    <xf numFmtId="0" fontId="132" fillId="0" borderId="14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22" fillId="0" borderId="9" xfId="0" applyNumberFormat="1" applyFont="1" applyBorder="1">
      <alignment vertical="center"/>
    </xf>
    <xf numFmtId="164" fontId="25" fillId="0" borderId="9" xfId="0" applyNumberFormat="1" applyFont="1" applyBorder="1">
      <alignment vertical="center"/>
    </xf>
    <xf numFmtId="164" fontId="9" fillId="0" borderId="0" xfId="0" applyNumberFormat="1" applyFont="1" applyAlignment="1"/>
    <xf numFmtId="164" fontId="22" fillId="0" borderId="12" xfId="0" applyNumberFormat="1" applyFont="1" applyBorder="1">
      <alignment vertical="center"/>
    </xf>
    <xf numFmtId="0" fontId="9" fillId="0" borderId="162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155" fillId="0" borderId="59" xfId="0" applyFont="1" applyBorder="1" applyAlignment="1">
      <alignment horizontal="center" vertical="center"/>
    </xf>
    <xf numFmtId="164" fontId="156" fillId="0" borderId="98" xfId="0" applyNumberFormat="1" applyFont="1" applyBorder="1">
      <alignment vertical="center"/>
    </xf>
    <xf numFmtId="0" fontId="9" fillId="0" borderId="133" xfId="0" applyFont="1" applyBorder="1" applyAlignment="1">
      <alignment horizontal="center" vertical="center"/>
    </xf>
    <xf numFmtId="0" fontId="3" fillId="0" borderId="163" xfId="0" applyFont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164" fontId="22" fillId="0" borderId="164" xfId="0" applyNumberFormat="1" applyFont="1" applyBorder="1">
      <alignment vertical="center"/>
    </xf>
    <xf numFmtId="0" fontId="9" fillId="0" borderId="165" xfId="0" applyFont="1" applyBorder="1" applyAlignment="1">
      <alignment horizontal="center" vertical="center"/>
    </xf>
    <xf numFmtId="0" fontId="131" fillId="0" borderId="6" xfId="0" applyFont="1" applyBorder="1">
      <alignment vertical="center"/>
    </xf>
    <xf numFmtId="0" fontId="9" fillId="0" borderId="166" xfId="0" applyFont="1" applyBorder="1" applyAlignment="1">
      <alignment horizontal="center" vertical="center"/>
    </xf>
    <xf numFmtId="0" fontId="131" fillId="0" borderId="133" xfId="0" applyFont="1" applyBorder="1" applyAlignment="1">
      <alignment horizontal="center"/>
    </xf>
    <xf numFmtId="0" fontId="158" fillId="0" borderId="163" xfId="0" applyFont="1" applyBorder="1" applyAlignment="1">
      <alignment horizontal="center"/>
    </xf>
    <xf numFmtId="0" fontId="52" fillId="0" borderId="133" xfId="0" applyFont="1" applyBorder="1" applyAlignment="1">
      <alignment horizontal="center" vertical="center"/>
    </xf>
    <xf numFmtId="0" fontId="131" fillId="0" borderId="135" xfId="0" applyFont="1" applyBorder="1" applyAlignment="1">
      <alignment horizontal="center"/>
    </xf>
    <xf numFmtId="0" fontId="80" fillId="0" borderId="167" xfId="0" applyFont="1" applyBorder="1">
      <alignment vertical="center"/>
    </xf>
    <xf numFmtId="0" fontId="9" fillId="0" borderId="168" xfId="0" applyFont="1" applyBorder="1" applyAlignment="1">
      <alignment horizontal="center" vertical="center"/>
    </xf>
    <xf numFmtId="0" fontId="131" fillId="0" borderId="168" xfId="0" applyFont="1" applyBorder="1" applyAlignment="1">
      <alignment horizontal="center" vertical="center"/>
    </xf>
    <xf numFmtId="0" fontId="131" fillId="0" borderId="168" xfId="0" applyFont="1" applyBorder="1" applyAlignment="1">
      <alignment horizontal="center"/>
    </xf>
    <xf numFmtId="0" fontId="9" fillId="0" borderId="169" xfId="0" applyFont="1" applyBorder="1" applyAlignment="1">
      <alignment horizontal="center" vertical="center"/>
    </xf>
    <xf numFmtId="2" fontId="14" fillId="0" borderId="170" xfId="0" applyNumberFormat="1" applyFont="1" applyBorder="1">
      <alignment vertical="center"/>
    </xf>
    <xf numFmtId="2" fontId="14" fillId="0" borderId="161" xfId="0" applyNumberFormat="1" applyFont="1" applyBorder="1">
      <alignment vertical="center"/>
    </xf>
    <xf numFmtId="0" fontId="113" fillId="0" borderId="139" xfId="0" applyFont="1" applyBorder="1" applyAlignment="1">
      <alignment horizontal="center" vertical="center"/>
    </xf>
    <xf numFmtId="0" fontId="146" fillId="0" borderId="143" xfId="0" applyFont="1" applyBorder="1" applyAlignment="1">
      <alignment horizontal="center" vertical="center"/>
    </xf>
    <xf numFmtId="0" fontId="162" fillId="0" borderId="141" xfId="0" applyFont="1" applyBorder="1" applyAlignment="1">
      <alignment horizontal="center" vertical="center"/>
    </xf>
    <xf numFmtId="0" fontId="163" fillId="0" borderId="57" xfId="0" applyFont="1" applyBorder="1" applyAlignment="1">
      <alignment horizontal="center" vertical="center"/>
    </xf>
    <xf numFmtId="164" fontId="148" fillId="0" borderId="8" xfId="0" applyNumberFormat="1" applyFont="1" applyBorder="1" applyAlignment="1">
      <alignment horizontal="center" vertical="center"/>
    </xf>
    <xf numFmtId="164" fontId="21" fillId="0" borderId="8" xfId="0" applyNumberFormat="1" applyFont="1" applyBorder="1" applyAlignment="1">
      <alignment horizontal="center"/>
    </xf>
    <xf numFmtId="2" fontId="9" fillId="0" borderId="42" xfId="0" applyNumberFormat="1" applyFont="1" applyBorder="1" applyAlignment="1">
      <alignment horizontal="center" vertical="center"/>
    </xf>
    <xf numFmtId="164" fontId="9" fillId="0" borderId="42" xfId="0" applyNumberFormat="1" applyFont="1" applyBorder="1" applyAlignment="1">
      <alignment horizontal="center" vertical="center"/>
    </xf>
    <xf numFmtId="165" fontId="9" fillId="0" borderId="42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6" fontId="9" fillId="0" borderId="42" xfId="0" applyNumberFormat="1" applyFont="1" applyBorder="1" applyAlignment="1">
      <alignment horizontal="center" vertical="center"/>
    </xf>
    <xf numFmtId="165" fontId="0" fillId="0" borderId="0" xfId="0" applyNumberFormat="1">
      <alignment vertical="center"/>
    </xf>
    <xf numFmtId="165" fontId="9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164" fontId="22" fillId="0" borderId="0" xfId="0" applyNumberFormat="1" applyFont="1">
      <alignment vertical="center"/>
    </xf>
    <xf numFmtId="2" fontId="30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167" fontId="9" fillId="0" borderId="8" xfId="0" applyNumberFormat="1" applyFont="1" applyBorder="1" applyAlignment="1">
      <alignment horizontal="center" vertical="center"/>
    </xf>
    <xf numFmtId="166" fontId="0" fillId="0" borderId="0" xfId="0" applyNumberFormat="1">
      <alignment vertical="center"/>
    </xf>
    <xf numFmtId="165" fontId="1" fillId="0" borderId="0" xfId="0" applyNumberFormat="1" applyFont="1">
      <alignment vertical="center"/>
    </xf>
    <xf numFmtId="0" fontId="10" fillId="0" borderId="143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/>
    </xf>
    <xf numFmtId="0" fontId="9" fillId="0" borderId="151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9" fillId="0" borderId="141" xfId="0" applyFont="1" applyBorder="1" applyAlignment="1">
      <alignment horizontal="center" vertical="center"/>
    </xf>
    <xf numFmtId="0" fontId="9" fillId="0" borderId="152" xfId="0" applyFont="1" applyBorder="1" applyAlignment="1">
      <alignment horizontal="center" vertical="center"/>
    </xf>
    <xf numFmtId="0" fontId="159" fillId="0" borderId="8" xfId="0" applyFont="1" applyBorder="1" applyAlignment="1">
      <alignment horizontal="left" vertical="center"/>
    </xf>
    <xf numFmtId="166" fontId="1" fillId="0" borderId="0" xfId="0" applyNumberFormat="1" applyFont="1">
      <alignment vertical="center"/>
    </xf>
    <xf numFmtId="0" fontId="9" fillId="0" borderId="133" xfId="0" applyFont="1" applyBorder="1" applyAlignment="1">
      <alignment horizontal="center"/>
    </xf>
    <xf numFmtId="0" fontId="22" fillId="0" borderId="163" xfId="0" applyFont="1" applyBorder="1" applyAlignment="1">
      <alignment horizontal="center"/>
    </xf>
    <xf numFmtId="0" fontId="14" fillId="0" borderId="133" xfId="0" applyFont="1" applyBorder="1" applyAlignment="1">
      <alignment horizontal="center" vertical="center"/>
    </xf>
    <xf numFmtId="0" fontId="9" fillId="0" borderId="135" xfId="0" applyFont="1" applyBorder="1" applyAlignment="1">
      <alignment horizontal="center"/>
    </xf>
    <xf numFmtId="0" fontId="9" fillId="0" borderId="167" xfId="0" applyFont="1" applyBorder="1">
      <alignment vertical="center"/>
    </xf>
    <xf numFmtId="0" fontId="9" fillId="0" borderId="6" xfId="0" applyFont="1" applyBorder="1">
      <alignment vertical="center"/>
    </xf>
    <xf numFmtId="0" fontId="23" fillId="0" borderId="133" xfId="0" applyFont="1" applyBorder="1" applyAlignment="1">
      <alignment horizontal="center" vertical="top"/>
    </xf>
    <xf numFmtId="0" fontId="24" fillId="0" borderId="148" xfId="0" applyFont="1" applyBorder="1" applyAlignment="1">
      <alignment horizontal="center" vertical="top"/>
    </xf>
    <xf numFmtId="0" fontId="23" fillId="0" borderId="139" xfId="0" applyFont="1" applyBorder="1" applyAlignment="1">
      <alignment horizontal="center" vertical="center"/>
    </xf>
    <xf numFmtId="0" fontId="24" fillId="0" borderId="143" xfId="0" applyFont="1" applyBorder="1" applyAlignment="1">
      <alignment horizontal="center" vertical="center"/>
    </xf>
    <xf numFmtId="0" fontId="26" fillId="0" borderId="141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50" fillId="0" borderId="143" xfId="0" applyFont="1" applyBorder="1" applyAlignment="1">
      <alignment horizontal="center" vertical="center"/>
    </xf>
    <xf numFmtId="164" fontId="3" fillId="0" borderId="133" xfId="0" applyNumberFormat="1" applyFont="1" applyBorder="1" applyAlignment="1">
      <alignment horizontal="right" vertical="center"/>
    </xf>
    <xf numFmtId="164" fontId="3" fillId="0" borderId="135" xfId="0" applyNumberFormat="1" applyFont="1" applyBorder="1" applyAlignment="1">
      <alignment horizontal="right" vertical="center"/>
    </xf>
    <xf numFmtId="164" fontId="3" fillId="0" borderId="134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1" fillId="0" borderId="133" xfId="0" applyFont="1" applyBorder="1" applyAlignment="1">
      <alignment horizontal="center"/>
    </xf>
    <xf numFmtId="0" fontId="131" fillId="0" borderId="134" xfId="0" applyFont="1" applyBorder="1" applyAlignment="1">
      <alignment horizontal="center"/>
    </xf>
    <xf numFmtId="0" fontId="131" fillId="0" borderId="34" xfId="0" applyFont="1" applyBorder="1" applyAlignment="1">
      <alignment horizontal="center"/>
    </xf>
    <xf numFmtId="0" fontId="131" fillId="0" borderId="160" xfId="0" applyFont="1" applyBorder="1" applyAlignment="1">
      <alignment horizont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9" fillId="0" borderId="149" xfId="0" applyFont="1" applyBorder="1" applyAlignment="1">
      <alignment horizontal="center" vertical="center"/>
    </xf>
    <xf numFmtId="0" fontId="9" fillId="0" borderId="150" xfId="0" applyFont="1" applyBorder="1" applyAlignment="1">
      <alignment horizontal="center" vertical="center"/>
    </xf>
    <xf numFmtId="0" fontId="9" fillId="0" borderId="136" xfId="0" applyFont="1" applyBorder="1" applyAlignment="1">
      <alignment horizontal="center" vertical="center"/>
    </xf>
    <xf numFmtId="0" fontId="9" fillId="0" borderId="137" xfId="0" applyFont="1" applyBorder="1" applyAlignment="1">
      <alignment horizontal="center" vertical="center"/>
    </xf>
    <xf numFmtId="0" fontId="9" fillId="0" borderId="138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/>
    </xf>
    <xf numFmtId="0" fontId="9" fillId="0" borderId="135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35" fillId="0" borderId="133" xfId="0" applyFont="1" applyBorder="1" applyAlignment="1">
      <alignment horizontal="center" vertical="center"/>
    </xf>
    <xf numFmtId="0" fontId="35" fillId="0" borderId="135" xfId="0" applyFont="1" applyBorder="1" applyAlignment="1">
      <alignment horizontal="center" vertical="center"/>
    </xf>
    <xf numFmtId="0" fontId="35" fillId="0" borderId="134" xfId="0" applyFont="1" applyBorder="1" applyAlignment="1">
      <alignment horizontal="center" vertical="center"/>
    </xf>
    <xf numFmtId="0" fontId="3" fillId="0" borderId="136" xfId="0" applyFont="1" applyBorder="1" applyAlignment="1">
      <alignment horizontal="center" vertical="center"/>
    </xf>
    <xf numFmtId="0" fontId="3" fillId="0" borderId="137" xfId="0" applyFont="1" applyBorder="1" applyAlignment="1">
      <alignment horizontal="center" vertical="center"/>
    </xf>
    <xf numFmtId="0" fontId="3" fillId="0" borderId="13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67" fillId="0" borderId="133" xfId="0" applyFont="1" applyBorder="1" applyAlignment="1">
      <alignment horizontal="center" vertical="center"/>
    </xf>
    <xf numFmtId="0" fontId="167" fillId="0" borderId="134" xfId="0" applyFont="1" applyBorder="1" applyAlignment="1">
      <alignment horizontal="center" vertical="center"/>
    </xf>
    <xf numFmtId="14" fontId="5" fillId="0" borderId="144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14" fontId="5" fillId="0" borderId="30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68" fillId="0" borderId="25" xfId="0" applyFont="1" applyBorder="1" applyAlignment="1">
      <alignment horizontal="center" vertical="center"/>
    </xf>
    <xf numFmtId="0" fontId="168" fillId="0" borderId="26" xfId="0" applyFont="1" applyBorder="1" applyAlignment="1">
      <alignment horizontal="center" vertical="center"/>
    </xf>
    <xf numFmtId="0" fontId="7" fillId="0" borderId="171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164" fontId="49" fillId="0" borderId="69" xfId="0" applyNumberFormat="1" applyFont="1" applyBorder="1" applyAlignment="1">
      <alignment horizontal="right" vertical="center"/>
    </xf>
    <xf numFmtId="164" fontId="49" fillId="0" borderId="20" xfId="0" applyNumberFormat="1" applyFont="1" applyBorder="1" applyAlignment="1">
      <alignment horizontal="right" vertical="center"/>
    </xf>
    <xf numFmtId="0" fontId="42" fillId="0" borderId="69" xfId="0" applyFont="1" applyBorder="1" applyAlignment="1">
      <alignment horizontal="center" vertical="center"/>
    </xf>
    <xf numFmtId="0" fontId="42" fillId="0" borderId="66" xfId="0" applyFont="1" applyBorder="1" applyAlignment="1">
      <alignment horizontal="center" vertical="center"/>
    </xf>
    <xf numFmtId="0" fontId="52" fillId="0" borderId="69" xfId="0" applyFont="1" applyBorder="1">
      <alignment vertical="center"/>
    </xf>
    <xf numFmtId="0" fontId="52" fillId="0" borderId="32" xfId="0" applyFont="1" applyBorder="1">
      <alignment vertical="center"/>
    </xf>
    <xf numFmtId="0" fontId="52" fillId="0" borderId="33" xfId="0" applyFont="1" applyBorder="1">
      <alignment vertical="center"/>
    </xf>
    <xf numFmtId="0" fontId="41" fillId="0" borderId="69" xfId="0" applyFont="1" applyBorder="1">
      <alignment vertical="center"/>
    </xf>
    <xf numFmtId="0" fontId="41" fillId="0" borderId="32" xfId="0" applyFont="1" applyBorder="1">
      <alignment vertical="center"/>
    </xf>
    <xf numFmtId="0" fontId="41" fillId="0" borderId="66" xfId="0" applyFont="1" applyBorder="1">
      <alignment vertical="center"/>
    </xf>
    <xf numFmtId="0" fontId="41" fillId="0" borderId="89" xfId="0" applyFont="1" applyBorder="1">
      <alignment vertical="center"/>
    </xf>
    <xf numFmtId="0" fontId="49" fillId="0" borderId="69" xfId="0" applyFont="1" applyBorder="1" applyAlignment="1">
      <alignment horizontal="center"/>
    </xf>
    <xf numFmtId="0" fontId="49" fillId="0" borderId="34" xfId="0" applyFont="1" applyBorder="1" applyAlignment="1">
      <alignment horizontal="center"/>
    </xf>
    <xf numFmtId="0" fontId="49" fillId="0" borderId="69" xfId="0" applyFont="1" applyBorder="1" applyAlignment="1">
      <alignment horizontal="center" vertical="center"/>
    </xf>
    <xf numFmtId="0" fontId="49" fillId="0" borderId="75" xfId="0" applyFont="1" applyBorder="1" applyAlignment="1">
      <alignment horizontal="center" vertical="center"/>
    </xf>
    <xf numFmtId="0" fontId="49" fillId="0" borderId="132" xfId="0" applyFont="1" applyBorder="1" applyAlignment="1">
      <alignment horizontal="center" vertical="center"/>
    </xf>
    <xf numFmtId="0" fontId="49" fillId="0" borderId="66" xfId="0" applyFont="1" applyBorder="1" applyAlignment="1">
      <alignment horizontal="center" vertical="center"/>
    </xf>
    <xf numFmtId="0" fontId="49" fillId="0" borderId="89" xfId="0" applyFont="1" applyBorder="1" applyAlignment="1">
      <alignment horizontal="center" vertical="center"/>
    </xf>
    <xf numFmtId="0" fontId="43" fillId="0" borderId="66" xfId="0" applyFont="1" applyBorder="1" applyAlignment="1">
      <alignment horizontal="center" vertical="center"/>
    </xf>
    <xf numFmtId="0" fontId="43" fillId="0" borderId="69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14" fontId="43" fillId="0" borderId="69" xfId="0" applyNumberFormat="1" applyFont="1" applyBorder="1" applyAlignment="1">
      <alignment horizontal="center" vertical="center"/>
    </xf>
    <xf numFmtId="0" fontId="45" fillId="0" borderId="131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6" xfId="0" applyFont="1" applyBorder="1" applyAlignment="1">
      <alignment horizontal="center" vertical="center"/>
    </xf>
    <xf numFmtId="164" fontId="49" fillId="0" borderId="21" xfId="0" applyNumberFormat="1" applyFont="1" applyBorder="1" applyAlignment="1">
      <alignment horizontal="right" vertical="center"/>
    </xf>
    <xf numFmtId="164" fontId="49" fillId="0" borderId="22" xfId="0" applyNumberFormat="1" applyFont="1" applyBorder="1" applyAlignment="1">
      <alignment horizontal="right" vertical="center"/>
    </xf>
    <xf numFmtId="164" fontId="49" fillId="0" borderId="60" xfId="0" applyNumberFormat="1" applyFont="1" applyBorder="1" applyAlignment="1">
      <alignment horizontal="right" vertical="center"/>
    </xf>
    <xf numFmtId="0" fontId="42" fillId="0" borderId="89" xfId="0" applyFont="1" applyBorder="1" applyAlignment="1">
      <alignment horizontal="center" vertical="center"/>
    </xf>
    <xf numFmtId="0" fontId="42" fillId="0" borderId="86" xfId="0" applyFont="1" applyBorder="1" applyAlignment="1">
      <alignment horizontal="center" vertical="center"/>
    </xf>
    <xf numFmtId="0" fontId="42" fillId="0" borderId="105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60" xfId="0" applyFont="1" applyBorder="1" applyAlignment="1">
      <alignment horizontal="center" vertical="center"/>
    </xf>
    <xf numFmtId="0" fontId="52" fillId="0" borderId="89" xfId="0" applyFont="1" applyBorder="1">
      <alignment vertical="center"/>
    </xf>
    <xf numFmtId="0" fontId="52" fillId="0" borderId="86" xfId="0" applyFont="1" applyBorder="1">
      <alignment vertical="center"/>
    </xf>
    <xf numFmtId="0" fontId="52" fillId="0" borderId="105" xfId="0" applyFont="1" applyBorder="1">
      <alignment vertical="center"/>
    </xf>
    <xf numFmtId="0" fontId="52" fillId="0" borderId="83" xfId="0" applyFont="1" applyBorder="1">
      <alignment vertical="center"/>
    </xf>
    <xf numFmtId="0" fontId="52" fillId="0" borderId="0" xfId="0" applyFont="1">
      <alignment vertical="center"/>
    </xf>
    <xf numFmtId="0" fontId="52" fillId="0" borderId="82" xfId="0" applyFont="1" applyBorder="1">
      <alignment vertical="center"/>
    </xf>
    <xf numFmtId="0" fontId="52" fillId="0" borderId="21" xfId="0" applyFont="1" applyBorder="1">
      <alignment vertical="center"/>
    </xf>
    <xf numFmtId="0" fontId="52" fillId="0" borderId="22" xfId="0" applyFont="1" applyBorder="1">
      <alignment vertical="center"/>
    </xf>
    <xf numFmtId="0" fontId="52" fillId="0" borderId="60" xfId="0" applyFont="1" applyBorder="1">
      <alignment vertical="center"/>
    </xf>
    <xf numFmtId="0" fontId="41" fillId="0" borderId="105" xfId="0" applyFont="1" applyBorder="1">
      <alignment vertical="center"/>
    </xf>
    <xf numFmtId="0" fontId="41" fillId="0" borderId="83" xfId="0" applyFont="1" applyBorder="1">
      <alignment vertical="center"/>
    </xf>
    <xf numFmtId="0" fontId="41" fillId="0" borderId="82" xfId="0" applyFont="1" applyBorder="1">
      <alignment vertical="center"/>
    </xf>
    <xf numFmtId="0" fontId="49" fillId="0" borderId="32" xfId="0" applyFont="1" applyBorder="1" applyAlignment="1">
      <alignment horizontal="center"/>
    </xf>
    <xf numFmtId="0" fontId="49" fillId="0" borderId="33" xfId="0" applyFont="1" applyBorder="1" applyAlignment="1">
      <alignment horizontal="center"/>
    </xf>
    <xf numFmtId="0" fontId="49" fillId="0" borderId="110" xfId="0" applyFont="1" applyBorder="1" applyAlignment="1">
      <alignment horizontal="center"/>
    </xf>
    <xf numFmtId="0" fontId="49" fillId="0" borderId="111" xfId="0" applyFont="1" applyBorder="1" applyAlignment="1">
      <alignment horizontal="center"/>
    </xf>
    <xf numFmtId="0" fontId="49" fillId="0" borderId="32" xfId="0" applyFont="1" applyBorder="1" applyAlignment="1">
      <alignment horizontal="center" vertical="center"/>
    </xf>
    <xf numFmtId="0" fontId="49" fillId="0" borderId="33" xfId="0" applyFont="1" applyBorder="1" applyAlignment="1">
      <alignment horizontal="center" vertical="center"/>
    </xf>
    <xf numFmtId="0" fontId="49" fillId="0" borderId="112" xfId="0" applyFont="1" applyBorder="1" applyAlignment="1">
      <alignment horizontal="center" vertical="center"/>
    </xf>
    <xf numFmtId="0" fontId="49" fillId="0" borderId="113" xfId="0" applyFont="1" applyBorder="1" applyAlignment="1">
      <alignment horizontal="center" vertical="center"/>
    </xf>
    <xf numFmtId="0" fontId="49" fillId="0" borderId="70" xfId="0" applyFont="1" applyBorder="1" applyAlignment="1">
      <alignment horizontal="center" vertical="center"/>
    </xf>
    <xf numFmtId="0" fontId="43" fillId="0" borderId="70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14" fontId="43" fillId="0" borderId="32" xfId="0" applyNumberFormat="1" applyFont="1" applyBorder="1" applyAlignment="1">
      <alignment horizontal="center" vertical="center"/>
    </xf>
    <xf numFmtId="14" fontId="43" fillId="0" borderId="70" xfId="0" applyNumberFormat="1" applyFont="1" applyBorder="1" applyAlignment="1">
      <alignment horizontal="center" vertical="center"/>
    </xf>
    <xf numFmtId="14" fontId="43" fillId="0" borderId="33" xfId="0" applyNumberFormat="1" applyFont="1" applyBorder="1" applyAlignment="1">
      <alignment horizontal="center" vertical="center"/>
    </xf>
    <xf numFmtId="0" fontId="45" fillId="0" borderId="106" xfId="0" applyFont="1" applyBorder="1" applyAlignment="1">
      <alignment horizontal="center" vertical="center"/>
    </xf>
    <xf numFmtId="0" fontId="45" fillId="0" borderId="107" xfId="0" applyFont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109" xfId="0" applyFont="1" applyBorder="1" applyAlignment="1">
      <alignment horizontal="center" vertical="center"/>
    </xf>
    <xf numFmtId="164" fontId="131" fillId="0" borderId="21" xfId="0" applyNumberFormat="1" applyFont="1" applyBorder="1" applyAlignment="1">
      <alignment horizontal="right" vertical="center"/>
    </xf>
    <xf numFmtId="164" fontId="131" fillId="0" borderId="22" xfId="0" applyNumberFormat="1" applyFont="1" applyBorder="1" applyAlignment="1">
      <alignment horizontal="right" vertical="center"/>
    </xf>
    <xf numFmtId="164" fontId="131" fillId="0" borderId="60" xfId="0" applyNumberFormat="1" applyFont="1" applyBorder="1" applyAlignment="1">
      <alignment horizontal="right" vertical="center"/>
    </xf>
    <xf numFmtId="0" fontId="122" fillId="0" borderId="89" xfId="0" applyFont="1" applyBorder="1">
      <alignment vertical="center"/>
    </xf>
    <xf numFmtId="0" fontId="122" fillId="0" borderId="86" xfId="0" applyFont="1" applyBorder="1">
      <alignment vertical="center"/>
    </xf>
    <xf numFmtId="0" fontId="122" fillId="0" borderId="105" xfId="0" applyFont="1" applyBorder="1">
      <alignment vertical="center"/>
    </xf>
    <xf numFmtId="0" fontId="122" fillId="0" borderId="83" xfId="0" applyFont="1" applyBorder="1">
      <alignment vertical="center"/>
    </xf>
    <xf numFmtId="0" fontId="122" fillId="0" borderId="0" xfId="0" applyFont="1">
      <alignment vertical="center"/>
    </xf>
    <xf numFmtId="0" fontId="122" fillId="0" borderId="82" xfId="0" applyFont="1" applyBorder="1">
      <alignment vertical="center"/>
    </xf>
    <xf numFmtId="0" fontId="122" fillId="0" borderId="21" xfId="0" applyFont="1" applyBorder="1">
      <alignment vertical="center"/>
    </xf>
    <xf numFmtId="0" fontId="122" fillId="0" borderId="22" xfId="0" applyFont="1" applyBorder="1">
      <alignment vertical="center"/>
    </xf>
    <xf numFmtId="0" fontId="122" fillId="0" borderId="60" xfId="0" applyFont="1" applyBorder="1">
      <alignment vertical="center"/>
    </xf>
    <xf numFmtId="0" fontId="0" fillId="0" borderId="89" xfId="0" applyBorder="1">
      <alignment vertical="center"/>
    </xf>
    <xf numFmtId="0" fontId="0" fillId="0" borderId="105" xfId="0" applyBorder="1">
      <alignment vertical="center"/>
    </xf>
    <xf numFmtId="0" fontId="0" fillId="0" borderId="83" xfId="0" applyBorder="1">
      <alignment vertical="center"/>
    </xf>
    <xf numFmtId="0" fontId="0" fillId="0" borderId="82" xfId="0" applyBorder="1">
      <alignment vertical="center"/>
    </xf>
    <xf numFmtId="0" fontId="123" fillId="0" borderId="89" xfId="0" applyFont="1" applyBorder="1" applyAlignment="1">
      <alignment horizontal="center" vertical="center"/>
    </xf>
    <xf numFmtId="0" fontId="123" fillId="0" borderId="86" xfId="0" applyFont="1" applyBorder="1" applyAlignment="1">
      <alignment horizontal="center" vertical="center"/>
    </xf>
    <xf numFmtId="0" fontId="123" fillId="0" borderId="105" xfId="0" applyFont="1" applyBorder="1" applyAlignment="1">
      <alignment horizontal="center" vertical="center"/>
    </xf>
    <xf numFmtId="0" fontId="123" fillId="0" borderId="21" xfId="0" applyFont="1" applyBorder="1" applyAlignment="1">
      <alignment horizontal="center" vertical="center"/>
    </xf>
    <xf numFmtId="0" fontId="123" fillId="0" borderId="22" xfId="0" applyFont="1" applyBorder="1" applyAlignment="1">
      <alignment horizontal="center" vertical="center"/>
    </xf>
    <xf numFmtId="0" fontId="123" fillId="0" borderId="60" xfId="0" applyFont="1" applyBorder="1" applyAlignment="1">
      <alignment horizontal="center" vertical="center"/>
    </xf>
    <xf numFmtId="0" fontId="131" fillId="0" borderId="32" xfId="0" applyFont="1" applyBorder="1" applyAlignment="1">
      <alignment horizontal="center"/>
    </xf>
    <xf numFmtId="0" fontId="131" fillId="0" borderId="33" xfId="0" applyFont="1" applyBorder="1" applyAlignment="1">
      <alignment horizontal="center"/>
    </xf>
    <xf numFmtId="0" fontId="131" fillId="0" borderId="110" xfId="0" applyFont="1" applyBorder="1" applyAlignment="1">
      <alignment horizontal="center"/>
    </xf>
    <xf numFmtId="0" fontId="131" fillId="0" borderId="111" xfId="0" applyFont="1" applyBorder="1" applyAlignment="1">
      <alignment horizontal="center"/>
    </xf>
    <xf numFmtId="0" fontId="131" fillId="0" borderId="32" xfId="0" applyFont="1" applyBorder="1" applyAlignment="1">
      <alignment horizontal="center" vertical="center"/>
    </xf>
    <xf numFmtId="0" fontId="131" fillId="0" borderId="33" xfId="0" applyFont="1" applyBorder="1" applyAlignment="1">
      <alignment horizontal="center" vertical="center"/>
    </xf>
    <xf numFmtId="0" fontId="131" fillId="0" borderId="112" xfId="0" applyFont="1" applyBorder="1" applyAlignment="1">
      <alignment horizontal="center" vertical="center"/>
    </xf>
    <xf numFmtId="0" fontId="131" fillId="0" borderId="113" xfId="0" applyFont="1" applyBorder="1" applyAlignment="1">
      <alignment horizontal="center" vertical="center"/>
    </xf>
    <xf numFmtId="0" fontId="131" fillId="0" borderId="70" xfId="0" applyFont="1" applyBorder="1" applyAlignment="1">
      <alignment horizontal="center" vertical="center"/>
    </xf>
    <xf numFmtId="0" fontId="124" fillId="0" borderId="32" xfId="0" applyFont="1" applyBorder="1" applyAlignment="1">
      <alignment horizontal="center" vertical="center"/>
    </xf>
    <xf numFmtId="0" fontId="124" fillId="0" borderId="70" xfId="0" applyFont="1" applyBorder="1" applyAlignment="1">
      <alignment horizontal="center" vertical="center"/>
    </xf>
    <xf numFmtId="0" fontId="124" fillId="0" borderId="33" xfId="0" applyFont="1" applyBorder="1" applyAlignment="1">
      <alignment horizontal="center" vertical="center"/>
    </xf>
    <xf numFmtId="14" fontId="124" fillId="0" borderId="32" xfId="0" applyNumberFormat="1" applyFont="1" applyBorder="1" applyAlignment="1">
      <alignment horizontal="center" vertical="center"/>
    </xf>
    <xf numFmtId="14" fontId="124" fillId="0" borderId="70" xfId="0" applyNumberFormat="1" applyFont="1" applyBorder="1" applyAlignment="1">
      <alignment horizontal="center" vertical="center"/>
    </xf>
    <xf numFmtId="14" fontId="124" fillId="0" borderId="33" xfId="0" applyNumberFormat="1" applyFont="1" applyBorder="1" applyAlignment="1">
      <alignment horizontal="center" vertical="center"/>
    </xf>
    <xf numFmtId="0" fontId="127" fillId="0" borderId="106" xfId="0" applyFont="1" applyBorder="1" applyAlignment="1">
      <alignment horizontal="center" vertical="center"/>
    </xf>
    <xf numFmtId="0" fontId="127" fillId="0" borderId="107" xfId="0" applyFont="1" applyBorder="1" applyAlignment="1">
      <alignment horizontal="center" vertical="center"/>
    </xf>
    <xf numFmtId="0" fontId="127" fillId="0" borderId="108" xfId="0" applyFont="1" applyBorder="1" applyAlignment="1">
      <alignment horizontal="center" vertical="center"/>
    </xf>
    <xf numFmtId="0" fontId="127" fillId="0" borderId="109" xfId="0" applyFont="1" applyBorder="1" applyAlignment="1">
      <alignment horizontal="center" vertical="center"/>
    </xf>
    <xf numFmtId="164" fontId="102" fillId="0" borderId="21" xfId="0" applyNumberFormat="1" applyFont="1" applyBorder="1" applyAlignment="1">
      <alignment horizontal="right" vertical="center"/>
    </xf>
    <xf numFmtId="164" fontId="102" fillId="0" borderId="22" xfId="0" applyNumberFormat="1" applyFont="1" applyBorder="1" applyAlignment="1">
      <alignment horizontal="right" vertical="center"/>
    </xf>
    <xf numFmtId="164" fontId="102" fillId="0" borderId="60" xfId="0" applyNumberFormat="1" applyFont="1" applyBorder="1" applyAlignment="1">
      <alignment horizontal="right" vertical="center"/>
    </xf>
    <xf numFmtId="0" fontId="105" fillId="0" borderId="83" xfId="0" applyFont="1" applyBorder="1">
      <alignment vertical="center"/>
    </xf>
    <xf numFmtId="0" fontId="105" fillId="0" borderId="86" xfId="0" applyFont="1" applyBorder="1">
      <alignment vertical="center"/>
    </xf>
    <xf numFmtId="0" fontId="105" fillId="0" borderId="105" xfId="0" applyFont="1" applyBorder="1">
      <alignment vertical="center"/>
    </xf>
    <xf numFmtId="0" fontId="105" fillId="0" borderId="0" xfId="0" applyFont="1">
      <alignment vertical="center"/>
    </xf>
    <xf numFmtId="0" fontId="105" fillId="0" borderId="82" xfId="0" applyFont="1" applyBorder="1">
      <alignment vertical="center"/>
    </xf>
    <xf numFmtId="0" fontId="105" fillId="0" borderId="21" xfId="0" applyFont="1" applyBorder="1">
      <alignment vertical="center"/>
    </xf>
    <xf numFmtId="0" fontId="105" fillId="0" borderId="22" xfId="0" applyFont="1" applyBorder="1">
      <alignment vertical="center"/>
    </xf>
    <xf numFmtId="0" fontId="105" fillId="0" borderId="60" xfId="0" applyFont="1" applyBorder="1">
      <alignment vertical="center"/>
    </xf>
    <xf numFmtId="0" fontId="93" fillId="0" borderId="89" xfId="0" applyFont="1" applyBorder="1">
      <alignment vertical="center"/>
    </xf>
    <xf numFmtId="0" fontId="93" fillId="0" borderId="105" xfId="0" applyFont="1" applyBorder="1">
      <alignment vertical="center"/>
    </xf>
    <xf numFmtId="0" fontId="93" fillId="0" borderId="83" xfId="0" applyFont="1" applyBorder="1">
      <alignment vertical="center"/>
    </xf>
    <xf numFmtId="0" fontId="93" fillId="0" borderId="82" xfId="0" applyFont="1" applyBorder="1">
      <alignment vertical="center"/>
    </xf>
    <xf numFmtId="0" fontId="94" fillId="0" borderId="89" xfId="0" applyFont="1" applyBorder="1" applyAlignment="1">
      <alignment horizontal="center" vertical="center"/>
    </xf>
    <xf numFmtId="0" fontId="94" fillId="0" borderId="86" xfId="0" applyFont="1" applyBorder="1" applyAlignment="1">
      <alignment horizontal="center" vertical="center"/>
    </xf>
    <xf numFmtId="0" fontId="94" fillId="0" borderId="105" xfId="0" applyFont="1" applyBorder="1" applyAlignment="1">
      <alignment horizontal="center" vertical="center"/>
    </xf>
    <xf numFmtId="0" fontId="94" fillId="0" borderId="21" xfId="0" applyFont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102" fillId="0" borderId="32" xfId="0" applyFont="1" applyBorder="1" applyAlignment="1">
      <alignment horizontal="center"/>
    </xf>
    <xf numFmtId="0" fontId="102" fillId="0" borderId="33" xfId="0" applyFont="1" applyBorder="1" applyAlignment="1">
      <alignment horizontal="center"/>
    </xf>
    <xf numFmtId="0" fontId="102" fillId="0" borderId="110" xfId="0" applyFont="1" applyBorder="1" applyAlignment="1">
      <alignment horizontal="center"/>
    </xf>
    <xf numFmtId="0" fontId="102" fillId="0" borderId="111" xfId="0" applyFont="1" applyBorder="1" applyAlignment="1">
      <alignment horizontal="center"/>
    </xf>
    <xf numFmtId="0" fontId="102" fillId="0" borderId="32" xfId="0" applyFont="1" applyBorder="1" applyAlignment="1">
      <alignment horizontal="center" vertical="center"/>
    </xf>
    <xf numFmtId="0" fontId="102" fillId="0" borderId="33" xfId="0" applyFont="1" applyBorder="1" applyAlignment="1">
      <alignment horizontal="center" vertical="center"/>
    </xf>
    <xf numFmtId="0" fontId="102" fillId="0" borderId="112" xfId="0" applyFont="1" applyBorder="1" applyAlignment="1">
      <alignment horizontal="center" vertical="center"/>
    </xf>
    <xf numFmtId="0" fontId="102" fillId="0" borderId="113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95" fillId="0" borderId="32" xfId="0" applyFont="1" applyBorder="1" applyAlignment="1">
      <alignment horizontal="center" vertical="center"/>
    </xf>
    <xf numFmtId="0" fontId="95" fillId="0" borderId="70" xfId="0" applyFont="1" applyBorder="1" applyAlignment="1">
      <alignment horizontal="center" vertical="center"/>
    </xf>
    <xf numFmtId="0" fontId="95" fillId="0" borderId="33" xfId="0" applyFont="1" applyBorder="1" applyAlignment="1">
      <alignment horizontal="center" vertical="center"/>
    </xf>
    <xf numFmtId="14" fontId="95" fillId="0" borderId="32" xfId="0" applyNumberFormat="1" applyFont="1" applyBorder="1" applyAlignment="1">
      <alignment horizontal="center" vertical="center"/>
    </xf>
    <xf numFmtId="14" fontId="95" fillId="0" borderId="70" xfId="0" applyNumberFormat="1" applyFont="1" applyBorder="1" applyAlignment="1">
      <alignment horizontal="center" vertical="center"/>
    </xf>
    <xf numFmtId="14" fontId="95" fillId="0" borderId="33" xfId="0" applyNumberFormat="1" applyFont="1" applyBorder="1" applyAlignment="1">
      <alignment horizontal="center" vertical="center"/>
    </xf>
    <xf numFmtId="0" fontId="98" fillId="0" borderId="106" xfId="0" applyFont="1" applyBorder="1" applyAlignment="1">
      <alignment horizontal="center" vertical="center"/>
    </xf>
    <xf numFmtId="0" fontId="98" fillId="0" borderId="107" xfId="0" applyFont="1" applyBorder="1" applyAlignment="1">
      <alignment horizontal="center" vertical="center"/>
    </xf>
    <xf numFmtId="0" fontId="98" fillId="0" borderId="108" xfId="0" applyFont="1" applyBorder="1" applyAlignment="1">
      <alignment horizontal="center" vertical="center"/>
    </xf>
    <xf numFmtId="0" fontId="98" fillId="0" borderId="109" xfId="0" applyFont="1" applyBorder="1" applyAlignment="1">
      <alignment horizontal="center" vertical="center"/>
    </xf>
    <xf numFmtId="164" fontId="80" fillId="0" borderId="13" xfId="0" applyNumberFormat="1" applyFont="1" applyBorder="1" applyAlignment="1">
      <alignment horizontal="right" vertical="center"/>
    </xf>
    <xf numFmtId="164" fontId="80" fillId="0" borderId="14" xfId="0" applyNumberFormat="1" applyFont="1" applyBorder="1" applyAlignment="1">
      <alignment horizontal="right" vertical="center"/>
    </xf>
    <xf numFmtId="164" fontId="80" fillId="0" borderId="15" xfId="0" applyNumberFormat="1" applyFont="1" applyBorder="1" applyAlignment="1">
      <alignment horizontal="right" vertical="center"/>
    </xf>
    <xf numFmtId="0" fontId="71" fillId="0" borderId="1" xfId="0" applyFont="1" applyBorder="1">
      <alignment vertical="center"/>
    </xf>
    <xf numFmtId="0" fontId="71" fillId="0" borderId="2" xfId="0" applyFont="1" applyBorder="1">
      <alignment vertical="center"/>
    </xf>
    <xf numFmtId="0" fontId="71" fillId="0" borderId="3" xfId="0" applyFont="1" applyBorder="1">
      <alignment vertical="center"/>
    </xf>
    <xf numFmtId="0" fontId="71" fillId="0" borderId="4" xfId="0" applyFont="1" applyBorder="1">
      <alignment vertical="center"/>
    </xf>
    <xf numFmtId="0" fontId="71" fillId="0" borderId="0" xfId="0" applyFont="1">
      <alignment vertical="center"/>
    </xf>
    <xf numFmtId="0" fontId="71" fillId="0" borderId="5" xfId="0" applyFont="1" applyBorder="1">
      <alignment vertical="center"/>
    </xf>
    <xf numFmtId="0" fontId="71" fillId="0" borderId="28" xfId="0" applyFont="1" applyBorder="1">
      <alignment vertical="center"/>
    </xf>
    <xf numFmtId="0" fontId="71" fillId="0" borderId="29" xfId="0" applyFont="1" applyBorder="1">
      <alignment vertical="center"/>
    </xf>
    <xf numFmtId="0" fontId="71" fillId="0" borderId="30" xfId="0" applyFont="1" applyBorder="1">
      <alignment vertical="center"/>
    </xf>
    <xf numFmtId="0" fontId="70" fillId="0" borderId="89" xfId="0" applyFont="1" applyBorder="1">
      <alignment vertical="center"/>
    </xf>
    <xf numFmtId="0" fontId="70" fillId="0" borderId="105" xfId="0" applyFont="1" applyBorder="1">
      <alignment vertical="center"/>
    </xf>
    <xf numFmtId="0" fontId="70" fillId="0" borderId="83" xfId="0" applyFont="1" applyBorder="1">
      <alignment vertical="center"/>
    </xf>
    <xf numFmtId="0" fontId="70" fillId="0" borderId="82" xfId="0" applyFont="1" applyBorder="1">
      <alignment vertical="center"/>
    </xf>
    <xf numFmtId="0" fontId="72" fillId="0" borderId="89" xfId="0" applyFont="1" applyBorder="1" applyAlignment="1">
      <alignment horizontal="center" vertical="center"/>
    </xf>
    <xf numFmtId="0" fontId="72" fillId="0" borderId="86" xfId="0" applyFont="1" applyBorder="1" applyAlignment="1">
      <alignment horizontal="center" vertical="center"/>
    </xf>
    <xf numFmtId="0" fontId="72" fillId="0" borderId="105" xfId="0" applyFont="1" applyBorder="1" applyAlignment="1">
      <alignment horizontal="center" vertical="center"/>
    </xf>
    <xf numFmtId="0" fontId="72" fillId="0" borderId="21" xfId="0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0" fontId="72" fillId="0" borderId="60" xfId="0" applyFont="1" applyBorder="1" applyAlignment="1">
      <alignment horizontal="center" vertical="center"/>
    </xf>
    <xf numFmtId="0" fontId="80" fillId="0" borderId="32" xfId="0" applyFont="1" applyBorder="1" applyAlignment="1">
      <alignment horizontal="center"/>
    </xf>
    <xf numFmtId="0" fontId="80" fillId="0" borderId="33" xfId="0" applyFont="1" applyBorder="1" applyAlignment="1">
      <alignment horizontal="center"/>
    </xf>
    <xf numFmtId="0" fontId="80" fillId="0" borderId="110" xfId="0" applyFont="1" applyBorder="1" applyAlignment="1">
      <alignment horizontal="center"/>
    </xf>
    <xf numFmtId="0" fontId="80" fillId="0" borderId="111" xfId="0" applyFont="1" applyBorder="1" applyAlignment="1">
      <alignment horizontal="center"/>
    </xf>
    <xf numFmtId="0" fontId="80" fillId="0" borderId="32" xfId="0" applyFont="1" applyBorder="1" applyAlignment="1">
      <alignment horizontal="center" vertical="center"/>
    </xf>
    <xf numFmtId="0" fontId="80" fillId="0" borderId="33" xfId="0" applyFont="1" applyBorder="1" applyAlignment="1">
      <alignment horizontal="center" vertical="center"/>
    </xf>
    <xf numFmtId="0" fontId="80" fillId="0" borderId="112" xfId="0" applyFont="1" applyBorder="1" applyAlignment="1">
      <alignment horizontal="center" vertical="center"/>
    </xf>
    <xf numFmtId="0" fontId="80" fillId="0" borderId="113" xfId="0" applyFont="1" applyBorder="1" applyAlignment="1">
      <alignment horizontal="center" vertical="center"/>
    </xf>
    <xf numFmtId="0" fontId="80" fillId="0" borderId="7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70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14" fontId="73" fillId="0" borderId="32" xfId="0" applyNumberFormat="1" applyFont="1" applyBorder="1" applyAlignment="1">
      <alignment horizontal="center" vertical="center"/>
    </xf>
    <xf numFmtId="14" fontId="73" fillId="0" borderId="70" xfId="0" applyNumberFormat="1" applyFont="1" applyBorder="1" applyAlignment="1">
      <alignment horizontal="center" vertical="center"/>
    </xf>
    <xf numFmtId="14" fontId="73" fillId="0" borderId="33" xfId="0" applyNumberFormat="1" applyFont="1" applyBorder="1" applyAlignment="1">
      <alignment horizontal="center" vertical="center"/>
    </xf>
    <xf numFmtId="0" fontId="76" fillId="0" borderId="106" xfId="0" applyFont="1" applyBorder="1" applyAlignment="1">
      <alignment horizontal="center" vertical="center"/>
    </xf>
    <xf numFmtId="0" fontId="76" fillId="0" borderId="107" xfId="0" applyFont="1" applyBorder="1" applyAlignment="1">
      <alignment horizontal="center" vertical="center"/>
    </xf>
    <xf numFmtId="0" fontId="76" fillId="0" borderId="108" xfId="0" applyFont="1" applyBorder="1" applyAlignment="1">
      <alignment horizontal="center" vertical="center"/>
    </xf>
    <xf numFmtId="0" fontId="76" fillId="0" borderId="109" xfId="0" applyFont="1" applyBorder="1" applyAlignment="1">
      <alignment horizontal="center" vertical="center"/>
    </xf>
    <xf numFmtId="164" fontId="49" fillId="0" borderId="13" xfId="0" applyNumberFormat="1" applyFont="1" applyBorder="1" applyAlignment="1">
      <alignment horizontal="right" vertical="center"/>
    </xf>
    <xf numFmtId="164" fontId="49" fillId="0" borderId="14" xfId="0" applyNumberFormat="1" applyFont="1" applyBorder="1" applyAlignment="1">
      <alignment horizontal="right" vertical="center"/>
    </xf>
    <xf numFmtId="164" fontId="49" fillId="0" borderId="15" xfId="0" applyNumberFormat="1" applyFont="1" applyBorder="1" applyAlignment="1">
      <alignment horizontal="right" vertical="center"/>
    </xf>
    <xf numFmtId="0" fontId="52" fillId="0" borderId="1" xfId="0" applyFont="1" applyBorder="1">
      <alignment vertical="center"/>
    </xf>
    <xf numFmtId="0" fontId="52" fillId="0" borderId="2" xfId="0" applyFont="1" applyBorder="1">
      <alignment vertical="center"/>
    </xf>
    <xf numFmtId="0" fontId="52" fillId="0" borderId="3" xfId="0" applyFont="1" applyBorder="1">
      <alignment vertical="center"/>
    </xf>
    <xf numFmtId="0" fontId="52" fillId="0" borderId="4" xfId="0" applyFont="1" applyBorder="1">
      <alignment vertical="center"/>
    </xf>
    <xf numFmtId="0" fontId="52" fillId="0" borderId="5" xfId="0" applyFont="1" applyBorder="1">
      <alignment vertical="center"/>
    </xf>
    <xf numFmtId="0" fontId="52" fillId="0" borderId="28" xfId="0" applyFont="1" applyBorder="1">
      <alignment vertical="center"/>
    </xf>
    <xf numFmtId="0" fontId="52" fillId="0" borderId="29" xfId="0" applyFont="1" applyBorder="1">
      <alignment vertical="center"/>
    </xf>
    <xf numFmtId="0" fontId="52" fillId="0" borderId="30" xfId="0" applyFont="1" applyBorder="1">
      <alignment vertical="center"/>
    </xf>
    <xf numFmtId="164" fontId="3" fillId="0" borderId="13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right" vertical="center"/>
    </xf>
    <xf numFmtId="164" fontId="3" fillId="0" borderId="15" xfId="0" applyNumberFormat="1" applyFont="1" applyBorder="1" applyAlignment="1">
      <alignment horizontal="right" vertical="center"/>
    </xf>
    <xf numFmtId="0" fontId="105" fillId="0" borderId="1" xfId="0" applyFont="1" applyBorder="1">
      <alignment vertical="center"/>
    </xf>
    <xf numFmtId="0" fontId="105" fillId="0" borderId="2" xfId="0" applyFont="1" applyBorder="1">
      <alignment vertical="center"/>
    </xf>
    <xf numFmtId="0" fontId="105" fillId="0" borderId="3" xfId="0" applyFont="1" applyBorder="1">
      <alignment vertical="center"/>
    </xf>
    <xf numFmtId="0" fontId="105" fillId="0" borderId="4" xfId="0" applyFont="1" applyBorder="1">
      <alignment vertical="center"/>
    </xf>
    <xf numFmtId="0" fontId="105" fillId="0" borderId="5" xfId="0" applyFont="1" applyBorder="1">
      <alignment vertical="center"/>
    </xf>
    <xf numFmtId="0" fontId="105" fillId="0" borderId="28" xfId="0" applyFont="1" applyBorder="1">
      <alignment vertical="center"/>
    </xf>
    <xf numFmtId="0" fontId="105" fillId="0" borderId="29" xfId="0" applyFont="1" applyBorder="1">
      <alignment vertical="center"/>
    </xf>
    <xf numFmtId="0" fontId="105" fillId="0" borderId="30" xfId="0" applyFont="1" applyBorder="1">
      <alignment vertical="center"/>
    </xf>
    <xf numFmtId="164" fontId="80" fillId="0" borderId="104" xfId="0" applyNumberFormat="1" applyFont="1" applyBorder="1" applyAlignment="1">
      <alignment horizontal="right" vertical="center"/>
    </xf>
    <xf numFmtId="164" fontId="80" fillId="0" borderId="103" xfId="0" applyNumberFormat="1" applyFont="1" applyBorder="1" applyAlignment="1">
      <alignment horizontal="right" vertical="center"/>
    </xf>
    <xf numFmtId="0" fontId="71" fillId="0" borderId="69" xfId="0" applyFont="1" applyBorder="1">
      <alignment vertical="center"/>
    </xf>
    <xf numFmtId="0" fontId="71" fillId="0" borderId="32" xfId="0" applyFont="1" applyBorder="1">
      <alignment vertical="center"/>
    </xf>
    <xf numFmtId="0" fontId="71" fillId="0" borderId="33" xfId="0" applyFont="1" applyBorder="1">
      <alignment vertical="center"/>
    </xf>
    <xf numFmtId="0" fontId="70" fillId="0" borderId="69" xfId="0" applyFont="1" applyBorder="1">
      <alignment vertical="center"/>
    </xf>
    <xf numFmtId="0" fontId="70" fillId="0" borderId="32" xfId="0" applyFont="1" applyBorder="1">
      <alignment vertical="center"/>
    </xf>
    <xf numFmtId="0" fontId="72" fillId="0" borderId="62" xfId="0" applyFont="1" applyBorder="1" applyAlignment="1">
      <alignment horizontal="center" vertical="center"/>
    </xf>
    <xf numFmtId="0" fontId="72" fillId="0" borderId="63" xfId="0" applyFont="1" applyBorder="1" applyAlignment="1">
      <alignment horizontal="center" vertical="center"/>
    </xf>
    <xf numFmtId="0" fontId="72" fillId="0" borderId="64" xfId="0" applyFont="1" applyBorder="1" applyAlignment="1">
      <alignment horizontal="center" vertical="center"/>
    </xf>
    <xf numFmtId="0" fontId="72" fillId="0" borderId="65" xfId="0" applyFont="1" applyBorder="1" applyAlignment="1">
      <alignment horizontal="center" vertical="center"/>
    </xf>
    <xf numFmtId="0" fontId="72" fillId="0" borderId="66" xfId="0" applyFont="1" applyBorder="1" applyAlignment="1">
      <alignment horizontal="center" vertical="center"/>
    </xf>
    <xf numFmtId="0" fontId="72" fillId="0" borderId="67" xfId="0" applyFont="1" applyBorder="1" applyAlignment="1">
      <alignment horizontal="center" vertical="center"/>
    </xf>
    <xf numFmtId="0" fontId="80" fillId="0" borderId="69" xfId="0" applyFont="1" applyBorder="1" applyAlignment="1">
      <alignment horizontal="center"/>
    </xf>
    <xf numFmtId="0" fontId="80" fillId="0" borderId="34" xfId="0" applyFont="1" applyBorder="1" applyAlignment="1">
      <alignment horizontal="center"/>
    </xf>
    <xf numFmtId="0" fontId="80" fillId="0" borderId="69" xfId="0" applyFont="1" applyBorder="1" applyAlignment="1">
      <alignment horizontal="center" vertical="center"/>
    </xf>
    <xf numFmtId="0" fontId="80" fillId="0" borderId="75" xfId="0" applyFont="1" applyBorder="1" applyAlignment="1">
      <alignment horizontal="center" vertical="center"/>
    </xf>
    <xf numFmtId="0" fontId="80" fillId="0" borderId="76" xfId="0" applyFont="1" applyBorder="1" applyAlignment="1">
      <alignment horizontal="center" vertical="center"/>
    </xf>
    <xf numFmtId="0" fontId="80" fillId="0" borderId="66" xfId="0" applyFont="1" applyBorder="1" applyAlignment="1">
      <alignment horizontal="center" vertical="center"/>
    </xf>
    <xf numFmtId="0" fontId="80" fillId="0" borderId="89" xfId="0" applyFont="1" applyBorder="1" applyAlignment="1">
      <alignment horizontal="center" vertical="center"/>
    </xf>
    <xf numFmtId="0" fontId="73" fillId="0" borderId="65" xfId="0" applyFont="1" applyBorder="1" applyAlignment="1">
      <alignment horizontal="center" vertical="center"/>
    </xf>
    <xf numFmtId="0" fontId="73" fillId="0" borderId="66" xfId="0" applyFont="1" applyBorder="1" applyAlignment="1">
      <alignment horizontal="center" vertical="center"/>
    </xf>
    <xf numFmtId="0" fontId="73" fillId="0" borderId="67" xfId="0" applyFont="1" applyBorder="1" applyAlignment="1">
      <alignment horizontal="center" vertical="center"/>
    </xf>
    <xf numFmtId="0" fontId="73" fillId="0" borderId="68" xfId="0" applyFont="1" applyBorder="1" applyAlignment="1">
      <alignment horizontal="center" vertical="center"/>
    </xf>
    <xf numFmtId="0" fontId="73" fillId="0" borderId="69" xfId="0" applyFont="1" applyBorder="1" applyAlignment="1">
      <alignment horizontal="center" vertical="center"/>
    </xf>
    <xf numFmtId="14" fontId="73" fillId="0" borderId="69" xfId="0" applyNumberFormat="1" applyFont="1" applyBorder="1" applyAlignment="1">
      <alignment horizontal="center" vertical="center"/>
    </xf>
    <xf numFmtId="14" fontId="73" fillId="0" borderId="71" xfId="0" applyNumberFormat="1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0" fontId="76" fillId="0" borderId="24" xfId="0" applyFont="1" applyBorder="1" applyAlignment="1">
      <alignment horizontal="center" vertical="center"/>
    </xf>
    <xf numFmtId="0" fontId="76" fillId="0" borderId="25" xfId="0" applyFont="1" applyBorder="1" applyAlignment="1">
      <alignment horizontal="center" vertical="center"/>
    </xf>
    <xf numFmtId="0" fontId="76" fillId="0" borderId="26" xfId="0" applyFont="1" applyBorder="1" applyAlignment="1">
      <alignment horizontal="center" vertical="center"/>
    </xf>
    <xf numFmtId="164" fontId="9" fillId="0" borderId="69" xfId="0" applyNumberFormat="1" applyFont="1" applyBorder="1" applyAlignment="1">
      <alignment horizontal="right" vertical="center"/>
    </xf>
    <xf numFmtId="164" fontId="9" fillId="0" borderId="20" xfId="0" applyNumberFormat="1" applyFont="1" applyBorder="1" applyAlignment="1">
      <alignment horizontal="right" vertical="center"/>
    </xf>
    <xf numFmtId="0" fontId="14" fillId="0" borderId="20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33" xfId="0" applyFont="1" applyBorder="1">
      <alignment vertical="center"/>
    </xf>
    <xf numFmtId="0" fontId="14" fillId="0" borderId="69" xfId="0" applyFont="1" applyBorder="1">
      <alignment vertical="center"/>
    </xf>
    <xf numFmtId="0" fontId="14" fillId="0" borderId="32" xfId="0" applyFont="1" applyBorder="1">
      <alignment vertical="center"/>
    </xf>
    <xf numFmtId="0" fontId="1" fillId="0" borderId="69" xfId="0" applyFont="1" applyBorder="1">
      <alignment vertical="center"/>
    </xf>
    <xf numFmtId="0" fontId="1" fillId="0" borderId="32" xfId="0" applyFont="1" applyBorder="1">
      <alignment vertical="center"/>
    </xf>
    <xf numFmtId="0" fontId="35" fillId="0" borderId="62" xfId="0" applyFont="1" applyBorder="1" applyAlignment="1">
      <alignment horizontal="center" vertical="center"/>
    </xf>
    <xf numFmtId="0" fontId="35" fillId="0" borderId="63" xfId="0" applyFont="1" applyBorder="1" applyAlignment="1">
      <alignment horizontal="center" vertical="center"/>
    </xf>
    <xf numFmtId="0" fontId="35" fillId="0" borderId="64" xfId="0" applyFont="1" applyBorder="1" applyAlignment="1">
      <alignment horizontal="center" vertical="center"/>
    </xf>
    <xf numFmtId="0" fontId="35" fillId="0" borderId="65" xfId="0" applyFont="1" applyBorder="1" applyAlignment="1">
      <alignment horizontal="center" vertical="center"/>
    </xf>
    <xf numFmtId="0" fontId="35" fillId="0" borderId="66" xfId="0" applyFont="1" applyBorder="1" applyAlignment="1">
      <alignment horizontal="center" vertical="center"/>
    </xf>
    <xf numFmtId="0" fontId="35" fillId="0" borderId="67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69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4" fontId="3" fillId="0" borderId="69" xfId="0" applyNumberFormat="1" applyFont="1" applyBorder="1" applyAlignment="1">
      <alignment horizontal="center" vertical="center"/>
    </xf>
    <xf numFmtId="14" fontId="3" fillId="0" borderId="71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43" fillId="0" borderId="68" xfId="0" applyFont="1" applyBorder="1" applyAlignment="1">
      <alignment horizontal="center" vertical="center"/>
    </xf>
    <xf numFmtId="14" fontId="43" fillId="0" borderId="71" xfId="0" applyNumberFormat="1" applyFont="1" applyBorder="1" applyAlignment="1">
      <alignment horizontal="center" vertical="center"/>
    </xf>
    <xf numFmtId="0" fontId="45" fillId="0" borderId="23" xfId="0" applyFont="1" applyBorder="1" applyAlignment="1">
      <alignment horizontal="center"/>
    </xf>
    <xf numFmtId="0" fontId="45" fillId="0" borderId="24" xfId="0" applyFont="1" applyBorder="1" applyAlignment="1">
      <alignment horizontal="center"/>
    </xf>
    <xf numFmtId="0" fontId="45" fillId="0" borderId="25" xfId="0" applyFont="1" applyBorder="1" applyAlignment="1">
      <alignment horizontal="center"/>
    </xf>
    <xf numFmtId="0" fontId="45" fillId="0" borderId="26" xfId="0" applyFont="1" applyBorder="1" applyAlignment="1">
      <alignment horizontal="center"/>
    </xf>
    <xf numFmtId="0" fontId="66" fillId="0" borderId="93" xfId="0" applyFont="1" applyBorder="1" applyAlignment="1">
      <alignment horizontal="center" vertical="center"/>
    </xf>
    <xf numFmtId="0" fontId="49" fillId="0" borderId="51" xfId="0" applyFont="1" applyBorder="1" applyAlignment="1">
      <alignment horizontal="center" vertical="center"/>
    </xf>
    <xf numFmtId="0" fontId="49" fillId="0" borderId="55" xfId="0" applyFont="1" applyBorder="1" applyAlignment="1">
      <alignment horizontal="center" vertical="center"/>
    </xf>
    <xf numFmtId="0" fontId="49" fillId="0" borderId="57" xfId="0" applyFont="1" applyBorder="1" applyAlignment="1">
      <alignment horizontal="center" vertical="center"/>
    </xf>
    <xf numFmtId="164" fontId="65" fillId="0" borderId="16" xfId="0" applyNumberFormat="1" applyFont="1" applyBorder="1" applyAlignment="1">
      <alignment horizontal="right" vertical="center"/>
    </xf>
    <xf numFmtId="164" fontId="65" fillId="0" borderId="17" xfId="0" applyNumberFormat="1" applyFont="1" applyBorder="1" applyAlignment="1">
      <alignment horizontal="right" vertical="center"/>
    </xf>
    <xf numFmtId="164" fontId="65" fillId="0" borderId="61" xfId="0" applyNumberFormat="1" applyFont="1" applyBorder="1" applyAlignment="1">
      <alignment horizontal="right" vertical="center"/>
    </xf>
    <xf numFmtId="0" fontId="49" fillId="0" borderId="11" xfId="0" applyFont="1" applyBorder="1" applyAlignment="1">
      <alignment horizontal="center" vertical="center"/>
    </xf>
    <xf numFmtId="0" fontId="42" fillId="0" borderId="62" xfId="0" applyFont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0" fontId="42" fillId="0" borderId="64" xfId="0" applyFont="1" applyBorder="1" applyAlignment="1">
      <alignment horizontal="center" vertical="center"/>
    </xf>
    <xf numFmtId="0" fontId="42" fillId="0" borderId="65" xfId="0" applyFont="1" applyBorder="1" applyAlignment="1">
      <alignment horizontal="center" vertical="center"/>
    </xf>
    <xf numFmtId="0" fontId="42" fillId="0" borderId="67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0" borderId="30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0" borderId="76" xfId="0" applyFont="1" applyBorder="1" applyAlignment="1">
      <alignment horizontal="center" vertical="center"/>
    </xf>
    <xf numFmtId="0" fontId="49" fillId="0" borderId="47" xfId="0" applyFont="1" applyBorder="1" applyAlignment="1">
      <alignment horizontal="center" vertical="center"/>
    </xf>
    <xf numFmtId="0" fontId="49" fillId="0" borderId="46" xfId="0" applyFont="1" applyBorder="1" applyAlignment="1">
      <alignment horizontal="center" vertical="center"/>
    </xf>
    <xf numFmtId="0" fontId="49" fillId="0" borderId="42" xfId="0" applyFont="1" applyBorder="1" applyAlignment="1">
      <alignment horizontal="center" vertical="center"/>
    </xf>
    <xf numFmtId="0" fontId="43" fillId="0" borderId="65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33" fillId="0" borderId="2" xfId="0" applyFont="1" applyBorder="1" applyAlignment="1">
      <alignment horizontal="center" vertical="center"/>
    </xf>
    <xf numFmtId="2" fontId="16" fillId="0" borderId="51" xfId="0" applyNumberFormat="1" applyFont="1" applyBorder="1" applyAlignment="1">
      <alignment horizontal="center" vertical="center"/>
    </xf>
    <xf numFmtId="2" fontId="16" fillId="0" borderId="55" xfId="0" applyNumberFormat="1" applyFont="1" applyBorder="1" applyAlignment="1">
      <alignment horizontal="center" vertical="center"/>
    </xf>
    <xf numFmtId="2" fontId="16" fillId="0" borderId="57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2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42" fillId="0" borderId="25" xfId="0" applyFont="1" applyBorder="1" applyAlignment="1">
      <alignment horizontal="center" vertical="center"/>
    </xf>
    <xf numFmtId="0" fontId="142" fillId="0" borderId="26" xfId="0" applyFont="1" applyBorder="1" applyAlignment="1">
      <alignment horizontal="center" vertical="center"/>
    </xf>
    <xf numFmtId="0" fontId="150" fillId="0" borderId="46" xfId="0" applyFont="1" applyBorder="1" applyAlignment="1">
      <alignment horizontal="center" vertical="center"/>
    </xf>
    <xf numFmtId="0" fontId="150" fillId="0" borderId="2" xfId="0" applyFont="1" applyBorder="1" applyAlignment="1">
      <alignment horizontal="center" vertical="center"/>
    </xf>
    <xf numFmtId="0" fontId="151" fillId="0" borderId="27" xfId="0" applyFont="1" applyBorder="1" applyAlignment="1">
      <alignment horizontal="center"/>
    </xf>
    <xf numFmtId="0" fontId="151" fillId="0" borderId="5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0" fontId="49" fillId="0" borderId="133" xfId="0" applyFont="1" applyBorder="1" applyAlignment="1">
      <alignment horizontal="center"/>
    </xf>
    <xf numFmtId="0" fontId="49" fillId="0" borderId="134" xfId="0" applyFont="1" applyBorder="1" applyAlignment="1">
      <alignment horizontal="center"/>
    </xf>
    <xf numFmtId="0" fontId="35" fillId="0" borderId="13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153" fillId="0" borderId="25" xfId="0" applyFont="1" applyBorder="1" applyAlignment="1">
      <alignment horizontal="center" vertical="center"/>
    </xf>
    <xf numFmtId="0" fontId="153" fillId="0" borderId="26" xfId="0" applyFont="1" applyBorder="1" applyAlignment="1">
      <alignment horizontal="center" vertical="center"/>
    </xf>
    <xf numFmtId="164" fontId="157" fillId="0" borderId="141" xfId="0" applyNumberFormat="1" applyFont="1" applyBorder="1" applyAlignment="1">
      <alignment horizontal="right" vertical="center"/>
    </xf>
    <xf numFmtId="164" fontId="157" fillId="0" borderId="29" xfId="0" applyNumberFormat="1" applyFont="1" applyBorder="1" applyAlignment="1">
      <alignment horizontal="right" vertical="center"/>
    </xf>
    <xf numFmtId="164" fontId="157" fillId="0" borderId="30" xfId="0" applyNumberFormat="1" applyFont="1" applyBorder="1" applyAlignment="1">
      <alignment horizontal="right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2" fontId="16" fillId="0" borderId="30" xfId="0" applyNumberFormat="1" applyFont="1" applyBorder="1" applyAlignment="1">
      <alignment horizontal="center" vertical="center"/>
    </xf>
    <xf numFmtId="0" fontId="131" fillId="0" borderId="46" xfId="0" applyFont="1" applyBorder="1" applyAlignment="1">
      <alignment horizontal="center"/>
    </xf>
    <xf numFmtId="0" fontId="131" fillId="0" borderId="2" xfId="0" applyFont="1" applyBorder="1" applyAlignment="1">
      <alignment horizontal="center"/>
    </xf>
    <xf numFmtId="0" fontId="131" fillId="0" borderId="3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/>
    </xf>
    <xf numFmtId="0" fontId="161" fillId="0" borderId="133" xfId="0" applyFont="1" applyBorder="1" applyAlignment="1">
      <alignment horizontal="center" vertical="center"/>
    </xf>
    <xf numFmtId="0" fontId="161" fillId="0" borderId="134" xfId="0" applyFont="1" applyBorder="1" applyAlignment="1">
      <alignment horizontal="center" vertical="center"/>
    </xf>
    <xf numFmtId="0" fontId="49" fillId="0" borderId="160" xfId="0" applyFont="1" applyBorder="1" applyAlignment="1">
      <alignment horizontal="center"/>
    </xf>
    <xf numFmtId="0" fontId="153" fillId="0" borderId="171" xfId="0" applyFont="1" applyBorder="1" applyAlignment="1">
      <alignment horizontal="center" vertical="center"/>
    </xf>
    <xf numFmtId="0" fontId="153" fillId="0" borderId="134" xfId="0" applyFont="1" applyBorder="1" applyAlignment="1">
      <alignment horizontal="center" vertical="center"/>
    </xf>
    <xf numFmtId="0" fontId="131" fillId="0" borderId="163" xfId="0" applyFont="1" applyBorder="1" applyAlignment="1">
      <alignment horizontal="center"/>
    </xf>
    <xf numFmtId="0" fontId="131" fillId="0" borderId="135" xfId="0" applyFont="1" applyBorder="1" applyAlignment="1">
      <alignment horizontal="center"/>
    </xf>
    <xf numFmtId="164" fontId="157" fillId="0" borderId="133" xfId="0" applyNumberFormat="1" applyFont="1" applyBorder="1" applyAlignment="1">
      <alignment horizontal="right" vertical="center"/>
    </xf>
    <xf numFmtId="164" fontId="157" fillId="0" borderId="135" xfId="0" applyNumberFormat="1" applyFont="1" applyBorder="1" applyAlignment="1">
      <alignment horizontal="right" vertical="center"/>
    </xf>
    <xf numFmtId="164" fontId="157" fillId="0" borderId="134" xfId="0" applyNumberFormat="1" applyFont="1" applyBorder="1" applyAlignment="1">
      <alignment horizontal="right" vertical="center"/>
    </xf>
    <xf numFmtId="0" fontId="164" fillId="0" borderId="133" xfId="0" applyFont="1" applyBorder="1" applyAlignment="1">
      <alignment horizontal="center" vertical="center"/>
    </xf>
    <xf numFmtId="0" fontId="164" fillId="0" borderId="134" xfId="0" applyFont="1" applyBorder="1" applyAlignment="1">
      <alignment horizontal="center" vertical="center"/>
    </xf>
    <xf numFmtId="0" fontId="165" fillId="0" borderId="25" xfId="0" applyFont="1" applyBorder="1" applyAlignment="1">
      <alignment horizontal="center" vertical="center"/>
    </xf>
    <xf numFmtId="0" fontId="165" fillId="0" borderId="26" xfId="0" applyFont="1" applyBorder="1" applyAlignment="1">
      <alignment horizontal="center" vertical="center"/>
    </xf>
    <xf numFmtId="0" fontId="165" fillId="0" borderId="171" xfId="0" applyFont="1" applyBorder="1" applyAlignment="1">
      <alignment horizontal="center" vertical="center"/>
    </xf>
    <xf numFmtId="0" fontId="165" fillId="0" borderId="134" xfId="0" applyFont="1" applyBorder="1" applyAlignment="1">
      <alignment horizontal="center" vertical="center"/>
    </xf>
    <xf numFmtId="0" fontId="166" fillId="0" borderId="133" xfId="0" applyFont="1" applyBorder="1" applyAlignment="1">
      <alignment horizontal="center" vertical="center"/>
    </xf>
    <xf numFmtId="0" fontId="166" fillId="0" borderId="134" xfId="0" applyFont="1" applyBorder="1" applyAlignment="1">
      <alignment horizontal="center" vertical="center"/>
    </xf>
    <xf numFmtId="14" fontId="3" fillId="0" borderId="144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133" xfId="0" applyFont="1" applyBorder="1" applyAlignment="1">
      <alignment horizontal="center"/>
    </xf>
    <xf numFmtId="0" fontId="9" fillId="0" borderId="160" xfId="0" applyFont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0000"/>
      <color rgb="FFC39800"/>
      <color rgb="FFC89800"/>
      <color rgb="FFA88000"/>
      <color rgb="FF7D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7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8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9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opLeftCell="A3" workbookViewId="0">
      <selection activeCell="G32" sqref="G32"/>
    </sheetView>
  </sheetViews>
  <sheetFormatPr defaultColWidth="10" defaultRowHeight="12.75"/>
  <cols>
    <col min="1" max="1" width="9.5703125" style="160" customWidth="1"/>
    <col min="2" max="2" width="27.7109375" style="160" customWidth="1"/>
    <col min="3" max="3" width="17" style="160" customWidth="1"/>
    <col min="4" max="4" width="9.85546875" style="160" customWidth="1"/>
    <col min="5" max="5" width="11.28515625" style="160" customWidth="1"/>
    <col min="6" max="6" width="16" style="160" customWidth="1"/>
    <col min="7" max="7" width="15.5703125" style="160" customWidth="1"/>
    <col min="8" max="8" width="13.140625" style="160" customWidth="1"/>
    <col min="9" max="9" width="9" style="160" customWidth="1"/>
    <col min="10" max="10" width="13.140625" style="160" customWidth="1"/>
    <col min="11" max="11" width="7" style="902" customWidth="1"/>
    <col min="12" max="13" width="9.42578125" style="902" customWidth="1"/>
    <col min="14" max="15" width="8.28515625" style="902" customWidth="1"/>
    <col min="16" max="16384" width="10" style="160"/>
  </cols>
  <sheetData>
    <row r="1" spans="1:15">
      <c r="A1" s="1142" t="s">
        <v>0</v>
      </c>
      <c r="B1" s="1142"/>
      <c r="C1" s="1142"/>
      <c r="D1" s="1142"/>
      <c r="E1" s="1142"/>
      <c r="F1" s="1142"/>
      <c r="G1" s="1142"/>
      <c r="H1" s="1142"/>
      <c r="I1" s="1142"/>
      <c r="J1" s="1142"/>
      <c r="K1" s="1142"/>
      <c r="L1" s="1142"/>
      <c r="M1" s="1142"/>
      <c r="N1" s="1142"/>
      <c r="O1" s="1142"/>
    </row>
    <row r="2" spans="1:15">
      <c r="A2" s="1143"/>
      <c r="B2" s="1143"/>
      <c r="C2" s="1143"/>
      <c r="D2" s="1143"/>
      <c r="E2" s="1143"/>
      <c r="F2" s="1143"/>
      <c r="G2" s="1143"/>
      <c r="H2" s="1143"/>
      <c r="I2" s="1143"/>
      <c r="J2" s="1143"/>
      <c r="K2" s="1143"/>
      <c r="L2" s="1143"/>
      <c r="M2" s="1143"/>
      <c r="N2" s="1143"/>
      <c r="O2" s="1143"/>
    </row>
    <row r="3" spans="1:15" ht="15">
      <c r="A3" s="1158" t="s">
        <v>1</v>
      </c>
      <c r="B3" s="1158"/>
      <c r="C3" s="1158"/>
      <c r="D3" s="1158"/>
      <c r="E3" s="1158"/>
      <c r="F3" s="1158"/>
      <c r="G3" s="1158"/>
      <c r="H3" s="1158"/>
      <c r="I3" s="1158"/>
      <c r="J3" s="1158"/>
      <c r="K3" s="1158"/>
      <c r="L3" s="1158"/>
      <c r="M3" s="1158"/>
      <c r="N3" s="1158"/>
      <c r="O3" s="1158"/>
    </row>
    <row r="4" spans="1:15" ht="15">
      <c r="A4" s="1159" t="s">
        <v>2</v>
      </c>
      <c r="B4" s="1159"/>
      <c r="C4" s="1159"/>
      <c r="D4" s="1160"/>
      <c r="E4" s="656">
        <v>170</v>
      </c>
      <c r="F4" s="161">
        <v>170</v>
      </c>
      <c r="G4" s="163" t="s">
        <v>3</v>
      </c>
      <c r="H4" s="1161" t="s">
        <v>4</v>
      </c>
      <c r="I4" s="1161"/>
      <c r="J4" s="1161"/>
      <c r="K4" s="1161"/>
      <c r="L4" s="1161"/>
      <c r="M4" s="1161"/>
      <c r="N4" s="1161"/>
      <c r="O4" s="1161"/>
    </row>
    <row r="5" spans="1:15">
      <c r="A5" s="1162" t="s">
        <v>5</v>
      </c>
      <c r="B5" s="1163"/>
      <c r="C5" s="1164" t="s">
        <v>6</v>
      </c>
      <c r="D5" s="1165"/>
      <c r="E5" s="658">
        <v>0</v>
      </c>
      <c r="F5" s="659">
        <v>0</v>
      </c>
      <c r="G5" s="659" t="s">
        <v>7</v>
      </c>
      <c r="H5" s="166"/>
      <c r="I5" s="166"/>
      <c r="J5" s="166"/>
      <c r="K5" s="167"/>
      <c r="L5" s="167"/>
      <c r="M5" s="167"/>
      <c r="N5" s="661"/>
      <c r="O5" s="911"/>
    </row>
    <row r="6" spans="1:15">
      <c r="A6" s="253" t="s">
        <v>8</v>
      </c>
      <c r="B6" s="171" t="s">
        <v>9</v>
      </c>
      <c r="C6" s="171" t="s">
        <v>10</v>
      </c>
      <c r="D6" s="1151" t="s">
        <v>11</v>
      </c>
      <c r="E6" s="1151"/>
      <c r="F6" s="1152" t="s">
        <v>12</v>
      </c>
      <c r="G6" s="1152"/>
      <c r="H6" s="172" t="s">
        <v>13</v>
      </c>
      <c r="I6" s="173" t="s">
        <v>9</v>
      </c>
      <c r="J6" s="174" t="s">
        <v>14</v>
      </c>
      <c r="K6" s="175" t="s">
        <v>15</v>
      </c>
      <c r="L6" s="1153" t="s">
        <v>16</v>
      </c>
      <c r="M6" s="1153"/>
      <c r="N6" s="1154" t="s">
        <v>17</v>
      </c>
      <c r="O6" s="1155"/>
    </row>
    <row r="7" spans="1:15">
      <c r="A7" s="253" t="s">
        <v>18</v>
      </c>
      <c r="B7" s="171" t="s">
        <v>19</v>
      </c>
      <c r="C7" s="171" t="s">
        <v>20</v>
      </c>
      <c r="D7" s="171" t="s">
        <v>21</v>
      </c>
      <c r="E7" s="176" t="s">
        <v>14</v>
      </c>
      <c r="F7" s="177" t="s">
        <v>21</v>
      </c>
      <c r="G7" s="177" t="s">
        <v>14</v>
      </c>
      <c r="H7" s="178" t="s">
        <v>22</v>
      </c>
      <c r="I7" s="179" t="s">
        <v>23</v>
      </c>
      <c r="J7" s="180" t="s">
        <v>22</v>
      </c>
      <c r="K7" s="181" t="s">
        <v>24</v>
      </c>
      <c r="L7" s="181" t="s">
        <v>25</v>
      </c>
      <c r="M7" s="179" t="s">
        <v>26</v>
      </c>
      <c r="N7" s="175" t="s">
        <v>25</v>
      </c>
      <c r="O7" s="912" t="s">
        <v>26</v>
      </c>
    </row>
    <row r="8" spans="1:15">
      <c r="A8" s="664"/>
      <c r="B8" s="171"/>
      <c r="C8" s="171" t="s">
        <v>27</v>
      </c>
      <c r="D8" s="171" t="s">
        <v>27</v>
      </c>
      <c r="E8" s="171" t="s">
        <v>27</v>
      </c>
      <c r="F8" s="184" t="s">
        <v>27</v>
      </c>
      <c r="G8" s="184" t="s">
        <v>27</v>
      </c>
      <c r="H8" s="178" t="s">
        <v>28</v>
      </c>
      <c r="I8" s="179" t="s">
        <v>27</v>
      </c>
      <c r="J8" s="180" t="s">
        <v>28</v>
      </c>
      <c r="K8" s="181" t="s">
        <v>29</v>
      </c>
      <c r="L8" s="181" t="s">
        <v>30</v>
      </c>
      <c r="M8" s="179" t="s">
        <v>30</v>
      </c>
      <c r="N8" s="181" t="s">
        <v>31</v>
      </c>
      <c r="O8" s="913" t="s">
        <v>31</v>
      </c>
    </row>
    <row r="9" spans="1:15">
      <c r="A9" s="666">
        <v>1</v>
      </c>
      <c r="B9" s="187" t="s">
        <v>32</v>
      </c>
      <c r="C9" s="188">
        <v>13400</v>
      </c>
      <c r="D9" s="189"/>
      <c r="E9" s="188"/>
      <c r="F9" s="188">
        <v>3900</v>
      </c>
      <c r="G9" s="188">
        <v>3900</v>
      </c>
      <c r="H9" s="191">
        <f>F9/E4</f>
        <v>22.941176470588236</v>
      </c>
      <c r="I9" s="188">
        <f t="shared" ref="I9:I32" si="0">(C9-F9)+D9</f>
        <v>9500</v>
      </c>
      <c r="J9" s="192">
        <f>G9/F4</f>
        <v>22.941176470588236</v>
      </c>
      <c r="K9" s="193">
        <v>28500</v>
      </c>
      <c r="L9" s="669">
        <f t="shared" ref="L9:L32" si="1">(F9/1000)*K9</f>
        <v>111150</v>
      </c>
      <c r="M9" s="670">
        <f t="shared" ref="M9:M32" si="2">(G9/1000)*K9</f>
        <v>111150</v>
      </c>
      <c r="N9" s="671">
        <f>L9/E4</f>
        <v>653.82352941176475</v>
      </c>
      <c r="O9" s="672">
        <f>M9/F4</f>
        <v>653.82352941176475</v>
      </c>
    </row>
    <row r="10" spans="1:15">
      <c r="A10" s="673">
        <v>2</v>
      </c>
      <c r="B10" s="199" t="s">
        <v>33</v>
      </c>
      <c r="C10" s="200">
        <v>9000</v>
      </c>
      <c r="D10" s="201"/>
      <c r="E10" s="200"/>
      <c r="F10" s="200">
        <v>222</v>
      </c>
      <c r="G10" s="200">
        <v>222</v>
      </c>
      <c r="H10" s="202">
        <f>F10/E4</f>
        <v>1.3058823529411765</v>
      </c>
      <c r="I10" s="200">
        <f t="shared" si="0"/>
        <v>8778</v>
      </c>
      <c r="J10" s="203">
        <f>G10/F4</f>
        <v>1.3058823529411765</v>
      </c>
      <c r="K10" s="190">
        <v>35500</v>
      </c>
      <c r="L10" s="676">
        <f t="shared" si="1"/>
        <v>7881</v>
      </c>
      <c r="M10" s="676">
        <f t="shared" si="2"/>
        <v>7881</v>
      </c>
      <c r="N10" s="677">
        <f>L10/E4</f>
        <v>46.358823529411765</v>
      </c>
      <c r="O10" s="678">
        <f>M10/F4</f>
        <v>46.358823529411765</v>
      </c>
    </row>
    <row r="11" spans="1:15">
      <c r="A11" s="673">
        <v>3</v>
      </c>
      <c r="B11" s="199" t="s">
        <v>34</v>
      </c>
      <c r="C11" s="200">
        <v>6820</v>
      </c>
      <c r="D11" s="201"/>
      <c r="E11" s="200"/>
      <c r="F11" s="200">
        <v>77</v>
      </c>
      <c r="G11" s="200">
        <v>77</v>
      </c>
      <c r="H11" s="202">
        <f>F11/E4</f>
        <v>0.45294117647058824</v>
      </c>
      <c r="I11" s="200">
        <f t="shared" si="0"/>
        <v>6743</v>
      </c>
      <c r="J11" s="203">
        <f>G11/F4</f>
        <v>0.45294117647058824</v>
      </c>
      <c r="K11" s="190">
        <v>98000</v>
      </c>
      <c r="L11" s="676">
        <f t="shared" si="1"/>
        <v>7546</v>
      </c>
      <c r="M11" s="676">
        <f t="shared" si="2"/>
        <v>7546</v>
      </c>
      <c r="N11" s="677">
        <f>L11/E4</f>
        <v>44.388235294117649</v>
      </c>
      <c r="O11" s="678">
        <f>M11/F4</f>
        <v>44.388235294117649</v>
      </c>
    </row>
    <row r="12" spans="1:15">
      <c r="A12" s="673">
        <v>4</v>
      </c>
      <c r="B12" s="199" t="s">
        <v>35</v>
      </c>
      <c r="C12" s="200">
        <v>21</v>
      </c>
      <c r="D12" s="201"/>
      <c r="E12" s="200"/>
      <c r="F12" s="200">
        <v>0.08</v>
      </c>
      <c r="G12" s="200">
        <v>0.08</v>
      </c>
      <c r="H12" s="207">
        <f>F12/E4</f>
        <v>4.7058823529411766E-4</v>
      </c>
      <c r="I12" s="200">
        <f t="shared" si="0"/>
        <v>20.92</v>
      </c>
      <c r="J12" s="208">
        <f>G12/F4</f>
        <v>4.7058823529411766E-4</v>
      </c>
      <c r="K12" s="190">
        <v>750000</v>
      </c>
      <c r="L12" s="676">
        <f t="shared" si="1"/>
        <v>60.000000000000007</v>
      </c>
      <c r="M12" s="676">
        <f t="shared" si="2"/>
        <v>60.000000000000007</v>
      </c>
      <c r="N12" s="677">
        <f>L12/E4</f>
        <v>0.35294117647058826</v>
      </c>
      <c r="O12" s="678">
        <f>M12/F4</f>
        <v>0.35294117647058826</v>
      </c>
    </row>
    <row r="13" spans="1:15">
      <c r="A13" s="673">
        <v>5</v>
      </c>
      <c r="B13" s="199" t="s">
        <v>36</v>
      </c>
      <c r="C13" s="200">
        <v>500</v>
      </c>
      <c r="D13" s="201"/>
      <c r="E13" s="200"/>
      <c r="F13" s="200">
        <v>21</v>
      </c>
      <c r="G13" s="200">
        <v>21</v>
      </c>
      <c r="H13" s="202">
        <f>F13/E4</f>
        <v>0.12352941176470589</v>
      </c>
      <c r="I13" s="200">
        <f t="shared" si="0"/>
        <v>479</v>
      </c>
      <c r="J13" s="203">
        <f>G13/F4</f>
        <v>0.12352941176470589</v>
      </c>
      <c r="K13" s="190">
        <v>350000</v>
      </c>
      <c r="L13" s="676">
        <f t="shared" si="1"/>
        <v>7350.0000000000009</v>
      </c>
      <c r="M13" s="676">
        <f t="shared" si="2"/>
        <v>7350.0000000000009</v>
      </c>
      <c r="N13" s="677">
        <f>L13/E4</f>
        <v>43.235294117647065</v>
      </c>
      <c r="O13" s="678">
        <f>M13/F4</f>
        <v>43.235294117647065</v>
      </c>
    </row>
    <row r="14" spans="1:15">
      <c r="A14" s="673">
        <v>6</v>
      </c>
      <c r="B14" s="199" t="s">
        <v>37</v>
      </c>
      <c r="C14" s="200">
        <v>2400</v>
      </c>
      <c r="D14" s="201"/>
      <c r="E14" s="200"/>
      <c r="F14" s="200">
        <v>80</v>
      </c>
      <c r="G14" s="200">
        <v>80</v>
      </c>
      <c r="H14" s="202">
        <f>F14/E4</f>
        <v>0.47058823529411764</v>
      </c>
      <c r="I14" s="200">
        <f t="shared" si="0"/>
        <v>2320</v>
      </c>
      <c r="J14" s="203">
        <f>G14/F4</f>
        <v>0.47058823529411764</v>
      </c>
      <c r="K14" s="190">
        <v>204500</v>
      </c>
      <c r="L14" s="676">
        <f t="shared" si="1"/>
        <v>16360</v>
      </c>
      <c r="M14" s="676">
        <f t="shared" si="2"/>
        <v>16360</v>
      </c>
      <c r="N14" s="677">
        <f>L14/E4</f>
        <v>96.235294117647058</v>
      </c>
      <c r="O14" s="678">
        <f>M14/F4</f>
        <v>96.235294117647058</v>
      </c>
    </row>
    <row r="15" spans="1:15">
      <c r="A15" s="673">
        <v>7</v>
      </c>
      <c r="B15" s="199" t="s">
        <v>38</v>
      </c>
      <c r="C15" s="200">
        <v>1750</v>
      </c>
      <c r="D15" s="201"/>
      <c r="E15" s="200"/>
      <c r="F15" s="200">
        <v>54</v>
      </c>
      <c r="G15" s="200">
        <v>54</v>
      </c>
      <c r="H15" s="202">
        <f>F15/E4</f>
        <v>0.31764705882352939</v>
      </c>
      <c r="I15" s="200">
        <f t="shared" si="0"/>
        <v>1696</v>
      </c>
      <c r="J15" s="203">
        <f>G15/F4</f>
        <v>0.31764705882352939</v>
      </c>
      <c r="K15" s="190">
        <v>129500</v>
      </c>
      <c r="L15" s="676">
        <f t="shared" si="1"/>
        <v>6993</v>
      </c>
      <c r="M15" s="676">
        <f t="shared" si="2"/>
        <v>6993</v>
      </c>
      <c r="N15" s="677">
        <f>L15/E4</f>
        <v>41.135294117647057</v>
      </c>
      <c r="O15" s="678">
        <f>M15/F4</f>
        <v>41.135294117647057</v>
      </c>
    </row>
    <row r="16" spans="1:15">
      <c r="A16" s="673">
        <v>8</v>
      </c>
      <c r="B16" s="199" t="s">
        <v>39</v>
      </c>
      <c r="C16" s="200">
        <v>985</v>
      </c>
      <c r="D16" s="200"/>
      <c r="E16" s="200"/>
      <c r="F16" s="200">
        <v>20</v>
      </c>
      <c r="G16" s="200">
        <v>20</v>
      </c>
      <c r="H16" s="202">
        <f>F16/E4</f>
        <v>0.11764705882352941</v>
      </c>
      <c r="I16" s="200">
        <f t="shared" si="0"/>
        <v>965</v>
      </c>
      <c r="J16" s="203">
        <f>G16/F4</f>
        <v>0.11764705882352941</v>
      </c>
      <c r="K16" s="190">
        <v>219500</v>
      </c>
      <c r="L16" s="676">
        <f t="shared" si="1"/>
        <v>4390</v>
      </c>
      <c r="M16" s="676">
        <f t="shared" si="2"/>
        <v>4390</v>
      </c>
      <c r="N16" s="677">
        <f>L16/E4</f>
        <v>25.823529411764707</v>
      </c>
      <c r="O16" s="678">
        <f>M16/F4</f>
        <v>25.823529411764707</v>
      </c>
    </row>
    <row r="17" spans="1:15">
      <c r="A17" s="673">
        <v>9</v>
      </c>
      <c r="B17" s="199" t="s">
        <v>40</v>
      </c>
      <c r="C17" s="200">
        <v>21</v>
      </c>
      <c r="D17" s="201"/>
      <c r="E17" s="200"/>
      <c r="F17" s="200">
        <v>0</v>
      </c>
      <c r="G17" s="200">
        <v>0</v>
      </c>
      <c r="H17" s="202">
        <f>F17/E4</f>
        <v>0</v>
      </c>
      <c r="I17" s="200">
        <f t="shared" si="0"/>
        <v>21</v>
      </c>
      <c r="J17" s="203">
        <f>G17/F4</f>
        <v>0</v>
      </c>
      <c r="K17" s="190">
        <v>348200</v>
      </c>
      <c r="L17" s="676">
        <f t="shared" si="1"/>
        <v>0</v>
      </c>
      <c r="M17" s="685">
        <f t="shared" si="2"/>
        <v>0</v>
      </c>
      <c r="N17" s="677">
        <f>L17/E4</f>
        <v>0</v>
      </c>
      <c r="O17" s="678">
        <f>M17/F4</f>
        <v>0</v>
      </c>
    </row>
    <row r="18" spans="1:15">
      <c r="A18" s="686">
        <v>10</v>
      </c>
      <c r="B18" s="211" t="s">
        <v>41</v>
      </c>
      <c r="C18" s="212">
        <v>3950</v>
      </c>
      <c r="D18" s="212"/>
      <c r="E18" s="212"/>
      <c r="F18" s="212">
        <v>0</v>
      </c>
      <c r="G18" s="212">
        <v>0</v>
      </c>
      <c r="H18" s="213">
        <f>F18/E4</f>
        <v>0</v>
      </c>
      <c r="I18" s="212">
        <f t="shared" si="0"/>
        <v>3950</v>
      </c>
      <c r="J18" s="213">
        <f>G18/F4</f>
        <v>0</v>
      </c>
      <c r="K18" s="214">
        <v>172000</v>
      </c>
      <c r="L18" s="689">
        <f t="shared" si="1"/>
        <v>0</v>
      </c>
      <c r="M18" s="689">
        <f t="shared" si="2"/>
        <v>0</v>
      </c>
      <c r="N18" s="689">
        <f>L18/E4</f>
        <v>0</v>
      </c>
      <c r="O18" s="690">
        <f>M18/F4</f>
        <v>0</v>
      </c>
    </row>
    <row r="19" spans="1:15">
      <c r="A19" s="691">
        <v>11</v>
      </c>
      <c r="B19" s="218" t="s">
        <v>42</v>
      </c>
      <c r="C19" s="219">
        <v>48</v>
      </c>
      <c r="D19" s="219"/>
      <c r="E19" s="219"/>
      <c r="F19" s="219">
        <v>0</v>
      </c>
      <c r="G19" s="219">
        <v>0</v>
      </c>
      <c r="H19" s="213">
        <f>F19/E4</f>
        <v>0</v>
      </c>
      <c r="I19" s="219">
        <f t="shared" si="0"/>
        <v>48</v>
      </c>
      <c r="J19" s="220">
        <f>G19/F4</f>
        <v>0</v>
      </c>
      <c r="K19" s="219">
        <v>200000</v>
      </c>
      <c r="L19" s="693">
        <f t="shared" si="1"/>
        <v>0</v>
      </c>
      <c r="M19" s="693">
        <f t="shared" si="2"/>
        <v>0</v>
      </c>
      <c r="N19" s="693">
        <f>L19/E4</f>
        <v>0</v>
      </c>
      <c r="O19" s="694">
        <f>M19/F4</f>
        <v>0</v>
      </c>
    </row>
    <row r="20" spans="1:15">
      <c r="A20" s="695">
        <v>12</v>
      </c>
      <c r="B20" s="224" t="s">
        <v>43</v>
      </c>
      <c r="C20" s="225">
        <v>163.19999999999999</v>
      </c>
      <c r="D20" s="226"/>
      <c r="E20" s="226"/>
      <c r="F20" s="227">
        <v>6.9</v>
      </c>
      <c r="G20" s="227">
        <v>6.9</v>
      </c>
      <c r="H20" s="228">
        <f>F20/E4</f>
        <v>4.0588235294117647E-2</v>
      </c>
      <c r="I20" s="229">
        <f t="shared" si="0"/>
        <v>156.29999999999998</v>
      </c>
      <c r="J20" s="230">
        <f>G20/F4</f>
        <v>4.0588235294117647E-2</v>
      </c>
      <c r="K20" s="225">
        <v>377600</v>
      </c>
      <c r="L20" s="698">
        <f t="shared" si="1"/>
        <v>2605.4400000000005</v>
      </c>
      <c r="M20" s="698">
        <f t="shared" si="2"/>
        <v>2605.4400000000005</v>
      </c>
      <c r="N20" s="698">
        <f>L20/E4</f>
        <v>15.326117647058826</v>
      </c>
      <c r="O20" s="699">
        <f>M20/F4</f>
        <v>15.326117647058826</v>
      </c>
    </row>
    <row r="21" spans="1:15">
      <c r="A21" s="695">
        <v>13</v>
      </c>
      <c r="B21" s="224" t="s">
        <v>44</v>
      </c>
      <c r="C21" s="225">
        <v>134.5</v>
      </c>
      <c r="D21" s="226"/>
      <c r="E21" s="226"/>
      <c r="F21" s="227">
        <v>4.0999999999999996</v>
      </c>
      <c r="G21" s="227">
        <v>4.0999999999999996</v>
      </c>
      <c r="H21" s="230">
        <f>F21/E4</f>
        <v>2.4117647058823528E-2</v>
      </c>
      <c r="I21" s="225">
        <f t="shared" si="0"/>
        <v>130.4</v>
      </c>
      <c r="J21" s="230">
        <f>G21/F4</f>
        <v>2.4117647058823528E-2</v>
      </c>
      <c r="K21" s="225">
        <v>271400</v>
      </c>
      <c r="L21" s="698">
        <f t="shared" si="1"/>
        <v>1112.7399999999998</v>
      </c>
      <c r="M21" s="698">
        <f t="shared" si="2"/>
        <v>1112.7399999999998</v>
      </c>
      <c r="N21" s="698">
        <f>L21/E4</f>
        <v>6.5455294117647043</v>
      </c>
      <c r="O21" s="699">
        <f>M21/F4</f>
        <v>6.5455294117647043</v>
      </c>
    </row>
    <row r="22" spans="1:15">
      <c r="A22" s="695">
        <v>14</v>
      </c>
      <c r="B22" s="224" t="s">
        <v>45</v>
      </c>
      <c r="C22" s="225">
        <v>1939.2</v>
      </c>
      <c r="D22" s="226"/>
      <c r="E22" s="226"/>
      <c r="F22" s="227">
        <v>59.3</v>
      </c>
      <c r="G22" s="227">
        <v>59.3</v>
      </c>
      <c r="H22" s="230">
        <f>F22/E4</f>
        <v>0.3488235294117647</v>
      </c>
      <c r="I22" s="226">
        <f t="shared" si="0"/>
        <v>1879.9</v>
      </c>
      <c r="J22" s="230">
        <f>G22/F4</f>
        <v>0.3488235294117647</v>
      </c>
      <c r="K22" s="225">
        <v>271400</v>
      </c>
      <c r="L22" s="698">
        <f t="shared" si="1"/>
        <v>16094.02</v>
      </c>
      <c r="M22" s="698">
        <f t="shared" si="2"/>
        <v>16094.02</v>
      </c>
      <c r="N22" s="698">
        <f>L22/E4</f>
        <v>94.670705882352948</v>
      </c>
      <c r="O22" s="699">
        <f>M22/F4</f>
        <v>94.670705882352948</v>
      </c>
    </row>
    <row r="23" spans="1:15">
      <c r="A23" s="701">
        <v>15</v>
      </c>
      <c r="B23" s="234" t="s">
        <v>46</v>
      </c>
      <c r="C23" s="201">
        <v>100</v>
      </c>
      <c r="D23" s="236"/>
      <c r="E23" s="236"/>
      <c r="F23" s="201">
        <v>0</v>
      </c>
      <c r="G23" s="201">
        <v>0</v>
      </c>
      <c r="H23" s="237">
        <f>F23/E4</f>
        <v>0</v>
      </c>
      <c r="I23" s="201">
        <f t="shared" si="0"/>
        <v>100</v>
      </c>
      <c r="J23" s="237">
        <f>G23/F4</f>
        <v>0</v>
      </c>
      <c r="K23" s="201">
        <v>41000</v>
      </c>
      <c r="L23" s="685">
        <f t="shared" si="1"/>
        <v>0</v>
      </c>
      <c r="M23" s="685">
        <f t="shared" si="2"/>
        <v>0</v>
      </c>
      <c r="N23" s="685">
        <f>L23/E4</f>
        <v>0</v>
      </c>
      <c r="O23" s="704">
        <f>M23/F4</f>
        <v>0</v>
      </c>
    </row>
    <row r="24" spans="1:15">
      <c r="A24" s="701">
        <v>16</v>
      </c>
      <c r="B24" s="234" t="s">
        <v>47</v>
      </c>
      <c r="C24" s="201">
        <v>385.6</v>
      </c>
      <c r="D24" s="236"/>
      <c r="E24" s="236"/>
      <c r="F24" s="201">
        <v>6</v>
      </c>
      <c r="G24" s="201">
        <v>6</v>
      </c>
      <c r="H24" s="237">
        <f>F24/E4</f>
        <v>3.5294117647058823E-2</v>
      </c>
      <c r="I24" s="201">
        <f t="shared" si="0"/>
        <v>379.6</v>
      </c>
      <c r="J24" s="237">
        <f>G24/F4</f>
        <v>3.5294117647058823E-2</v>
      </c>
      <c r="K24" s="201">
        <v>24000</v>
      </c>
      <c r="L24" s="685">
        <f t="shared" si="1"/>
        <v>144</v>
      </c>
      <c r="M24" s="685">
        <f t="shared" si="2"/>
        <v>144</v>
      </c>
      <c r="N24" s="685">
        <f>L24/E4</f>
        <v>0.84705882352941175</v>
      </c>
      <c r="O24" s="704">
        <f>M24/F4</f>
        <v>0.84705882352941175</v>
      </c>
    </row>
    <row r="25" spans="1:15">
      <c r="A25" s="701">
        <v>17</v>
      </c>
      <c r="B25" s="234" t="s">
        <v>48</v>
      </c>
      <c r="C25" s="201">
        <v>380</v>
      </c>
      <c r="D25" s="236"/>
      <c r="E25" s="236"/>
      <c r="F25" s="201">
        <v>0</v>
      </c>
      <c r="G25" s="201">
        <v>0</v>
      </c>
      <c r="H25" s="237">
        <f>F25/E4</f>
        <v>0</v>
      </c>
      <c r="I25" s="201">
        <f t="shared" si="0"/>
        <v>380</v>
      </c>
      <c r="J25" s="237">
        <f>G25/F4</f>
        <v>0</v>
      </c>
      <c r="K25" s="201">
        <v>13210</v>
      </c>
      <c r="L25" s="685">
        <f t="shared" si="1"/>
        <v>0</v>
      </c>
      <c r="M25" s="685">
        <f t="shared" si="2"/>
        <v>0</v>
      </c>
      <c r="N25" s="685">
        <f>L25/E4</f>
        <v>0</v>
      </c>
      <c r="O25" s="704">
        <f>M25/F4</f>
        <v>0</v>
      </c>
    </row>
    <row r="26" spans="1:15">
      <c r="A26" s="701">
        <v>18</v>
      </c>
      <c r="B26" s="234" t="s">
        <v>49</v>
      </c>
      <c r="C26" s="201">
        <v>245</v>
      </c>
      <c r="D26" s="236"/>
      <c r="E26" s="201"/>
      <c r="F26" s="201">
        <v>10</v>
      </c>
      <c r="G26" s="201">
        <v>10</v>
      </c>
      <c r="H26" s="237">
        <f>F26/E4</f>
        <v>5.8823529411764705E-2</v>
      </c>
      <c r="I26" s="201">
        <f t="shared" si="0"/>
        <v>235</v>
      </c>
      <c r="J26" s="237">
        <f>G26/F4</f>
        <v>5.8823529411764705E-2</v>
      </c>
      <c r="K26" s="201">
        <v>14400</v>
      </c>
      <c r="L26" s="685">
        <f t="shared" si="1"/>
        <v>144</v>
      </c>
      <c r="M26" s="685">
        <f t="shared" si="2"/>
        <v>144</v>
      </c>
      <c r="N26" s="685">
        <f>L26/E4</f>
        <v>0.84705882352941175</v>
      </c>
      <c r="O26" s="704">
        <f>M26/F4</f>
        <v>0.84705882352941175</v>
      </c>
    </row>
    <row r="27" spans="1:15">
      <c r="A27" s="701">
        <v>19</v>
      </c>
      <c r="B27" s="234" t="s">
        <v>50</v>
      </c>
      <c r="C27" s="201">
        <v>205</v>
      </c>
      <c r="D27" s="201"/>
      <c r="E27" s="236"/>
      <c r="F27" s="201">
        <v>4</v>
      </c>
      <c r="G27" s="201">
        <v>4</v>
      </c>
      <c r="H27" s="237">
        <f>F27/E4</f>
        <v>2.3529411764705882E-2</v>
      </c>
      <c r="I27" s="201">
        <f t="shared" si="0"/>
        <v>201</v>
      </c>
      <c r="J27" s="237">
        <f>G27/F4</f>
        <v>2.3529411764705882E-2</v>
      </c>
      <c r="K27" s="201">
        <v>102000</v>
      </c>
      <c r="L27" s="685">
        <f t="shared" si="1"/>
        <v>408</v>
      </c>
      <c r="M27" s="685">
        <f t="shared" si="2"/>
        <v>408</v>
      </c>
      <c r="N27" s="685">
        <f>L27/E4</f>
        <v>2.4</v>
      </c>
      <c r="O27" s="704">
        <f>M27/F4</f>
        <v>2.4</v>
      </c>
    </row>
    <row r="28" spans="1:15">
      <c r="A28" s="701">
        <v>20</v>
      </c>
      <c r="B28" s="234" t="s">
        <v>51</v>
      </c>
      <c r="C28" s="201">
        <v>180</v>
      </c>
      <c r="D28" s="236"/>
      <c r="E28" s="236"/>
      <c r="F28" s="201">
        <v>5</v>
      </c>
      <c r="G28" s="201">
        <v>5</v>
      </c>
      <c r="H28" s="237">
        <f>F28/E4</f>
        <v>2.9411764705882353E-2</v>
      </c>
      <c r="I28" s="201">
        <f t="shared" si="0"/>
        <v>175</v>
      </c>
      <c r="J28" s="237">
        <f>G28/F4</f>
        <v>2.9411764705882353E-2</v>
      </c>
      <c r="K28" s="201">
        <v>107000</v>
      </c>
      <c r="L28" s="685">
        <f t="shared" si="1"/>
        <v>535</v>
      </c>
      <c r="M28" s="685">
        <f t="shared" si="2"/>
        <v>535</v>
      </c>
      <c r="N28" s="685">
        <f>L28/E4</f>
        <v>3.1470588235294117</v>
      </c>
      <c r="O28" s="704">
        <f>M28/F4</f>
        <v>3.1470588235294117</v>
      </c>
    </row>
    <row r="29" spans="1:15">
      <c r="A29" s="701">
        <v>21</v>
      </c>
      <c r="B29" s="234" t="s">
        <v>52</v>
      </c>
      <c r="C29" s="201">
        <v>169</v>
      </c>
      <c r="D29" s="236"/>
      <c r="E29" s="236"/>
      <c r="F29" s="201">
        <v>3</v>
      </c>
      <c r="G29" s="201">
        <v>3</v>
      </c>
      <c r="H29" s="237">
        <f>F29/E4</f>
        <v>1.7647058823529412E-2</v>
      </c>
      <c r="I29" s="201">
        <f t="shared" si="0"/>
        <v>166</v>
      </c>
      <c r="J29" s="237">
        <f>G29/F4</f>
        <v>1.7647058823529412E-2</v>
      </c>
      <c r="K29" s="201">
        <v>100000</v>
      </c>
      <c r="L29" s="685">
        <f t="shared" si="1"/>
        <v>300</v>
      </c>
      <c r="M29" s="685">
        <f t="shared" si="2"/>
        <v>300</v>
      </c>
      <c r="N29" s="685">
        <f>L29/E4</f>
        <v>1.7647058823529411</v>
      </c>
      <c r="O29" s="704">
        <f>M29/F4</f>
        <v>1.7647058823529411</v>
      </c>
    </row>
    <row r="30" spans="1:15">
      <c r="A30" s="701">
        <v>22</v>
      </c>
      <c r="B30" s="234" t="s">
        <v>53</v>
      </c>
      <c r="C30" s="201">
        <v>64</v>
      </c>
      <c r="D30" s="236"/>
      <c r="E30" s="236"/>
      <c r="F30" s="201">
        <v>1</v>
      </c>
      <c r="G30" s="201">
        <v>1</v>
      </c>
      <c r="H30" s="237">
        <f>F30/E4</f>
        <v>5.8823529411764705E-3</v>
      </c>
      <c r="I30" s="201">
        <f t="shared" si="0"/>
        <v>63</v>
      </c>
      <c r="J30" s="237">
        <f>G30/F4</f>
        <v>5.8823529411764705E-3</v>
      </c>
      <c r="K30" s="201">
        <v>255000</v>
      </c>
      <c r="L30" s="685">
        <f t="shared" si="1"/>
        <v>255</v>
      </c>
      <c r="M30" s="685">
        <f t="shared" si="2"/>
        <v>255</v>
      </c>
      <c r="N30" s="685">
        <f>L30/E4</f>
        <v>1.5</v>
      </c>
      <c r="O30" s="914">
        <f>M30/F4</f>
        <v>1.5</v>
      </c>
    </row>
    <row r="31" spans="1:15">
      <c r="A31" s="701">
        <v>23</v>
      </c>
      <c r="B31" s="234" t="s">
        <v>54</v>
      </c>
      <c r="C31" s="201">
        <v>480</v>
      </c>
      <c r="D31" s="236"/>
      <c r="E31" s="236"/>
      <c r="F31" s="201">
        <v>0</v>
      </c>
      <c r="G31" s="201">
        <v>0</v>
      </c>
      <c r="H31" s="237">
        <f>F31/E4</f>
        <v>0</v>
      </c>
      <c r="I31" s="201">
        <f t="shared" si="0"/>
        <v>480</v>
      </c>
      <c r="J31" s="237">
        <f>G31/F4</f>
        <v>0</v>
      </c>
      <c r="K31" s="201">
        <v>56000</v>
      </c>
      <c r="L31" s="685">
        <f t="shared" si="1"/>
        <v>0</v>
      </c>
      <c r="M31" s="685">
        <f t="shared" si="2"/>
        <v>0</v>
      </c>
      <c r="N31" s="704">
        <f>M30/F4</f>
        <v>1.5</v>
      </c>
      <c r="O31" s="914">
        <f>M31/F4</f>
        <v>0</v>
      </c>
    </row>
    <row r="32" spans="1:15">
      <c r="A32" s="708">
        <v>24</v>
      </c>
      <c r="B32" s="709" t="s">
        <v>55</v>
      </c>
      <c r="C32" s="681">
        <v>0</v>
      </c>
      <c r="D32" s="710"/>
      <c r="E32" s="710"/>
      <c r="F32" s="249">
        <v>0</v>
      </c>
      <c r="G32" s="249">
        <v>0</v>
      </c>
      <c r="H32" s="248">
        <f>F32/E4</f>
        <v>0</v>
      </c>
      <c r="I32" s="249">
        <f t="shared" si="0"/>
        <v>0</v>
      </c>
      <c r="J32" s="248">
        <f>G32/F4</f>
        <v>0</v>
      </c>
      <c r="K32" s="249">
        <v>90000</v>
      </c>
      <c r="L32" s="713">
        <f t="shared" si="1"/>
        <v>0</v>
      </c>
      <c r="M32" s="713">
        <f t="shared" si="2"/>
        <v>0</v>
      </c>
      <c r="N32" s="704">
        <f>M31/F4</f>
        <v>0</v>
      </c>
      <c r="O32" s="705">
        <f>M32/F4</f>
        <v>0</v>
      </c>
    </row>
    <row r="33" spans="1:15">
      <c r="A33" s="714" t="s">
        <v>56</v>
      </c>
      <c r="B33" s="714" t="s">
        <v>57</v>
      </c>
      <c r="C33" s="715" t="s">
        <v>58</v>
      </c>
      <c r="D33" s="1156" t="s">
        <v>59</v>
      </c>
      <c r="E33" s="1156"/>
      <c r="F33" s="1157"/>
      <c r="G33" s="1144"/>
      <c r="H33" s="1144"/>
      <c r="I33" s="1144"/>
      <c r="J33" s="1144"/>
      <c r="K33" s="1144"/>
      <c r="L33" s="1145"/>
      <c r="M33" s="905" t="s">
        <v>60</v>
      </c>
      <c r="N33" s="717">
        <f>SUM(N9,N10,N11,N12,N13,N14,N15,N16,N17,N18,N19,N20,N21,N22,N23,N24,N25,N26,N27,N28,N29,N30,N31,N32)</f>
        <v>1079.9011764705883</v>
      </c>
      <c r="O33" s="718">
        <f>SUM(O9,O10,O11,O12,O13,O14,O15,O16,O17,O18,O19,O20,O21,O22,O23,O24,O25,O26,O27,O28,O29,N31,N32,O32)</f>
        <v>1078.4011764705883</v>
      </c>
    </row>
    <row r="34" spans="1:15">
      <c r="A34" s="261">
        <v>1</v>
      </c>
      <c r="B34" s="719" t="s">
        <v>61</v>
      </c>
      <c r="C34" s="720">
        <v>33</v>
      </c>
      <c r="D34" s="1147"/>
      <c r="E34" s="1148"/>
      <c r="F34" s="906">
        <v>57</v>
      </c>
      <c r="G34" s="1146"/>
      <c r="H34" s="1144"/>
      <c r="I34" s="1144"/>
      <c r="J34" s="1144"/>
      <c r="K34" s="1144"/>
      <c r="L34" s="1144"/>
      <c r="M34" s="265"/>
      <c r="N34" s="723" t="s">
        <v>17</v>
      </c>
      <c r="O34" s="915" t="s">
        <v>17</v>
      </c>
    </row>
    <row r="35" spans="1:15">
      <c r="A35" s="261">
        <v>2</v>
      </c>
      <c r="B35" s="719" t="s">
        <v>62</v>
      </c>
      <c r="C35" s="725">
        <v>65</v>
      </c>
      <c r="D35" s="1147"/>
      <c r="E35" s="1148"/>
      <c r="F35" s="907">
        <v>113</v>
      </c>
      <c r="G35" s="1146"/>
      <c r="H35" s="1144"/>
      <c r="I35" s="1144"/>
      <c r="J35" s="1144"/>
      <c r="K35" s="1144"/>
      <c r="L35" s="1144"/>
      <c r="M35" s="270"/>
      <c r="N35" s="728" t="s">
        <v>25</v>
      </c>
      <c r="O35" s="916" t="s">
        <v>26</v>
      </c>
    </row>
    <row r="36" spans="1:15">
      <c r="A36" s="261">
        <v>3</v>
      </c>
      <c r="B36" s="719"/>
      <c r="C36" s="683"/>
      <c r="D36" s="1149"/>
      <c r="E36" s="1150"/>
      <c r="F36" s="907"/>
      <c r="G36" s="1146"/>
      <c r="H36" s="1144"/>
      <c r="I36" s="1144"/>
      <c r="J36" s="1144"/>
      <c r="K36" s="1144"/>
      <c r="L36" s="1144"/>
      <c r="M36" s="270"/>
      <c r="N36" s="728" t="s">
        <v>63</v>
      </c>
      <c r="O36" s="916" t="s">
        <v>63</v>
      </c>
    </row>
    <row r="37" spans="1:15">
      <c r="A37" s="261">
        <v>4</v>
      </c>
      <c r="B37" s="719"/>
      <c r="C37" s="730"/>
      <c r="D37" s="726"/>
      <c r="F37" s="908"/>
      <c r="G37" s="1146"/>
      <c r="H37" s="1144"/>
      <c r="I37" s="1144"/>
      <c r="J37" s="1144"/>
      <c r="K37" s="1144"/>
      <c r="L37" s="1145"/>
      <c r="M37" s="909" t="s">
        <v>60</v>
      </c>
      <c r="N37" s="733">
        <f>N33/1000</f>
        <v>1.0799011764705884</v>
      </c>
      <c r="O37" s="734">
        <f>O33/1000</f>
        <v>1.0784011764705883</v>
      </c>
    </row>
    <row r="38" spans="1:15">
      <c r="A38" s="261">
        <v>5</v>
      </c>
      <c r="B38" s="719"/>
      <c r="C38" s="735"/>
      <c r="D38" s="726"/>
      <c r="F38" s="736"/>
      <c r="G38" s="722"/>
      <c r="H38" s="722"/>
      <c r="I38" s="722"/>
      <c r="J38" s="722"/>
      <c r="K38" s="722"/>
      <c r="L38" s="722"/>
      <c r="M38" s="737"/>
      <c r="N38" s="738"/>
      <c r="O38" s="739"/>
    </row>
    <row r="39" spans="1:15">
      <c r="A39" s="261">
        <v>6</v>
      </c>
      <c r="B39" s="719"/>
      <c r="C39" s="730"/>
      <c r="D39" s="726"/>
      <c r="F39" s="736"/>
      <c r="G39" s="722"/>
      <c r="H39" s="722"/>
      <c r="I39" s="722"/>
      <c r="J39" s="722"/>
      <c r="K39" s="722"/>
      <c r="L39" s="722"/>
      <c r="M39" s="737"/>
      <c r="N39" s="738"/>
      <c r="O39" s="739"/>
    </row>
    <row r="40" spans="1:15">
      <c r="A40" s="740">
        <v>7</v>
      </c>
      <c r="B40" s="719"/>
      <c r="C40" s="730"/>
      <c r="D40" s="726"/>
      <c r="F40" s="736"/>
      <c r="G40" s="722"/>
      <c r="H40" s="722"/>
      <c r="I40" s="722"/>
      <c r="J40" s="722"/>
      <c r="K40" s="722"/>
      <c r="L40" s="722"/>
      <c r="M40" s="737"/>
      <c r="N40" s="738"/>
      <c r="O40" s="739"/>
    </row>
    <row r="41" spans="1:15">
      <c r="A41" s="741">
        <v>4</v>
      </c>
      <c r="B41" s="742" t="s">
        <v>60</v>
      </c>
      <c r="C41" s="743">
        <f>SUM(C34,C35,C36,C37,C38,C39,C40)</f>
        <v>98</v>
      </c>
      <c r="D41" s="1140">
        <f>SUM(F34,F35,F36,F37,F38,F39,F40)</f>
        <v>170</v>
      </c>
      <c r="E41" s="1140"/>
      <c r="F41" s="1141"/>
      <c r="G41" s="286"/>
      <c r="H41" s="286"/>
      <c r="I41" s="286"/>
      <c r="J41" s="286"/>
      <c r="K41" s="286"/>
      <c r="L41" s="286"/>
      <c r="M41" s="286"/>
      <c r="N41" s="286"/>
      <c r="O41" s="286"/>
    </row>
    <row r="42" spans="1:15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</row>
    <row r="43" spans="1:15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</row>
    <row r="44" spans="1:15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</row>
    <row r="53" spans="2:2">
      <c r="B53" s="910"/>
    </row>
  </sheetData>
  <mergeCells count="14">
    <mergeCell ref="D41:F41"/>
    <mergeCell ref="A1:O2"/>
    <mergeCell ref="G33:L37"/>
    <mergeCell ref="D34:E36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"/>
  <sheetViews>
    <sheetView topLeftCell="A2" workbookViewId="0">
      <selection activeCell="E9" sqref="E9"/>
    </sheetView>
  </sheetViews>
  <sheetFormatPr defaultColWidth="10" defaultRowHeight="12.75"/>
  <cols>
    <col min="1" max="1" width="9.5703125" style="160" customWidth="1"/>
    <col min="2" max="2" width="27.7109375" style="160" customWidth="1"/>
    <col min="3" max="3" width="17" style="160" customWidth="1"/>
    <col min="4" max="4" width="9.85546875" style="160" customWidth="1"/>
    <col min="5" max="5" width="11.28515625" style="160" customWidth="1"/>
    <col min="6" max="6" width="16" style="160" customWidth="1"/>
    <col min="7" max="7" width="15.5703125" style="722" customWidth="1"/>
    <col min="8" max="8" width="13.140625" style="160" customWidth="1"/>
    <col min="9" max="9" width="9" style="160" customWidth="1"/>
    <col min="10" max="10" width="13.140625" style="160" customWidth="1"/>
    <col min="11" max="11" width="7" style="902" customWidth="1"/>
    <col min="12" max="13" width="9.42578125" style="902" customWidth="1"/>
    <col min="14" max="14" width="8.28515625" style="902" customWidth="1"/>
    <col min="15" max="15" width="8.28515625" style="903" customWidth="1"/>
    <col min="16" max="16384" width="10" style="160"/>
  </cols>
  <sheetData>
    <row r="1" spans="1:15" ht="14.25" customHeight="1">
      <c r="A1" s="1169" t="s">
        <v>0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1"/>
    </row>
    <row r="2" spans="1:15" ht="14.25" customHeight="1">
      <c r="A2" s="1172"/>
      <c r="B2" s="1173"/>
      <c r="C2" s="1173"/>
      <c r="D2" s="1173"/>
      <c r="E2" s="1173"/>
      <c r="F2" s="1173"/>
      <c r="G2" s="1173"/>
      <c r="H2" s="1173"/>
      <c r="I2" s="1173"/>
      <c r="J2" s="1173"/>
      <c r="K2" s="1173"/>
      <c r="L2" s="1173"/>
      <c r="M2" s="1173"/>
      <c r="N2" s="1173"/>
      <c r="O2" s="1174"/>
    </row>
    <row r="3" spans="1:15" ht="15">
      <c r="A3" s="1160" t="s">
        <v>1</v>
      </c>
      <c r="B3" s="1196"/>
      <c r="C3" s="1196"/>
      <c r="D3" s="1196"/>
      <c r="E3" s="1196"/>
      <c r="F3" s="1196"/>
      <c r="G3" s="1196"/>
      <c r="H3" s="1196"/>
      <c r="I3" s="1196"/>
      <c r="J3" s="1196"/>
      <c r="K3" s="1196"/>
      <c r="L3" s="1196"/>
      <c r="M3" s="1196"/>
      <c r="N3" s="1196"/>
      <c r="O3" s="1197"/>
    </row>
    <row r="4" spans="1:15" ht="15">
      <c r="A4" s="1160" t="s">
        <v>2</v>
      </c>
      <c r="B4" s="1196"/>
      <c r="C4" s="1196"/>
      <c r="D4" s="1197"/>
      <c r="E4" s="656">
        <v>149</v>
      </c>
      <c r="F4" s="161">
        <v>319</v>
      </c>
      <c r="G4" s="657" t="s">
        <v>64</v>
      </c>
      <c r="H4" s="1198" t="s">
        <v>65</v>
      </c>
      <c r="I4" s="1199"/>
      <c r="J4" s="1199"/>
      <c r="K4" s="1199"/>
      <c r="L4" s="1199"/>
      <c r="M4" s="1199"/>
      <c r="N4" s="1199"/>
      <c r="O4" s="1200"/>
    </row>
    <row r="5" spans="1:15">
      <c r="A5" s="1201" t="s">
        <v>5</v>
      </c>
      <c r="B5" s="1202"/>
      <c r="C5" s="1203" t="s">
        <v>6</v>
      </c>
      <c r="D5" s="1204"/>
      <c r="E5" s="658">
        <v>0</v>
      </c>
      <c r="F5" s="659">
        <v>0</v>
      </c>
      <c r="G5" s="660" t="s">
        <v>7</v>
      </c>
      <c r="H5" s="166"/>
      <c r="I5" s="166"/>
      <c r="J5" s="166"/>
      <c r="K5" s="167"/>
      <c r="L5" s="167"/>
      <c r="M5" s="167"/>
      <c r="N5" s="661"/>
      <c r="O5" s="662"/>
    </row>
    <row r="6" spans="1:15">
      <c r="A6" s="253" t="s">
        <v>8</v>
      </c>
      <c r="B6" s="171" t="s">
        <v>9</v>
      </c>
      <c r="C6" s="171" t="s">
        <v>10</v>
      </c>
      <c r="D6" s="1187" t="s">
        <v>11</v>
      </c>
      <c r="E6" s="1188"/>
      <c r="F6" s="1189" t="s">
        <v>12</v>
      </c>
      <c r="G6" s="1190"/>
      <c r="H6" s="172" t="s">
        <v>13</v>
      </c>
      <c r="I6" s="173" t="s">
        <v>9</v>
      </c>
      <c r="J6" s="174" t="s">
        <v>14</v>
      </c>
      <c r="K6" s="175" t="s">
        <v>15</v>
      </c>
      <c r="L6" s="1191" t="s">
        <v>16</v>
      </c>
      <c r="M6" s="1192"/>
      <c r="N6" s="1193" t="s">
        <v>17</v>
      </c>
      <c r="O6" s="1194"/>
    </row>
    <row r="7" spans="1:15">
      <c r="A7" s="253" t="s">
        <v>18</v>
      </c>
      <c r="B7" s="171" t="s">
        <v>19</v>
      </c>
      <c r="C7" s="171" t="s">
        <v>20</v>
      </c>
      <c r="D7" s="171" t="s">
        <v>21</v>
      </c>
      <c r="E7" s="176" t="s">
        <v>14</v>
      </c>
      <c r="F7" s="177" t="s">
        <v>21</v>
      </c>
      <c r="G7" s="177" t="s">
        <v>14</v>
      </c>
      <c r="H7" s="178" t="s">
        <v>22</v>
      </c>
      <c r="I7" s="179" t="s">
        <v>23</v>
      </c>
      <c r="J7" s="180" t="s">
        <v>22</v>
      </c>
      <c r="K7" s="181" t="s">
        <v>24</v>
      </c>
      <c r="L7" s="181" t="s">
        <v>25</v>
      </c>
      <c r="M7" s="179" t="s">
        <v>26</v>
      </c>
      <c r="N7" s="175" t="s">
        <v>25</v>
      </c>
      <c r="O7" s="663" t="s">
        <v>26</v>
      </c>
    </row>
    <row r="8" spans="1:15">
      <c r="A8" s="664"/>
      <c r="B8" s="171"/>
      <c r="C8" s="171" t="s">
        <v>27</v>
      </c>
      <c r="D8" s="171" t="s">
        <v>27</v>
      </c>
      <c r="E8" s="171" t="s">
        <v>27</v>
      </c>
      <c r="F8" s="184" t="s">
        <v>27</v>
      </c>
      <c r="G8" s="184" t="s">
        <v>27</v>
      </c>
      <c r="H8" s="178" t="s">
        <v>28</v>
      </c>
      <c r="I8" s="179" t="s">
        <v>27</v>
      </c>
      <c r="J8" s="180" t="s">
        <v>28</v>
      </c>
      <c r="K8" s="181" t="s">
        <v>29</v>
      </c>
      <c r="L8" s="181" t="s">
        <v>30</v>
      </c>
      <c r="M8" s="179" t="s">
        <v>30</v>
      </c>
      <c r="N8" s="181" t="s">
        <v>31</v>
      </c>
      <c r="O8" s="665" t="s">
        <v>31</v>
      </c>
    </row>
    <row r="9" spans="1:15">
      <c r="A9" s="666">
        <v>1</v>
      </c>
      <c r="B9" s="187" t="s">
        <v>32</v>
      </c>
      <c r="C9" s="188">
        <v>9500</v>
      </c>
      <c r="D9" s="189">
        <v>13000</v>
      </c>
      <c r="E9" s="188">
        <v>13000</v>
      </c>
      <c r="F9" s="188">
        <v>3950</v>
      </c>
      <c r="G9" s="188">
        <f>'01-07-26'!F9+'02-07-26'!F9</f>
        <v>7850</v>
      </c>
      <c r="H9" s="191">
        <f>F9/E4</f>
        <v>26.51006711409396</v>
      </c>
      <c r="I9" s="188">
        <f t="shared" ref="I9:I32" si="0">(C9-F9)+D9</f>
        <v>18550</v>
      </c>
      <c r="J9" s="192">
        <f>G9/F4</f>
        <v>24.608150470219435</v>
      </c>
      <c r="K9" s="193">
        <v>28500</v>
      </c>
      <c r="L9" s="669">
        <f t="shared" ref="L9:L32" si="1">(F9/1000)*K9</f>
        <v>112575</v>
      </c>
      <c r="M9" s="670">
        <f t="shared" ref="M9:M32" si="2">(G9/1000)*K9</f>
        <v>223725</v>
      </c>
      <c r="N9" s="671">
        <f>L9/E4</f>
        <v>755.53691275167785</v>
      </c>
      <c r="O9" s="672">
        <f>M9/F4</f>
        <v>701.33228840125389</v>
      </c>
    </row>
    <row r="10" spans="1:15">
      <c r="A10" s="673">
        <v>2</v>
      </c>
      <c r="B10" s="199" t="s">
        <v>33</v>
      </c>
      <c r="C10" s="200">
        <v>8778</v>
      </c>
      <c r="D10" s="201"/>
      <c r="E10" s="200"/>
      <c r="F10" s="200">
        <v>190</v>
      </c>
      <c r="G10" s="188">
        <f>'01-07-26'!F10+'02-07-26'!F10</f>
        <v>412</v>
      </c>
      <c r="H10" s="202">
        <f>F10/E4</f>
        <v>1.2751677852348993</v>
      </c>
      <c r="I10" s="200">
        <f t="shared" si="0"/>
        <v>8588</v>
      </c>
      <c r="J10" s="203">
        <f>G10/F4</f>
        <v>1.2915360501567399</v>
      </c>
      <c r="K10" s="190">
        <v>35500</v>
      </c>
      <c r="L10" s="676">
        <f t="shared" si="1"/>
        <v>6745</v>
      </c>
      <c r="M10" s="676">
        <f t="shared" si="2"/>
        <v>14626</v>
      </c>
      <c r="N10" s="677">
        <f>L10/E4</f>
        <v>45.268456375838923</v>
      </c>
      <c r="O10" s="678">
        <f>M10/F4</f>
        <v>45.849529780564261</v>
      </c>
    </row>
    <row r="11" spans="1:15">
      <c r="A11" s="673">
        <v>3</v>
      </c>
      <c r="B11" s="199" t="s">
        <v>34</v>
      </c>
      <c r="C11" s="200">
        <v>6743</v>
      </c>
      <c r="D11" s="201"/>
      <c r="E11" s="200"/>
      <c r="F11" s="200">
        <v>60</v>
      </c>
      <c r="G11" s="188">
        <f>'01-07-26'!F11+'02-07-26'!F11</f>
        <v>137</v>
      </c>
      <c r="H11" s="202">
        <f>F11/E4</f>
        <v>0.40268456375838924</v>
      </c>
      <c r="I11" s="200">
        <f t="shared" si="0"/>
        <v>6683</v>
      </c>
      <c r="J11" s="203">
        <f>G11/F4</f>
        <v>0.42946708463949845</v>
      </c>
      <c r="K11" s="190">
        <v>98000</v>
      </c>
      <c r="L11" s="676">
        <f t="shared" si="1"/>
        <v>5880</v>
      </c>
      <c r="M11" s="676">
        <f t="shared" si="2"/>
        <v>13426.000000000002</v>
      </c>
      <c r="N11" s="677">
        <f>L11/E4</f>
        <v>39.463087248322147</v>
      </c>
      <c r="O11" s="678">
        <f>M11/F4</f>
        <v>42.087774294670851</v>
      </c>
    </row>
    <row r="12" spans="1:15">
      <c r="A12" s="673">
        <v>4</v>
      </c>
      <c r="B12" s="199" t="s">
        <v>35</v>
      </c>
      <c r="C12" s="200">
        <v>20.92</v>
      </c>
      <c r="D12" s="201"/>
      <c r="E12" s="200"/>
      <c r="F12" s="200">
        <v>0.08</v>
      </c>
      <c r="G12" s="188">
        <f>'01-07-26'!F12+'02-07-26'!F12</f>
        <v>0.16</v>
      </c>
      <c r="H12" s="207">
        <f>F12/E4</f>
        <v>5.3691275167785241E-4</v>
      </c>
      <c r="I12" s="200">
        <f t="shared" si="0"/>
        <v>20.840000000000003</v>
      </c>
      <c r="J12" s="208">
        <f>G12/F4</f>
        <v>5.0156739811912227E-4</v>
      </c>
      <c r="K12" s="190">
        <v>750000</v>
      </c>
      <c r="L12" s="676">
        <f t="shared" si="1"/>
        <v>60.000000000000007</v>
      </c>
      <c r="M12" s="676">
        <f t="shared" si="2"/>
        <v>120.00000000000001</v>
      </c>
      <c r="N12" s="677">
        <f>L12/E4</f>
        <v>0.40268456375838929</v>
      </c>
      <c r="O12" s="678">
        <f>M12/F4</f>
        <v>0.37617554858934171</v>
      </c>
    </row>
    <row r="13" spans="1:15">
      <c r="A13" s="673">
        <v>5</v>
      </c>
      <c r="B13" s="199" t="s">
        <v>36</v>
      </c>
      <c r="C13" s="200">
        <v>479</v>
      </c>
      <c r="D13" s="201"/>
      <c r="E13" s="200"/>
      <c r="F13" s="200">
        <v>22</v>
      </c>
      <c r="G13" s="188">
        <f>'01-07-26'!F13+'02-07-26'!F13</f>
        <v>43</v>
      </c>
      <c r="H13" s="202">
        <f>F13/E4</f>
        <v>0.1476510067114094</v>
      </c>
      <c r="I13" s="200">
        <f t="shared" si="0"/>
        <v>457</v>
      </c>
      <c r="J13" s="203">
        <f>G13/F4</f>
        <v>0.13479623824451412</v>
      </c>
      <c r="K13" s="190">
        <v>350000</v>
      </c>
      <c r="L13" s="676">
        <f t="shared" si="1"/>
        <v>7700</v>
      </c>
      <c r="M13" s="676">
        <f t="shared" si="2"/>
        <v>15049.999999999998</v>
      </c>
      <c r="N13" s="677">
        <f>L13/E4</f>
        <v>51.677852348993291</v>
      </c>
      <c r="O13" s="678">
        <f>M13/F4</f>
        <v>47.17868338557993</v>
      </c>
    </row>
    <row r="14" spans="1:15">
      <c r="A14" s="673">
        <v>6</v>
      </c>
      <c r="B14" s="199" t="s">
        <v>37</v>
      </c>
      <c r="C14" s="200">
        <v>2320</v>
      </c>
      <c r="D14" s="201"/>
      <c r="E14" s="200"/>
      <c r="F14" s="200">
        <v>60</v>
      </c>
      <c r="G14" s="188">
        <f>'01-07-26'!F14+'02-07-26'!F14</f>
        <v>140</v>
      </c>
      <c r="H14" s="202">
        <f>F14/E4</f>
        <v>0.40268456375838924</v>
      </c>
      <c r="I14" s="200">
        <f t="shared" si="0"/>
        <v>2260</v>
      </c>
      <c r="J14" s="203">
        <f>G14/F4</f>
        <v>0.43887147335423199</v>
      </c>
      <c r="K14" s="190">
        <v>204500</v>
      </c>
      <c r="L14" s="676">
        <f t="shared" si="1"/>
        <v>12270</v>
      </c>
      <c r="M14" s="676">
        <f t="shared" si="2"/>
        <v>28630.000000000004</v>
      </c>
      <c r="N14" s="677">
        <f>L14/E4</f>
        <v>82.348993288590606</v>
      </c>
      <c r="O14" s="678">
        <f>M14/F4</f>
        <v>89.749216300940446</v>
      </c>
    </row>
    <row r="15" spans="1:15">
      <c r="A15" s="673">
        <v>7</v>
      </c>
      <c r="B15" s="199" t="s">
        <v>38</v>
      </c>
      <c r="C15" s="200">
        <v>1696</v>
      </c>
      <c r="D15" s="201"/>
      <c r="E15" s="200"/>
      <c r="F15" s="200">
        <v>54</v>
      </c>
      <c r="G15" s="188">
        <f>'01-07-26'!F15+'02-07-26'!F15</f>
        <v>108</v>
      </c>
      <c r="H15" s="202">
        <f>F15/E4</f>
        <v>0.36241610738255031</v>
      </c>
      <c r="I15" s="200">
        <f t="shared" si="0"/>
        <v>1642</v>
      </c>
      <c r="J15" s="203">
        <f>G15/F4</f>
        <v>0.33855799373040751</v>
      </c>
      <c r="K15" s="190">
        <v>129500</v>
      </c>
      <c r="L15" s="676">
        <f t="shared" si="1"/>
        <v>6993</v>
      </c>
      <c r="M15" s="676">
        <f t="shared" si="2"/>
        <v>13986</v>
      </c>
      <c r="N15" s="677">
        <f>L15/E4</f>
        <v>46.932885906040269</v>
      </c>
      <c r="O15" s="678">
        <f>M15/F4</f>
        <v>43.843260188087775</v>
      </c>
    </row>
    <row r="16" spans="1:15">
      <c r="A16" s="673">
        <v>8</v>
      </c>
      <c r="B16" s="199" t="s">
        <v>39</v>
      </c>
      <c r="C16" s="200">
        <v>965</v>
      </c>
      <c r="D16" s="200"/>
      <c r="E16" s="200"/>
      <c r="F16" s="200">
        <v>15</v>
      </c>
      <c r="G16" s="188">
        <f>'01-07-26'!F16+'02-07-26'!F16</f>
        <v>35</v>
      </c>
      <c r="H16" s="202">
        <f>F16/E4</f>
        <v>0.10067114093959731</v>
      </c>
      <c r="I16" s="200">
        <f t="shared" si="0"/>
        <v>950</v>
      </c>
      <c r="J16" s="203">
        <f>G16/F4</f>
        <v>0.109717868338558</v>
      </c>
      <c r="K16" s="190">
        <v>219500</v>
      </c>
      <c r="L16" s="676">
        <f t="shared" si="1"/>
        <v>3292.5</v>
      </c>
      <c r="M16" s="676">
        <f t="shared" si="2"/>
        <v>7682.5000000000009</v>
      </c>
      <c r="N16" s="677">
        <f>L16/E4</f>
        <v>22.097315436241612</v>
      </c>
      <c r="O16" s="678">
        <f>M16/F4</f>
        <v>24.083072100313483</v>
      </c>
    </row>
    <row r="17" spans="1:15">
      <c r="A17" s="673">
        <v>9</v>
      </c>
      <c r="B17" s="199" t="s">
        <v>40</v>
      </c>
      <c r="C17" s="200">
        <v>21</v>
      </c>
      <c r="D17" s="201"/>
      <c r="E17" s="188"/>
      <c r="F17" s="200">
        <v>0</v>
      </c>
      <c r="G17" s="188">
        <f>'01-07-26'!F17+'02-07-26'!F17</f>
        <v>0</v>
      </c>
      <c r="H17" s="202">
        <f>F17/E4</f>
        <v>0</v>
      </c>
      <c r="I17" s="200">
        <f t="shared" si="0"/>
        <v>21</v>
      </c>
      <c r="J17" s="203">
        <f>G17/F4</f>
        <v>0</v>
      </c>
      <c r="K17" s="190">
        <v>348200</v>
      </c>
      <c r="L17" s="676">
        <f t="shared" si="1"/>
        <v>0</v>
      </c>
      <c r="M17" s="685">
        <f t="shared" si="2"/>
        <v>0</v>
      </c>
      <c r="N17" s="677">
        <f>L17/E4</f>
        <v>0</v>
      </c>
      <c r="O17" s="678">
        <f>M17/F4</f>
        <v>0</v>
      </c>
    </row>
    <row r="18" spans="1:15">
      <c r="A18" s="686">
        <v>10</v>
      </c>
      <c r="B18" s="211" t="s">
        <v>41</v>
      </c>
      <c r="C18" s="212">
        <v>3950</v>
      </c>
      <c r="D18" s="212"/>
      <c r="E18" s="212"/>
      <c r="F18" s="212">
        <v>0</v>
      </c>
      <c r="G18" s="188">
        <f>'01-07-26'!F18+'02-07-26'!F18</f>
        <v>0</v>
      </c>
      <c r="H18" s="213">
        <f>F18/E4</f>
        <v>0</v>
      </c>
      <c r="I18" s="212">
        <f t="shared" si="0"/>
        <v>3950</v>
      </c>
      <c r="J18" s="213">
        <f>G18/F4</f>
        <v>0</v>
      </c>
      <c r="K18" s="214">
        <v>172000</v>
      </c>
      <c r="L18" s="689">
        <f t="shared" si="1"/>
        <v>0</v>
      </c>
      <c r="M18" s="689">
        <f t="shared" si="2"/>
        <v>0</v>
      </c>
      <c r="N18" s="689">
        <f>L18/E4</f>
        <v>0</v>
      </c>
      <c r="O18" s="690">
        <f>M18/F4</f>
        <v>0</v>
      </c>
    </row>
    <row r="19" spans="1:15">
      <c r="A19" s="691">
        <v>11</v>
      </c>
      <c r="B19" s="218" t="s">
        <v>42</v>
      </c>
      <c r="C19" s="219">
        <v>48</v>
      </c>
      <c r="D19" s="219"/>
      <c r="E19" s="219"/>
      <c r="F19" s="219">
        <v>0</v>
      </c>
      <c r="G19" s="188">
        <f>'01-07-26'!F19+'02-07-26'!F19</f>
        <v>0</v>
      </c>
      <c r="H19" s="213">
        <f>F19/E4</f>
        <v>0</v>
      </c>
      <c r="I19" s="219">
        <f t="shared" si="0"/>
        <v>48</v>
      </c>
      <c r="J19" s="220">
        <f>G19/F4</f>
        <v>0</v>
      </c>
      <c r="K19" s="219">
        <v>200000</v>
      </c>
      <c r="L19" s="693">
        <f t="shared" si="1"/>
        <v>0</v>
      </c>
      <c r="M19" s="693">
        <f t="shared" si="2"/>
        <v>0</v>
      </c>
      <c r="N19" s="693">
        <f>L19/E4</f>
        <v>0</v>
      </c>
      <c r="O19" s="694">
        <f>M19/F4</f>
        <v>0</v>
      </c>
    </row>
    <row r="20" spans="1:15">
      <c r="A20" s="695">
        <v>12</v>
      </c>
      <c r="B20" s="224" t="s">
        <v>43</v>
      </c>
      <c r="C20" s="225">
        <v>156.30000000000001</v>
      </c>
      <c r="D20" s="226"/>
      <c r="E20" s="226"/>
      <c r="F20" s="227">
        <v>5.5</v>
      </c>
      <c r="G20" s="188">
        <f>'01-07-26'!F20+'02-07-26'!F20</f>
        <v>12.4</v>
      </c>
      <c r="H20" s="228">
        <f>F20/E4</f>
        <v>3.6912751677852351E-2</v>
      </c>
      <c r="I20" s="229">
        <f t="shared" si="0"/>
        <v>150.80000000000001</v>
      </c>
      <c r="J20" s="230">
        <f>G20/F4</f>
        <v>3.8871473354231974E-2</v>
      </c>
      <c r="K20" s="225">
        <v>377600</v>
      </c>
      <c r="L20" s="698">
        <f t="shared" si="1"/>
        <v>2076.7999999999997</v>
      </c>
      <c r="M20" s="698">
        <f t="shared" si="2"/>
        <v>4682.24</v>
      </c>
      <c r="N20" s="698">
        <f>L20/E4</f>
        <v>13.938255033557045</v>
      </c>
      <c r="O20" s="699">
        <f>M20/F4</f>
        <v>14.677868338557992</v>
      </c>
    </row>
    <row r="21" spans="1:15">
      <c r="A21" s="695">
        <v>13</v>
      </c>
      <c r="B21" s="224" t="s">
        <v>44</v>
      </c>
      <c r="C21" s="225">
        <v>130.4</v>
      </c>
      <c r="D21" s="226"/>
      <c r="E21" s="226"/>
      <c r="F21" s="227">
        <v>3.3</v>
      </c>
      <c r="G21" s="188">
        <f>'01-07-26'!F21+'02-07-26'!F21</f>
        <v>7.3999999999999995</v>
      </c>
      <c r="H21" s="230">
        <f>F21/E4</f>
        <v>2.2147651006711407E-2</v>
      </c>
      <c r="I21" s="225">
        <f t="shared" si="0"/>
        <v>127.10000000000001</v>
      </c>
      <c r="J21" s="230">
        <f>G21/F4</f>
        <v>2.3197492163009401E-2</v>
      </c>
      <c r="K21" s="225">
        <v>271400</v>
      </c>
      <c r="L21" s="698">
        <f t="shared" si="1"/>
        <v>895.62</v>
      </c>
      <c r="M21" s="698">
        <f t="shared" si="2"/>
        <v>2008.36</v>
      </c>
      <c r="N21" s="698">
        <f>L21/E4</f>
        <v>6.0108724832214762</v>
      </c>
      <c r="O21" s="699">
        <f>M21/F4</f>
        <v>6.2957993730407518</v>
      </c>
    </row>
    <row r="22" spans="1:15">
      <c r="A22" s="695">
        <v>14</v>
      </c>
      <c r="B22" s="224" t="s">
        <v>45</v>
      </c>
      <c r="C22" s="225">
        <v>1879.9</v>
      </c>
      <c r="D22" s="226"/>
      <c r="E22" s="226"/>
      <c r="F22" s="227">
        <v>47.4</v>
      </c>
      <c r="G22" s="188">
        <f>'01-07-26'!F22+'02-07-26'!F22</f>
        <v>106.69999999999999</v>
      </c>
      <c r="H22" s="230">
        <f>F22/E4</f>
        <v>0.31812080536912751</v>
      </c>
      <c r="I22" s="226">
        <f t="shared" si="0"/>
        <v>1832.5</v>
      </c>
      <c r="J22" s="230">
        <f>G22/F4</f>
        <v>0.3344827586206896</v>
      </c>
      <c r="K22" s="225">
        <v>271400</v>
      </c>
      <c r="L22" s="698">
        <f t="shared" si="1"/>
        <v>12864.359999999999</v>
      </c>
      <c r="M22" s="698">
        <f t="shared" si="2"/>
        <v>28958.379999999997</v>
      </c>
      <c r="N22" s="698">
        <f>L22/E4</f>
        <v>86.337986577181198</v>
      </c>
      <c r="O22" s="699">
        <f>M22/F4</f>
        <v>90.77862068965517</v>
      </c>
    </row>
    <row r="23" spans="1:15">
      <c r="A23" s="701">
        <v>15</v>
      </c>
      <c r="B23" s="234" t="s">
        <v>46</v>
      </c>
      <c r="C23" s="201">
        <v>100</v>
      </c>
      <c r="D23" s="236"/>
      <c r="E23" s="236"/>
      <c r="F23" s="201">
        <v>0</v>
      </c>
      <c r="G23" s="188">
        <f>'01-07-26'!F23+'02-07-26'!F23</f>
        <v>0</v>
      </c>
      <c r="H23" s="237">
        <f>F23/E4</f>
        <v>0</v>
      </c>
      <c r="I23" s="201">
        <f t="shared" si="0"/>
        <v>100</v>
      </c>
      <c r="J23" s="237">
        <f>G23/F4</f>
        <v>0</v>
      </c>
      <c r="K23" s="201">
        <v>41000</v>
      </c>
      <c r="L23" s="685">
        <f t="shared" si="1"/>
        <v>0</v>
      </c>
      <c r="M23" s="685">
        <f t="shared" si="2"/>
        <v>0</v>
      </c>
      <c r="N23" s="685">
        <f>L23/E4</f>
        <v>0</v>
      </c>
      <c r="O23" s="704">
        <f>M23/F4</f>
        <v>0</v>
      </c>
    </row>
    <row r="24" spans="1:15">
      <c r="A24" s="701">
        <v>16</v>
      </c>
      <c r="B24" s="234" t="s">
        <v>47</v>
      </c>
      <c r="C24" s="201">
        <v>379.6</v>
      </c>
      <c r="D24" s="236"/>
      <c r="E24" s="236"/>
      <c r="F24" s="201">
        <v>6</v>
      </c>
      <c r="G24" s="188">
        <f>'01-07-26'!F24+'02-07-26'!F24</f>
        <v>12</v>
      </c>
      <c r="H24" s="237">
        <f>F24/E4</f>
        <v>4.0268456375838924E-2</v>
      </c>
      <c r="I24" s="201">
        <f t="shared" si="0"/>
        <v>373.6</v>
      </c>
      <c r="J24" s="237">
        <f>G24/F4</f>
        <v>3.7617554858934171E-2</v>
      </c>
      <c r="K24" s="201">
        <v>24000</v>
      </c>
      <c r="L24" s="685">
        <f t="shared" si="1"/>
        <v>144</v>
      </c>
      <c r="M24" s="685">
        <f t="shared" si="2"/>
        <v>288</v>
      </c>
      <c r="N24" s="685">
        <f>L24/E4</f>
        <v>0.96644295302013428</v>
      </c>
      <c r="O24" s="704">
        <f>M24/F4</f>
        <v>0.90282131661442011</v>
      </c>
    </row>
    <row r="25" spans="1:15">
      <c r="A25" s="701">
        <v>17</v>
      </c>
      <c r="B25" s="234" t="s">
        <v>48</v>
      </c>
      <c r="C25" s="201">
        <v>380</v>
      </c>
      <c r="D25" s="236"/>
      <c r="E25" s="236"/>
      <c r="F25" s="201">
        <v>0</v>
      </c>
      <c r="G25" s="188">
        <f>'01-07-26'!F25+'02-07-26'!F25</f>
        <v>0</v>
      </c>
      <c r="H25" s="237">
        <f>F25/E4</f>
        <v>0</v>
      </c>
      <c r="I25" s="201">
        <f t="shared" si="0"/>
        <v>380</v>
      </c>
      <c r="J25" s="237">
        <f>G25/F4</f>
        <v>0</v>
      </c>
      <c r="K25" s="201">
        <v>13210</v>
      </c>
      <c r="L25" s="685">
        <f t="shared" si="1"/>
        <v>0</v>
      </c>
      <c r="M25" s="685">
        <f t="shared" si="2"/>
        <v>0</v>
      </c>
      <c r="N25" s="685">
        <f>L25/E4</f>
        <v>0</v>
      </c>
      <c r="O25" s="704">
        <f>M25/F4</f>
        <v>0</v>
      </c>
    </row>
    <row r="26" spans="1:15">
      <c r="A26" s="701">
        <v>18</v>
      </c>
      <c r="B26" s="234" t="s">
        <v>49</v>
      </c>
      <c r="C26" s="201">
        <v>235</v>
      </c>
      <c r="D26" s="236"/>
      <c r="E26" s="201"/>
      <c r="F26" s="201">
        <v>10</v>
      </c>
      <c r="G26" s="188">
        <f>'01-07-26'!F26+'02-07-26'!F26</f>
        <v>20</v>
      </c>
      <c r="H26" s="237">
        <f>F26/E4</f>
        <v>6.7114093959731544E-2</v>
      </c>
      <c r="I26" s="201">
        <f t="shared" si="0"/>
        <v>225</v>
      </c>
      <c r="J26" s="237">
        <f>G26/F4</f>
        <v>6.2695924764890276E-2</v>
      </c>
      <c r="K26" s="201">
        <v>14400</v>
      </c>
      <c r="L26" s="685">
        <f t="shared" si="1"/>
        <v>144</v>
      </c>
      <c r="M26" s="685">
        <f t="shared" si="2"/>
        <v>288</v>
      </c>
      <c r="N26" s="685">
        <f>L26/E4</f>
        <v>0.96644295302013428</v>
      </c>
      <c r="O26" s="704">
        <f>M26/F4</f>
        <v>0.90282131661442011</v>
      </c>
    </row>
    <row r="27" spans="1:15">
      <c r="A27" s="701">
        <v>19</v>
      </c>
      <c r="B27" s="234" t="s">
        <v>50</v>
      </c>
      <c r="C27" s="201">
        <v>201</v>
      </c>
      <c r="D27" s="201"/>
      <c r="E27" s="236"/>
      <c r="F27" s="201">
        <v>3.5</v>
      </c>
      <c r="G27" s="188">
        <f>'01-07-26'!F27+'02-07-26'!F27</f>
        <v>7.5</v>
      </c>
      <c r="H27" s="237">
        <f>F27/E4</f>
        <v>2.3489932885906041E-2</v>
      </c>
      <c r="I27" s="201">
        <f t="shared" si="0"/>
        <v>197.5</v>
      </c>
      <c r="J27" s="237">
        <f>G27/F4</f>
        <v>2.3510971786833857E-2</v>
      </c>
      <c r="K27" s="201">
        <v>102000</v>
      </c>
      <c r="L27" s="685">
        <f t="shared" si="1"/>
        <v>357</v>
      </c>
      <c r="M27" s="685">
        <f t="shared" si="2"/>
        <v>765</v>
      </c>
      <c r="N27" s="685">
        <f>L27/E4</f>
        <v>2.3959731543624163</v>
      </c>
      <c r="O27" s="704">
        <f>M27/F4</f>
        <v>2.3981191222570533</v>
      </c>
    </row>
    <row r="28" spans="1:15">
      <c r="A28" s="701">
        <v>20</v>
      </c>
      <c r="B28" s="234" t="s">
        <v>51</v>
      </c>
      <c r="C28" s="201">
        <v>175</v>
      </c>
      <c r="D28" s="236"/>
      <c r="E28" s="236"/>
      <c r="F28" s="201">
        <v>5</v>
      </c>
      <c r="G28" s="188">
        <f>'01-07-26'!F28+'02-07-26'!F28</f>
        <v>10</v>
      </c>
      <c r="H28" s="237">
        <f>F28/E4</f>
        <v>3.3557046979865772E-2</v>
      </c>
      <c r="I28" s="201">
        <f t="shared" si="0"/>
        <v>170</v>
      </c>
      <c r="J28" s="237">
        <f>G28/F4</f>
        <v>3.1347962382445138E-2</v>
      </c>
      <c r="K28" s="201">
        <v>107000</v>
      </c>
      <c r="L28" s="685">
        <f t="shared" si="1"/>
        <v>535</v>
      </c>
      <c r="M28" s="685">
        <f t="shared" si="2"/>
        <v>1070</v>
      </c>
      <c r="N28" s="685">
        <f>L28/E4</f>
        <v>3.5906040268456376</v>
      </c>
      <c r="O28" s="704">
        <f>M28/F4</f>
        <v>3.3542319749216301</v>
      </c>
    </row>
    <row r="29" spans="1:15">
      <c r="A29" s="701">
        <v>21</v>
      </c>
      <c r="B29" s="234" t="s">
        <v>52</v>
      </c>
      <c r="C29" s="201">
        <v>166</v>
      </c>
      <c r="D29" s="236"/>
      <c r="E29" s="236"/>
      <c r="F29" s="201">
        <v>3</v>
      </c>
      <c r="G29" s="188">
        <f>'01-07-26'!F29+'02-07-26'!F29</f>
        <v>6</v>
      </c>
      <c r="H29" s="237">
        <f>F29/E4</f>
        <v>2.0134228187919462E-2</v>
      </c>
      <c r="I29" s="201">
        <f t="shared" si="0"/>
        <v>163</v>
      </c>
      <c r="J29" s="237">
        <f>G29/F4</f>
        <v>1.8808777429467086E-2</v>
      </c>
      <c r="K29" s="201">
        <v>100000</v>
      </c>
      <c r="L29" s="685">
        <f t="shared" si="1"/>
        <v>300</v>
      </c>
      <c r="M29" s="685">
        <f t="shared" si="2"/>
        <v>600</v>
      </c>
      <c r="N29" s="685">
        <f>L29/E4</f>
        <v>2.0134228187919465</v>
      </c>
      <c r="O29" s="704">
        <f>M29/F4</f>
        <v>1.8808777429467085</v>
      </c>
    </row>
    <row r="30" spans="1:15">
      <c r="A30" s="701">
        <v>22</v>
      </c>
      <c r="B30" s="234" t="s">
        <v>53</v>
      </c>
      <c r="C30" s="201">
        <v>63</v>
      </c>
      <c r="D30" s="236"/>
      <c r="E30" s="236"/>
      <c r="F30" s="201">
        <v>1</v>
      </c>
      <c r="G30" s="188">
        <f>'01-07-26'!F30+'02-07-26'!F30</f>
        <v>2</v>
      </c>
      <c r="H30" s="237">
        <f>F30/E4</f>
        <v>6.7114093959731542E-3</v>
      </c>
      <c r="I30" s="201">
        <f t="shared" si="0"/>
        <v>62</v>
      </c>
      <c r="J30" s="237">
        <f>G30/F4</f>
        <v>6.269592476489028E-3</v>
      </c>
      <c r="K30" s="201">
        <v>255000</v>
      </c>
      <c r="L30" s="685">
        <f t="shared" si="1"/>
        <v>255</v>
      </c>
      <c r="M30" s="685">
        <f t="shared" si="2"/>
        <v>510</v>
      </c>
      <c r="N30" s="685">
        <f>L30/E4</f>
        <v>1.7114093959731544</v>
      </c>
      <c r="O30" s="904">
        <f>M30/F4</f>
        <v>1.5987460815047021</v>
      </c>
    </row>
    <row r="31" spans="1:15">
      <c r="A31" s="701">
        <v>23</v>
      </c>
      <c r="B31" s="234" t="s">
        <v>54</v>
      </c>
      <c r="C31" s="201">
        <v>480</v>
      </c>
      <c r="D31" s="236"/>
      <c r="E31" s="236"/>
      <c r="F31" s="201">
        <v>0</v>
      </c>
      <c r="G31" s="188">
        <f>'01-07-26'!F31+'02-07-26'!F31</f>
        <v>0</v>
      </c>
      <c r="H31" s="237">
        <f>F31/E4</f>
        <v>0</v>
      </c>
      <c r="I31" s="201">
        <f t="shared" si="0"/>
        <v>480</v>
      </c>
      <c r="J31" s="237">
        <f>G31/F4</f>
        <v>0</v>
      </c>
      <c r="K31" s="201">
        <v>56000</v>
      </c>
      <c r="L31" s="685">
        <f t="shared" si="1"/>
        <v>0</v>
      </c>
      <c r="M31" s="685">
        <f t="shared" si="2"/>
        <v>0</v>
      </c>
      <c r="N31" s="704">
        <f>M30/F4</f>
        <v>1.5987460815047021</v>
      </c>
      <c r="O31" s="904">
        <f>M31/F4</f>
        <v>0</v>
      </c>
    </row>
    <row r="32" spans="1:15">
      <c r="A32" s="708">
        <v>24</v>
      </c>
      <c r="B32" s="709" t="s">
        <v>55</v>
      </c>
      <c r="C32" s="681">
        <v>0</v>
      </c>
      <c r="D32" s="710"/>
      <c r="E32" s="710"/>
      <c r="F32" s="249">
        <v>0</v>
      </c>
      <c r="G32" s="188">
        <f>'01-07-26'!F32+'02-07-26'!F32</f>
        <v>0</v>
      </c>
      <c r="H32" s="248">
        <f>F32/E4</f>
        <v>0</v>
      </c>
      <c r="I32" s="249">
        <f t="shared" si="0"/>
        <v>0</v>
      </c>
      <c r="J32" s="248">
        <f>G32/F4</f>
        <v>0</v>
      </c>
      <c r="K32" s="249">
        <v>90000</v>
      </c>
      <c r="L32" s="713">
        <f t="shared" si="1"/>
        <v>0</v>
      </c>
      <c r="M32" s="713">
        <f t="shared" si="2"/>
        <v>0</v>
      </c>
      <c r="N32" s="704">
        <f>M31/F4</f>
        <v>0</v>
      </c>
      <c r="O32" s="705">
        <f>M32/F4</f>
        <v>0</v>
      </c>
    </row>
    <row r="33" spans="1:15">
      <c r="A33" s="714" t="s">
        <v>56</v>
      </c>
      <c r="B33" s="714" t="s">
        <v>57</v>
      </c>
      <c r="C33" s="715" t="s">
        <v>58</v>
      </c>
      <c r="D33" s="1191" t="s">
        <v>59</v>
      </c>
      <c r="E33" s="1195"/>
      <c r="F33" s="1192"/>
      <c r="G33" s="1175"/>
      <c r="H33" s="1176"/>
      <c r="I33" s="1176"/>
      <c r="J33" s="1176"/>
      <c r="K33" s="1176"/>
      <c r="L33" s="1177"/>
      <c r="M33" s="905" t="s">
        <v>60</v>
      </c>
      <c r="N33" s="717">
        <f>SUM(N9,N10,N11,N12,N13,N14,N15,N16,N17,N18,N19,N20,N21,N22,N23,N24,N25,N26,N27,N28,N29,N30,N31,N32)</f>
        <v>1163.2583433969403</v>
      </c>
      <c r="O33" s="718">
        <f>SUM(O9,O10,O11,O12,O13,O14,O15,O16,O17,O18,O19,O20,O21,O22,O23,O24,O25,O26,O27,O28,O29,N31,N32,O32)</f>
        <v>1117.2899059561128</v>
      </c>
    </row>
    <row r="34" spans="1:15">
      <c r="A34" s="261">
        <v>1</v>
      </c>
      <c r="B34" s="719" t="s">
        <v>66</v>
      </c>
      <c r="C34" s="720">
        <v>58</v>
      </c>
      <c r="D34" s="1150"/>
      <c r="E34" s="1184"/>
      <c r="F34" s="906">
        <f>C34*E4/C41</f>
        <v>97.101123595505612</v>
      </c>
      <c r="G34" s="1178"/>
      <c r="H34" s="1179"/>
      <c r="I34" s="1179"/>
      <c r="J34" s="1179"/>
      <c r="K34" s="1179"/>
      <c r="L34" s="1180"/>
      <c r="M34" s="265"/>
      <c r="N34" s="723" t="s">
        <v>17</v>
      </c>
      <c r="O34" s="724" t="s">
        <v>17</v>
      </c>
    </row>
    <row r="35" spans="1:15">
      <c r="A35" s="261">
        <v>2</v>
      </c>
      <c r="B35" s="719" t="s">
        <v>62</v>
      </c>
      <c r="C35" s="725">
        <v>29</v>
      </c>
      <c r="D35" s="1185"/>
      <c r="E35" s="1186"/>
      <c r="F35" s="907">
        <f>C35*E4/C41</f>
        <v>48.550561797752806</v>
      </c>
      <c r="G35" s="1178"/>
      <c r="H35" s="1179"/>
      <c r="I35" s="1179"/>
      <c r="J35" s="1179"/>
      <c r="K35" s="1179"/>
      <c r="L35" s="1180"/>
      <c r="M35" s="270"/>
      <c r="N35" s="728" t="s">
        <v>25</v>
      </c>
      <c r="O35" s="729" t="s">
        <v>26</v>
      </c>
    </row>
    <row r="36" spans="1:15">
      <c r="A36" s="261">
        <v>3</v>
      </c>
      <c r="B36" s="719" t="s">
        <v>67</v>
      </c>
      <c r="C36" s="683">
        <v>2</v>
      </c>
      <c r="D36" s="1185"/>
      <c r="E36" s="1186"/>
      <c r="F36" s="907">
        <f>C36*E4/C41</f>
        <v>3.3483146067415732</v>
      </c>
      <c r="G36" s="1178"/>
      <c r="H36" s="1179"/>
      <c r="I36" s="1179"/>
      <c r="J36" s="1179"/>
      <c r="K36" s="1179"/>
      <c r="L36" s="1180"/>
      <c r="M36" s="270"/>
      <c r="N36" s="728" t="s">
        <v>63</v>
      </c>
      <c r="O36" s="729" t="s">
        <v>63</v>
      </c>
    </row>
    <row r="37" spans="1:15">
      <c r="A37" s="261">
        <v>4</v>
      </c>
      <c r="B37" s="719"/>
      <c r="C37" s="730"/>
      <c r="D37" s="726"/>
      <c r="F37" s="908"/>
      <c r="G37" s="1181"/>
      <c r="H37" s="1182"/>
      <c r="I37" s="1182"/>
      <c r="J37" s="1182"/>
      <c r="K37" s="1182"/>
      <c r="L37" s="1183"/>
      <c r="M37" s="909" t="s">
        <v>60</v>
      </c>
      <c r="N37" s="733">
        <f>N33/1000</f>
        <v>1.1632583433969403</v>
      </c>
      <c r="O37" s="734">
        <f>O33/1000</f>
        <v>1.1172899059561128</v>
      </c>
    </row>
    <row r="38" spans="1:15">
      <c r="A38" s="261">
        <v>5</v>
      </c>
      <c r="B38" s="719"/>
      <c r="C38" s="735"/>
      <c r="D38" s="726"/>
      <c r="F38" s="736"/>
      <c r="H38" s="722"/>
      <c r="I38" s="722"/>
      <c r="J38" s="722"/>
      <c r="K38" s="722"/>
      <c r="L38" s="722"/>
      <c r="M38" s="737"/>
      <c r="N38" s="738"/>
      <c r="O38" s="739"/>
    </row>
    <row r="39" spans="1:15">
      <c r="A39" s="261">
        <v>6</v>
      </c>
      <c r="B39" s="719"/>
      <c r="C39" s="730"/>
      <c r="D39" s="726"/>
      <c r="F39" s="736"/>
      <c r="H39" s="722"/>
      <c r="I39" s="722"/>
      <c r="J39" s="722"/>
      <c r="K39" s="722"/>
      <c r="L39" s="722"/>
      <c r="M39" s="737"/>
      <c r="N39" s="738"/>
      <c r="O39" s="739"/>
    </row>
    <row r="40" spans="1:15">
      <c r="A40" s="740">
        <v>7</v>
      </c>
      <c r="B40" s="719"/>
      <c r="C40" s="730"/>
      <c r="D40" s="726"/>
      <c r="F40" s="736"/>
      <c r="H40" s="722"/>
      <c r="I40" s="722"/>
      <c r="J40" s="722"/>
      <c r="K40" s="722"/>
      <c r="L40" s="722"/>
      <c r="M40" s="737"/>
      <c r="N40" s="738"/>
      <c r="O40" s="739"/>
    </row>
    <row r="41" spans="1:15">
      <c r="A41" s="741">
        <v>4</v>
      </c>
      <c r="B41" s="742" t="s">
        <v>60</v>
      </c>
      <c r="C41" s="743">
        <f>SUM(C34,C35,C36,C37,C38,C39,C40)</f>
        <v>89</v>
      </c>
      <c r="D41" s="1166">
        <f>SUM(F34,F35,F36,F37,F38,F39,F40)</f>
        <v>149</v>
      </c>
      <c r="E41" s="1167"/>
      <c r="F41" s="1168"/>
      <c r="G41" s="286"/>
      <c r="H41" s="286"/>
      <c r="I41" s="286"/>
      <c r="J41" s="286"/>
      <c r="K41" s="286"/>
      <c r="L41" s="286"/>
      <c r="M41" s="286"/>
      <c r="N41" s="286"/>
      <c r="O41" s="744"/>
    </row>
    <row r="42" spans="1:15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744"/>
    </row>
    <row r="43" spans="1:15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744"/>
    </row>
    <row r="44" spans="1:15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744"/>
    </row>
    <row r="53" spans="2:2">
      <c r="B53" s="910"/>
    </row>
  </sheetData>
  <mergeCells count="14">
    <mergeCell ref="D41:F41"/>
    <mergeCell ref="A1:O2"/>
    <mergeCell ref="G33:L37"/>
    <mergeCell ref="D34:E36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3"/>
  <sheetViews>
    <sheetView workbookViewId="0">
      <selection activeCell="E9" sqref="E9"/>
    </sheetView>
  </sheetViews>
  <sheetFormatPr defaultColWidth="10" defaultRowHeight="15"/>
  <cols>
    <col min="1" max="1" width="9.5703125" customWidth="1"/>
    <col min="2" max="2" width="27.7109375" customWidth="1"/>
    <col min="3" max="3" width="17" customWidth="1"/>
    <col min="4" max="4" width="9.85546875" customWidth="1"/>
    <col min="5" max="5" width="11.28515625" customWidth="1"/>
    <col min="6" max="6" width="16" customWidth="1"/>
    <col min="7" max="7" width="15.5703125" style="776" customWidth="1"/>
    <col min="8" max="8" width="13.140625" customWidth="1"/>
    <col min="9" max="9" width="9" customWidth="1"/>
    <col min="10" max="10" width="13.140625" customWidth="1"/>
    <col min="11" max="11" width="7" style="777" customWidth="1"/>
    <col min="12" max="14" width="9.42578125" style="777" customWidth="1"/>
    <col min="15" max="15" width="8.28515625" style="778" customWidth="1"/>
  </cols>
  <sheetData>
    <row r="1" spans="1:15">
      <c r="A1" s="1221" t="s">
        <v>0</v>
      </c>
      <c r="B1" s="1222"/>
      <c r="C1" s="1222"/>
      <c r="D1" s="1222"/>
      <c r="E1" s="1222"/>
      <c r="F1" s="1222"/>
      <c r="G1" s="1222"/>
      <c r="H1" s="1222"/>
      <c r="I1" s="1222"/>
      <c r="J1" s="1222"/>
      <c r="K1" s="1222"/>
      <c r="L1" s="1222"/>
      <c r="M1" s="1222"/>
      <c r="N1" s="1222"/>
      <c r="O1" s="1223"/>
    </row>
    <row r="2" spans="1:15">
      <c r="A2" s="1224"/>
      <c r="B2" s="1225"/>
      <c r="C2" s="1225"/>
      <c r="D2" s="1225"/>
      <c r="E2" s="1225"/>
      <c r="F2" s="1225"/>
      <c r="G2" s="1225"/>
      <c r="H2" s="1225"/>
      <c r="I2" s="1225"/>
      <c r="J2" s="1225"/>
      <c r="K2" s="1225"/>
      <c r="L2" s="1225"/>
      <c r="M2" s="1225"/>
      <c r="N2" s="1225"/>
      <c r="O2" s="1226"/>
    </row>
    <row r="3" spans="1:15" ht="18.75">
      <c r="A3" s="1236" t="s">
        <v>1</v>
      </c>
      <c r="B3" s="1237"/>
      <c r="C3" s="1237"/>
      <c r="D3" s="1237"/>
      <c r="E3" s="1237"/>
      <c r="F3" s="1237"/>
      <c r="G3" s="1237"/>
      <c r="H3" s="1237"/>
      <c r="I3" s="1237"/>
      <c r="J3" s="1237"/>
      <c r="K3" s="1237"/>
      <c r="L3" s="1237"/>
      <c r="M3" s="1237"/>
      <c r="N3" s="1237"/>
      <c r="O3" s="1238"/>
    </row>
    <row r="4" spans="1:15" ht="18.75">
      <c r="A4" s="1236" t="s">
        <v>2</v>
      </c>
      <c r="B4" s="1237"/>
      <c r="C4" s="1237"/>
      <c r="D4" s="1238"/>
      <c r="E4" s="779">
        <v>163</v>
      </c>
      <c r="F4" s="780">
        <v>482</v>
      </c>
      <c r="G4" s="781">
        <v>160.6</v>
      </c>
      <c r="H4" s="1239" t="s">
        <v>68</v>
      </c>
      <c r="I4" s="1240"/>
      <c r="J4" s="1240"/>
      <c r="K4" s="1240"/>
      <c r="L4" s="1240"/>
      <c r="M4" s="1240"/>
      <c r="N4" s="1240"/>
      <c r="O4" s="1241"/>
    </row>
    <row r="5" spans="1:15">
      <c r="A5" s="1242" t="s">
        <v>5</v>
      </c>
      <c r="B5" s="1243"/>
      <c r="C5" s="1244" t="s">
        <v>6</v>
      </c>
      <c r="D5" s="1245"/>
      <c r="E5" s="782">
        <v>0</v>
      </c>
      <c r="F5" s="783">
        <v>0</v>
      </c>
      <c r="G5" s="784" t="s">
        <v>7</v>
      </c>
      <c r="H5" s="785"/>
      <c r="I5" s="785"/>
      <c r="J5" s="785"/>
      <c r="K5" s="786"/>
      <c r="L5" s="786"/>
      <c r="M5" s="786"/>
      <c r="N5" s="787"/>
      <c r="O5" s="788"/>
    </row>
    <row r="6" spans="1:15">
      <c r="A6" s="789" t="s">
        <v>8</v>
      </c>
      <c r="B6" s="790" t="s">
        <v>9</v>
      </c>
      <c r="C6" s="790" t="s">
        <v>10</v>
      </c>
      <c r="D6" s="1227" t="s">
        <v>11</v>
      </c>
      <c r="E6" s="1228"/>
      <c r="F6" s="1229" t="s">
        <v>12</v>
      </c>
      <c r="G6" s="1230"/>
      <c r="H6" s="791" t="s">
        <v>13</v>
      </c>
      <c r="I6" s="792" t="s">
        <v>9</v>
      </c>
      <c r="J6" s="793" t="s">
        <v>14</v>
      </c>
      <c r="K6" s="794" t="s">
        <v>15</v>
      </c>
      <c r="L6" s="1231" t="s">
        <v>16</v>
      </c>
      <c r="M6" s="1232"/>
      <c r="N6" s="1233" t="s">
        <v>17</v>
      </c>
      <c r="O6" s="1234"/>
    </row>
    <row r="7" spans="1:15">
      <c r="A7" s="789" t="s">
        <v>18</v>
      </c>
      <c r="B7" s="790" t="s">
        <v>19</v>
      </c>
      <c r="C7" s="790" t="s">
        <v>20</v>
      </c>
      <c r="D7" s="790" t="s">
        <v>21</v>
      </c>
      <c r="E7" s="795" t="s">
        <v>14</v>
      </c>
      <c r="F7" s="796" t="s">
        <v>21</v>
      </c>
      <c r="G7" s="796" t="s">
        <v>14</v>
      </c>
      <c r="H7" s="797" t="s">
        <v>22</v>
      </c>
      <c r="I7" s="798" t="s">
        <v>23</v>
      </c>
      <c r="J7" s="799" t="s">
        <v>22</v>
      </c>
      <c r="K7" s="800" t="s">
        <v>24</v>
      </c>
      <c r="L7" s="800" t="s">
        <v>25</v>
      </c>
      <c r="M7" s="798" t="s">
        <v>26</v>
      </c>
      <c r="N7" s="794" t="s">
        <v>25</v>
      </c>
      <c r="O7" s="801" t="s">
        <v>26</v>
      </c>
    </row>
    <row r="8" spans="1:15">
      <c r="A8" s="802"/>
      <c r="B8" s="790"/>
      <c r="C8" s="790" t="s">
        <v>27</v>
      </c>
      <c r="D8" s="790" t="s">
        <v>27</v>
      </c>
      <c r="E8" s="790" t="s">
        <v>27</v>
      </c>
      <c r="F8" s="803" t="s">
        <v>27</v>
      </c>
      <c r="G8" s="803" t="s">
        <v>27</v>
      </c>
      <c r="H8" s="797" t="s">
        <v>28</v>
      </c>
      <c r="I8" s="798" t="s">
        <v>27</v>
      </c>
      <c r="J8" s="799" t="s">
        <v>28</v>
      </c>
      <c r="K8" s="800" t="s">
        <v>29</v>
      </c>
      <c r="L8" s="800" t="s">
        <v>30</v>
      </c>
      <c r="M8" s="798" t="s">
        <v>30</v>
      </c>
      <c r="N8" s="800" t="s">
        <v>31</v>
      </c>
      <c r="O8" s="804" t="s">
        <v>31</v>
      </c>
    </row>
    <row r="9" spans="1:15">
      <c r="A9" s="805">
        <v>1</v>
      </c>
      <c r="B9" s="806" t="s">
        <v>32</v>
      </c>
      <c r="C9" s="807">
        <v>18550</v>
      </c>
      <c r="D9" s="808">
        <v>0</v>
      </c>
      <c r="E9" s="807">
        <v>13000</v>
      </c>
      <c r="F9" s="807">
        <v>5800</v>
      </c>
      <c r="G9" s="807">
        <f>'02-07-26'!G9+'03-07-26'!F9</f>
        <v>13650</v>
      </c>
      <c r="H9" s="809">
        <f>F9/E4</f>
        <v>35.582822085889568</v>
      </c>
      <c r="I9" s="807">
        <f t="shared" ref="I9:I32" si="0">(C9-F9)+D9</f>
        <v>12750</v>
      </c>
      <c r="J9" s="810">
        <f>G9/F4</f>
        <v>28.319502074688796</v>
      </c>
      <c r="K9" s="811">
        <v>28500</v>
      </c>
      <c r="L9" s="812">
        <f t="shared" ref="L9:L32" si="1">(F9/1000)*K9</f>
        <v>165300</v>
      </c>
      <c r="M9" s="813">
        <f t="shared" ref="M9:M32" si="2">(G9/1000)*K9</f>
        <v>389025</v>
      </c>
      <c r="N9" s="814">
        <f>L9/E4</f>
        <v>1014.1104294478528</v>
      </c>
      <c r="O9" s="815">
        <f>M9/F4</f>
        <v>807.10580912863065</v>
      </c>
    </row>
    <row r="10" spans="1:15">
      <c r="A10" s="816">
        <v>2</v>
      </c>
      <c r="B10" s="817" t="s">
        <v>33</v>
      </c>
      <c r="C10" s="818">
        <v>8588</v>
      </c>
      <c r="D10" s="819"/>
      <c r="E10" s="818"/>
      <c r="F10" s="818">
        <v>238</v>
      </c>
      <c r="G10" s="807">
        <f>'02-07-26'!G10+'03-07-26'!F10</f>
        <v>650</v>
      </c>
      <c r="H10" s="820">
        <f>F10/E4</f>
        <v>1.4601226993865031</v>
      </c>
      <c r="I10" s="818">
        <f t="shared" si="0"/>
        <v>8350</v>
      </c>
      <c r="J10" s="821">
        <f>G10/F4</f>
        <v>1.3485477178423237</v>
      </c>
      <c r="K10" s="822">
        <v>35500</v>
      </c>
      <c r="L10" s="823">
        <f t="shared" si="1"/>
        <v>8449</v>
      </c>
      <c r="M10" s="823">
        <f>(G31/1000)*K10</f>
        <v>0</v>
      </c>
      <c r="N10" s="824">
        <f>L10/E4</f>
        <v>51.834355828220858</v>
      </c>
      <c r="O10" s="825">
        <f>M10/F4</f>
        <v>0</v>
      </c>
    </row>
    <row r="11" spans="1:15">
      <c r="A11" s="816">
        <v>3</v>
      </c>
      <c r="B11" s="817" t="s">
        <v>34</v>
      </c>
      <c r="C11" s="818">
        <v>6683</v>
      </c>
      <c r="D11" s="819"/>
      <c r="E11" s="818"/>
      <c r="F11" s="818">
        <v>69</v>
      </c>
      <c r="G11" s="807">
        <f>'02-07-26'!G11+'03-07-26'!F11</f>
        <v>206</v>
      </c>
      <c r="H11" s="820">
        <f>F11/E4</f>
        <v>0.42331288343558282</v>
      </c>
      <c r="I11" s="818">
        <f t="shared" si="0"/>
        <v>6614</v>
      </c>
      <c r="J11" s="821">
        <f>G11/F4</f>
        <v>0.42738589211618255</v>
      </c>
      <c r="K11" s="822">
        <v>98000</v>
      </c>
      <c r="L11" s="823">
        <f t="shared" si="1"/>
        <v>6762.0000000000009</v>
      </c>
      <c r="M11" s="823">
        <f t="shared" si="2"/>
        <v>20188</v>
      </c>
      <c r="N11" s="824">
        <f>L11/E4</f>
        <v>41.484662576687121</v>
      </c>
      <c r="O11" s="825">
        <f>M11/F4</f>
        <v>41.883817427385893</v>
      </c>
    </row>
    <row r="12" spans="1:15">
      <c r="A12" s="816">
        <v>4</v>
      </c>
      <c r="B12" s="817" t="s">
        <v>35</v>
      </c>
      <c r="C12" s="818">
        <v>20.84</v>
      </c>
      <c r="D12" s="819"/>
      <c r="E12" s="818"/>
      <c r="F12" s="818">
        <v>0.08</v>
      </c>
      <c r="G12" s="807">
        <f>'02-07-26'!G12+'03-07-26'!F12</f>
        <v>0.24</v>
      </c>
      <c r="H12" s="826">
        <f>F12/E4</f>
        <v>4.9079754601226997E-4</v>
      </c>
      <c r="I12" s="818">
        <f t="shared" si="0"/>
        <v>20.76</v>
      </c>
      <c r="J12" s="827">
        <f>G12/F4</f>
        <v>4.9792531120331949E-4</v>
      </c>
      <c r="K12" s="822">
        <v>750000</v>
      </c>
      <c r="L12" s="823">
        <f t="shared" si="1"/>
        <v>60.000000000000007</v>
      </c>
      <c r="M12" s="823">
        <f t="shared" si="2"/>
        <v>179.99999999999997</v>
      </c>
      <c r="N12" s="824">
        <f>L12/E4</f>
        <v>0.36809815950920249</v>
      </c>
      <c r="O12" s="825">
        <f>M12/F4</f>
        <v>0.37344398340248958</v>
      </c>
    </row>
    <row r="13" spans="1:15">
      <c r="A13" s="816">
        <v>5</v>
      </c>
      <c r="B13" s="817" t="s">
        <v>36</v>
      </c>
      <c r="C13" s="818">
        <v>457</v>
      </c>
      <c r="D13" s="819"/>
      <c r="E13" s="818"/>
      <c r="F13" s="818">
        <v>20</v>
      </c>
      <c r="G13" s="807">
        <f>'02-07-26'!G13+'03-07-26'!F13</f>
        <v>63</v>
      </c>
      <c r="H13" s="820">
        <f>F13/E4</f>
        <v>0.12269938650306748</v>
      </c>
      <c r="I13" s="818">
        <f t="shared" si="0"/>
        <v>437</v>
      </c>
      <c r="J13" s="821">
        <f>G13/F4</f>
        <v>0.13070539419087138</v>
      </c>
      <c r="K13" s="822">
        <v>350000</v>
      </c>
      <c r="L13" s="823">
        <f t="shared" si="1"/>
        <v>7000</v>
      </c>
      <c r="M13" s="823">
        <f t="shared" si="2"/>
        <v>22050</v>
      </c>
      <c r="N13" s="824">
        <f>L13/E4</f>
        <v>42.944785276073617</v>
      </c>
      <c r="O13" s="825">
        <f>M13/F4</f>
        <v>45.746887966804977</v>
      </c>
    </row>
    <row r="14" spans="1:15">
      <c r="A14" s="816">
        <v>6</v>
      </c>
      <c r="B14" s="817" t="s">
        <v>37</v>
      </c>
      <c r="C14" s="818">
        <v>2260</v>
      </c>
      <c r="D14" s="819"/>
      <c r="E14" s="818"/>
      <c r="F14" s="818">
        <v>45</v>
      </c>
      <c r="G14" s="807">
        <f>'02-07-26'!G14+'03-07-26'!F14</f>
        <v>185</v>
      </c>
      <c r="H14" s="820">
        <f>F14/E4</f>
        <v>0.27607361963190186</v>
      </c>
      <c r="I14" s="818">
        <f t="shared" si="0"/>
        <v>2215</v>
      </c>
      <c r="J14" s="821">
        <f>G14/F4</f>
        <v>0.38381742738589214</v>
      </c>
      <c r="K14" s="822">
        <v>204500</v>
      </c>
      <c r="L14" s="823">
        <f t="shared" si="1"/>
        <v>9202.5</v>
      </c>
      <c r="M14" s="823">
        <f t="shared" si="2"/>
        <v>37832.5</v>
      </c>
      <c r="N14" s="824">
        <f>L14/E4</f>
        <v>56.45705521472393</v>
      </c>
      <c r="O14" s="825">
        <f>M14/F4</f>
        <v>78.490663900414944</v>
      </c>
    </row>
    <row r="15" spans="1:15">
      <c r="A15" s="816">
        <v>7</v>
      </c>
      <c r="B15" s="817" t="s">
        <v>38</v>
      </c>
      <c r="C15" s="818">
        <v>1642</v>
      </c>
      <c r="D15" s="819"/>
      <c r="E15" s="818"/>
      <c r="F15" s="807">
        <v>59</v>
      </c>
      <c r="G15" s="807">
        <f>'02-07-26'!G15+'03-07-26'!F15</f>
        <v>167</v>
      </c>
      <c r="H15" s="820">
        <f>F15/E4</f>
        <v>0.3619631901840491</v>
      </c>
      <c r="I15" s="818">
        <f t="shared" si="0"/>
        <v>1583</v>
      </c>
      <c r="J15" s="821">
        <f>G15/F4</f>
        <v>0.34647302904564314</v>
      </c>
      <c r="K15" s="822">
        <v>129500</v>
      </c>
      <c r="L15" s="823">
        <f t="shared" si="1"/>
        <v>7640.5</v>
      </c>
      <c r="M15" s="823">
        <f t="shared" si="2"/>
        <v>21626.5</v>
      </c>
      <c r="N15" s="824">
        <f>L15/E4</f>
        <v>46.874233128834355</v>
      </c>
      <c r="O15" s="825">
        <f>M15/F4</f>
        <v>44.86825726141079</v>
      </c>
    </row>
    <row r="16" spans="1:15">
      <c r="A16" s="816">
        <v>8</v>
      </c>
      <c r="B16" s="817" t="s">
        <v>39</v>
      </c>
      <c r="C16" s="818">
        <v>950</v>
      </c>
      <c r="D16" s="818"/>
      <c r="E16" s="818"/>
      <c r="F16" s="818">
        <v>15</v>
      </c>
      <c r="G16" s="807">
        <f>'02-07-26'!G16+'03-07-26'!F16</f>
        <v>50</v>
      </c>
      <c r="H16" s="820">
        <f>F16/E4</f>
        <v>9.202453987730061E-2</v>
      </c>
      <c r="I16" s="818">
        <f t="shared" si="0"/>
        <v>935</v>
      </c>
      <c r="J16" s="821">
        <f>G16/F4</f>
        <v>0.1037344398340249</v>
      </c>
      <c r="K16" s="822">
        <v>219500</v>
      </c>
      <c r="L16" s="823">
        <f t="shared" si="1"/>
        <v>3292.5</v>
      </c>
      <c r="M16" s="823">
        <f t="shared" si="2"/>
        <v>10975</v>
      </c>
      <c r="N16" s="824">
        <f>L16/E4</f>
        <v>20.199386503067483</v>
      </c>
      <c r="O16" s="825">
        <f>M16/F4</f>
        <v>22.769709543568464</v>
      </c>
    </row>
    <row r="17" spans="1:15">
      <c r="A17" s="816">
        <v>9</v>
      </c>
      <c r="B17" s="817" t="s">
        <v>40</v>
      </c>
      <c r="C17" s="818">
        <v>21</v>
      </c>
      <c r="D17" s="819"/>
      <c r="E17" s="807"/>
      <c r="F17" s="818">
        <v>0</v>
      </c>
      <c r="G17" s="807">
        <f>'02-07-26'!G17+'03-07-26'!F17</f>
        <v>0</v>
      </c>
      <c r="H17" s="820">
        <f>F17/E4</f>
        <v>0</v>
      </c>
      <c r="I17" s="818">
        <f t="shared" si="0"/>
        <v>21</v>
      </c>
      <c r="J17" s="821">
        <f>G17/F4</f>
        <v>0</v>
      </c>
      <c r="K17" s="822">
        <v>348200</v>
      </c>
      <c r="L17" s="823">
        <f t="shared" si="1"/>
        <v>0</v>
      </c>
      <c r="M17" s="828">
        <f t="shared" si="2"/>
        <v>0</v>
      </c>
      <c r="N17" s="824">
        <f>L17/E4</f>
        <v>0</v>
      </c>
      <c r="O17" s="825">
        <f>M17/F4</f>
        <v>0</v>
      </c>
    </row>
    <row r="18" spans="1:15">
      <c r="A18" s="829">
        <v>10</v>
      </c>
      <c r="B18" s="830" t="s">
        <v>41</v>
      </c>
      <c r="C18" s="831">
        <v>3950</v>
      </c>
      <c r="D18" s="831"/>
      <c r="E18" s="831"/>
      <c r="F18" s="831">
        <v>0</v>
      </c>
      <c r="G18" s="807">
        <f>'02-07-26'!G18+'03-07-26'!F18</f>
        <v>0</v>
      </c>
      <c r="H18" s="832">
        <f>F18/E4</f>
        <v>0</v>
      </c>
      <c r="I18" s="831">
        <f t="shared" si="0"/>
        <v>3950</v>
      </c>
      <c r="J18" s="832">
        <f>G18/F4</f>
        <v>0</v>
      </c>
      <c r="K18" s="833">
        <v>172000</v>
      </c>
      <c r="L18" s="834">
        <f t="shared" si="1"/>
        <v>0</v>
      </c>
      <c r="M18" s="834">
        <f t="shared" si="2"/>
        <v>0</v>
      </c>
      <c r="N18" s="834">
        <f>L18/E4</f>
        <v>0</v>
      </c>
      <c r="O18" s="835">
        <f>M18/F4</f>
        <v>0</v>
      </c>
    </row>
    <row r="19" spans="1:15">
      <c r="A19" s="836">
        <v>11</v>
      </c>
      <c r="B19" s="837" t="s">
        <v>42</v>
      </c>
      <c r="C19" s="838">
        <v>48</v>
      </c>
      <c r="D19" s="838"/>
      <c r="E19" s="838"/>
      <c r="F19" s="838">
        <v>0</v>
      </c>
      <c r="G19" s="807">
        <f>'02-07-26'!G19+'03-07-26'!F19</f>
        <v>0</v>
      </c>
      <c r="H19" s="832">
        <f>F19/E4</f>
        <v>0</v>
      </c>
      <c r="I19" s="838">
        <f t="shared" si="0"/>
        <v>48</v>
      </c>
      <c r="J19" s="839">
        <f>G19/F4</f>
        <v>0</v>
      </c>
      <c r="K19" s="838">
        <v>200000</v>
      </c>
      <c r="L19" s="840">
        <f t="shared" si="1"/>
        <v>0</v>
      </c>
      <c r="M19" s="840">
        <f t="shared" si="2"/>
        <v>0</v>
      </c>
      <c r="N19" s="840">
        <f>L19/E4</f>
        <v>0</v>
      </c>
      <c r="O19" s="841">
        <f>M19/F4</f>
        <v>0</v>
      </c>
    </row>
    <row r="20" spans="1:15">
      <c r="A20" s="842">
        <v>12</v>
      </c>
      <c r="B20" s="843" t="s">
        <v>43</v>
      </c>
      <c r="C20" s="844">
        <v>150.80000000000001</v>
      </c>
      <c r="D20" s="845"/>
      <c r="E20" s="845"/>
      <c r="F20" s="846">
        <v>7.2</v>
      </c>
      <c r="G20" s="807">
        <f>'02-07-26'!G20+'03-07-26'!F20</f>
        <v>19.600000000000001</v>
      </c>
      <c r="H20" s="847">
        <f>F20/E4</f>
        <v>4.4171779141104296E-2</v>
      </c>
      <c r="I20" s="848">
        <f t="shared" si="0"/>
        <v>143.60000000000002</v>
      </c>
      <c r="J20" s="849">
        <f>G20/F4</f>
        <v>4.0663900414937761E-2</v>
      </c>
      <c r="K20" s="844">
        <v>377600</v>
      </c>
      <c r="L20" s="850">
        <f t="shared" si="1"/>
        <v>2718.72</v>
      </c>
      <c r="M20" s="850">
        <f t="shared" si="2"/>
        <v>7400.9600000000009</v>
      </c>
      <c r="N20" s="850">
        <f>L20/E4</f>
        <v>16.679263803680982</v>
      </c>
      <c r="O20" s="851">
        <f>M20/F4</f>
        <v>15.354688796680501</v>
      </c>
    </row>
    <row r="21" spans="1:15">
      <c r="A21" s="842">
        <v>13</v>
      </c>
      <c r="B21" s="843" t="s">
        <v>44</v>
      </c>
      <c r="C21" s="844">
        <v>127.1</v>
      </c>
      <c r="D21" s="845"/>
      <c r="E21" s="845"/>
      <c r="F21" s="846">
        <v>4.3</v>
      </c>
      <c r="G21" s="807">
        <f>'02-07-26'!G21+'03-07-26'!F21</f>
        <v>11.7</v>
      </c>
      <c r="H21" s="849">
        <f>F21/E4</f>
        <v>2.638036809815951E-2</v>
      </c>
      <c r="I21" s="844">
        <f t="shared" si="0"/>
        <v>122.8</v>
      </c>
      <c r="J21" s="849">
        <f>G21/F4</f>
        <v>2.4273858921161823E-2</v>
      </c>
      <c r="K21" s="844">
        <v>271400</v>
      </c>
      <c r="L21" s="850">
        <f t="shared" si="1"/>
        <v>1167.02</v>
      </c>
      <c r="M21" s="850">
        <f t="shared" si="2"/>
        <v>3175.3799999999997</v>
      </c>
      <c r="N21" s="850">
        <f>L21/E4</f>
        <v>7.1596319018404904</v>
      </c>
      <c r="O21" s="851">
        <f>M21/F4</f>
        <v>6.5879253112033185</v>
      </c>
    </row>
    <row r="22" spans="1:15">
      <c r="A22" s="842">
        <v>14</v>
      </c>
      <c r="B22" s="843" t="s">
        <v>45</v>
      </c>
      <c r="C22" s="844">
        <v>1832.5</v>
      </c>
      <c r="D22" s="845"/>
      <c r="E22" s="845"/>
      <c r="F22" s="846">
        <v>61.9</v>
      </c>
      <c r="G22" s="807">
        <f>'02-07-26'!G22+'03-07-26'!F22</f>
        <v>168.6</v>
      </c>
      <c r="H22" s="849">
        <f>F22/E4</f>
        <v>0.37975460122699384</v>
      </c>
      <c r="I22" s="845">
        <f t="shared" si="0"/>
        <v>1770.6</v>
      </c>
      <c r="J22" s="849">
        <f>G22/F4</f>
        <v>0.34979253112033193</v>
      </c>
      <c r="K22" s="844">
        <v>271400</v>
      </c>
      <c r="L22" s="850">
        <f t="shared" si="1"/>
        <v>16799.66</v>
      </c>
      <c r="M22" s="850">
        <f t="shared" si="2"/>
        <v>45758.04</v>
      </c>
      <c r="N22" s="850">
        <f>L22/E4</f>
        <v>103.06539877300614</v>
      </c>
      <c r="O22" s="851">
        <f>M22/F4</f>
        <v>94.933692946058088</v>
      </c>
    </row>
    <row r="23" spans="1:15">
      <c r="A23" s="852">
        <v>15</v>
      </c>
      <c r="B23" s="853" t="s">
        <v>46</v>
      </c>
      <c r="C23" s="819">
        <v>100</v>
      </c>
      <c r="D23" s="854"/>
      <c r="E23" s="854"/>
      <c r="F23" s="819">
        <v>0</v>
      </c>
      <c r="G23" s="807">
        <f>'02-07-26'!G23+'03-07-26'!F23</f>
        <v>0</v>
      </c>
      <c r="H23" s="855">
        <f>F23/E4</f>
        <v>0</v>
      </c>
      <c r="I23" s="819">
        <f t="shared" si="0"/>
        <v>100</v>
      </c>
      <c r="J23" s="855">
        <f>G23/F4</f>
        <v>0</v>
      </c>
      <c r="K23" s="819">
        <v>41000</v>
      </c>
      <c r="L23" s="828">
        <f t="shared" si="1"/>
        <v>0</v>
      </c>
      <c r="M23" s="828">
        <f t="shared" si="2"/>
        <v>0</v>
      </c>
      <c r="N23" s="828">
        <f>L23/E4</f>
        <v>0</v>
      </c>
      <c r="O23" s="856">
        <f>M23/F4</f>
        <v>0</v>
      </c>
    </row>
    <row r="24" spans="1:15">
      <c r="A24" s="852">
        <v>16</v>
      </c>
      <c r="B24" s="853" t="s">
        <v>47</v>
      </c>
      <c r="C24" s="819">
        <v>379.6</v>
      </c>
      <c r="D24" s="854"/>
      <c r="E24" s="854"/>
      <c r="F24" s="819">
        <v>6</v>
      </c>
      <c r="G24" s="807">
        <f>'02-07-26'!G24+'03-07-26'!F24</f>
        <v>18</v>
      </c>
      <c r="H24" s="855">
        <f>F24/E4</f>
        <v>3.6809815950920248E-2</v>
      </c>
      <c r="I24" s="819">
        <f t="shared" si="0"/>
        <v>373.6</v>
      </c>
      <c r="J24" s="855">
        <f>G24/F4</f>
        <v>3.7344398340248962E-2</v>
      </c>
      <c r="K24" s="819">
        <v>24000</v>
      </c>
      <c r="L24" s="828">
        <f t="shared" si="1"/>
        <v>144</v>
      </c>
      <c r="M24" s="828">
        <f t="shared" si="2"/>
        <v>431.99999999999994</v>
      </c>
      <c r="N24" s="828">
        <f>L24/E4</f>
        <v>0.8834355828220859</v>
      </c>
      <c r="O24" s="856">
        <f>M24/F4</f>
        <v>0.89626556016597503</v>
      </c>
    </row>
    <row r="25" spans="1:15">
      <c r="A25" s="852">
        <v>17</v>
      </c>
      <c r="B25" s="853" t="s">
        <v>48</v>
      </c>
      <c r="C25" s="819">
        <v>380</v>
      </c>
      <c r="D25" s="854"/>
      <c r="E25" s="854"/>
      <c r="F25" s="819">
        <v>0</v>
      </c>
      <c r="G25" s="807">
        <f>'02-07-26'!G25+'03-07-26'!F25</f>
        <v>0</v>
      </c>
      <c r="H25" s="855">
        <f>F25/E4</f>
        <v>0</v>
      </c>
      <c r="I25" s="819">
        <f t="shared" si="0"/>
        <v>380</v>
      </c>
      <c r="J25" s="855">
        <f>G25/F4</f>
        <v>0</v>
      </c>
      <c r="K25" s="819">
        <v>13210</v>
      </c>
      <c r="L25" s="828">
        <f t="shared" si="1"/>
        <v>0</v>
      </c>
      <c r="M25" s="828">
        <f t="shared" si="2"/>
        <v>0</v>
      </c>
      <c r="N25" s="828">
        <f>L25/E4</f>
        <v>0</v>
      </c>
      <c r="O25" s="856">
        <f>M25/F4</f>
        <v>0</v>
      </c>
    </row>
    <row r="26" spans="1:15">
      <c r="A26" s="852">
        <v>18</v>
      </c>
      <c r="B26" s="853" t="s">
        <v>49</v>
      </c>
      <c r="C26" s="819">
        <v>225</v>
      </c>
      <c r="D26" s="854"/>
      <c r="E26" s="819"/>
      <c r="F26" s="819">
        <v>10</v>
      </c>
      <c r="G26" s="807">
        <f>'02-07-26'!G26+'03-07-26'!F26</f>
        <v>30</v>
      </c>
      <c r="H26" s="855">
        <f>F26/E4</f>
        <v>6.1349693251533742E-2</v>
      </c>
      <c r="I26" s="819">
        <f t="shared" si="0"/>
        <v>215</v>
      </c>
      <c r="J26" s="855">
        <f>G26/F4</f>
        <v>6.2240663900414939E-2</v>
      </c>
      <c r="K26" s="819">
        <v>14400</v>
      </c>
      <c r="L26" s="828">
        <f t="shared" si="1"/>
        <v>144</v>
      </c>
      <c r="M26" s="828">
        <f t="shared" si="2"/>
        <v>432</v>
      </c>
      <c r="N26" s="828">
        <f>L26/E4</f>
        <v>0.8834355828220859</v>
      </c>
      <c r="O26" s="856">
        <f>M26/F4</f>
        <v>0.89626556016597514</v>
      </c>
    </row>
    <row r="27" spans="1:15">
      <c r="A27" s="852">
        <v>19</v>
      </c>
      <c r="B27" s="853" t="s">
        <v>50</v>
      </c>
      <c r="C27" s="819">
        <v>197.5</v>
      </c>
      <c r="D27" s="819"/>
      <c r="E27" s="854"/>
      <c r="F27" s="819">
        <v>3.5</v>
      </c>
      <c r="G27" s="807">
        <f>'02-07-26'!G27+'03-07-26'!F27</f>
        <v>11</v>
      </c>
      <c r="H27" s="855">
        <f>F27/E4</f>
        <v>2.1472392638036811E-2</v>
      </c>
      <c r="I27" s="819">
        <f t="shared" si="0"/>
        <v>194</v>
      </c>
      <c r="J27" s="855">
        <f>G27/F4</f>
        <v>2.2821576763485476E-2</v>
      </c>
      <c r="K27" s="819">
        <v>102000</v>
      </c>
      <c r="L27" s="828">
        <f t="shared" si="1"/>
        <v>357</v>
      </c>
      <c r="M27" s="828">
        <f t="shared" si="2"/>
        <v>1122</v>
      </c>
      <c r="N27" s="828">
        <f>L27/E4</f>
        <v>2.1901840490797544</v>
      </c>
      <c r="O27" s="856">
        <f>M27/F4</f>
        <v>2.3278008298755188</v>
      </c>
    </row>
    <row r="28" spans="1:15">
      <c r="A28" s="852">
        <v>20</v>
      </c>
      <c r="B28" s="853" t="s">
        <v>51</v>
      </c>
      <c r="C28" s="819">
        <v>170</v>
      </c>
      <c r="D28" s="854"/>
      <c r="E28" s="854"/>
      <c r="F28" s="819">
        <v>5</v>
      </c>
      <c r="G28" s="807">
        <f>'02-07-26'!G28+'03-07-26'!F28</f>
        <v>15</v>
      </c>
      <c r="H28" s="855">
        <f>F28/E4</f>
        <v>3.0674846625766871E-2</v>
      </c>
      <c r="I28" s="819">
        <f t="shared" si="0"/>
        <v>165</v>
      </c>
      <c r="J28" s="855">
        <f>G28/F4</f>
        <v>3.1120331950207469E-2</v>
      </c>
      <c r="K28" s="819">
        <v>107000</v>
      </c>
      <c r="L28" s="828">
        <f t="shared" si="1"/>
        <v>535</v>
      </c>
      <c r="M28" s="828">
        <f t="shared" si="2"/>
        <v>1605</v>
      </c>
      <c r="N28" s="828">
        <f>L28/E4</f>
        <v>3.2822085889570554</v>
      </c>
      <c r="O28" s="856">
        <f>M28/F4</f>
        <v>3.3298755186721993</v>
      </c>
    </row>
    <row r="29" spans="1:15">
      <c r="A29" s="852">
        <v>21</v>
      </c>
      <c r="B29" s="853" t="s">
        <v>52</v>
      </c>
      <c r="C29" s="819">
        <v>163</v>
      </c>
      <c r="D29" s="854"/>
      <c r="E29" s="854"/>
      <c r="F29" s="819">
        <v>3</v>
      </c>
      <c r="G29" s="807">
        <f>'02-07-26'!G29+'03-07-26'!F29</f>
        <v>9</v>
      </c>
      <c r="H29" s="855">
        <f>F29/E4</f>
        <v>1.8404907975460124E-2</v>
      </c>
      <c r="I29" s="819">
        <f t="shared" si="0"/>
        <v>160</v>
      </c>
      <c r="J29" s="855">
        <f>G29/F4</f>
        <v>1.8672199170124481E-2</v>
      </c>
      <c r="K29" s="819">
        <v>100000</v>
      </c>
      <c r="L29" s="828">
        <f t="shared" si="1"/>
        <v>300</v>
      </c>
      <c r="M29" s="828">
        <f t="shared" si="2"/>
        <v>899.99999999999989</v>
      </c>
      <c r="N29" s="828">
        <f>L29/E4</f>
        <v>1.8404907975460123</v>
      </c>
      <c r="O29" s="856">
        <f>M29/F4</f>
        <v>1.8672199170124479</v>
      </c>
    </row>
    <row r="30" spans="1:15">
      <c r="A30" s="852">
        <v>22</v>
      </c>
      <c r="B30" s="853" t="s">
        <v>53</v>
      </c>
      <c r="C30" s="819">
        <v>62</v>
      </c>
      <c r="D30" s="854"/>
      <c r="E30" s="854"/>
      <c r="F30" s="819">
        <v>1</v>
      </c>
      <c r="G30" s="807">
        <f>'02-07-26'!G30+'03-07-26'!F30</f>
        <v>3</v>
      </c>
      <c r="H30" s="855">
        <f>F30/E4</f>
        <v>6.1349693251533744E-3</v>
      </c>
      <c r="I30" s="819">
        <f t="shared" si="0"/>
        <v>61</v>
      </c>
      <c r="J30" s="855">
        <f>G30/F4</f>
        <v>6.2240663900414933E-3</v>
      </c>
      <c r="K30" s="819">
        <v>255000</v>
      </c>
      <c r="L30" s="828">
        <f t="shared" si="1"/>
        <v>255</v>
      </c>
      <c r="M30" s="828">
        <f t="shared" si="2"/>
        <v>765</v>
      </c>
      <c r="N30" s="828">
        <f>L30/E4</f>
        <v>1.5644171779141105</v>
      </c>
      <c r="O30" s="857">
        <f>M30/F4</f>
        <v>1.5871369294605808</v>
      </c>
    </row>
    <row r="31" spans="1:15">
      <c r="A31" s="852">
        <v>23</v>
      </c>
      <c r="B31" s="853" t="s">
        <v>54</v>
      </c>
      <c r="C31" s="819">
        <v>480</v>
      </c>
      <c r="D31" s="854"/>
      <c r="E31" s="854"/>
      <c r="F31" s="819">
        <v>0</v>
      </c>
      <c r="G31" s="807">
        <f>'02-07-26'!G31+'03-07-26'!F31</f>
        <v>0</v>
      </c>
      <c r="H31" s="855">
        <f>F31/E4</f>
        <v>0</v>
      </c>
      <c r="I31" s="819">
        <f t="shared" si="0"/>
        <v>480</v>
      </c>
      <c r="J31" s="855">
        <f>G31/F4</f>
        <v>0</v>
      </c>
      <c r="K31" s="819">
        <v>56000</v>
      </c>
      <c r="L31" s="828">
        <f t="shared" si="1"/>
        <v>0</v>
      </c>
      <c r="M31" s="828">
        <f t="shared" si="2"/>
        <v>0</v>
      </c>
      <c r="N31" s="856">
        <f>M30/F4</f>
        <v>1.5871369294605808</v>
      </c>
      <c r="O31" s="857">
        <f>M31/F4</f>
        <v>0</v>
      </c>
    </row>
    <row r="32" spans="1:15">
      <c r="A32" s="858">
        <v>24</v>
      </c>
      <c r="B32" s="859" t="s">
        <v>55</v>
      </c>
      <c r="C32" s="860">
        <v>0</v>
      </c>
      <c r="D32" s="861"/>
      <c r="E32" s="861"/>
      <c r="F32" s="862">
        <v>0</v>
      </c>
      <c r="G32" s="807">
        <f>'02-07-26'!G32+'03-07-26'!F32</f>
        <v>0</v>
      </c>
      <c r="H32" s="863">
        <f>F32/E4</f>
        <v>0</v>
      </c>
      <c r="I32" s="862">
        <f t="shared" si="0"/>
        <v>0</v>
      </c>
      <c r="J32" s="863">
        <f>G32/F4</f>
        <v>0</v>
      </c>
      <c r="K32" s="862">
        <v>90000</v>
      </c>
      <c r="L32" s="864">
        <f t="shared" si="1"/>
        <v>0</v>
      </c>
      <c r="M32" s="864">
        <f t="shared" si="2"/>
        <v>0</v>
      </c>
      <c r="N32" s="856">
        <f>M31/F4</f>
        <v>0</v>
      </c>
      <c r="O32" s="865">
        <f>M32/F4</f>
        <v>0</v>
      </c>
    </row>
    <row r="33" spans="1:15">
      <c r="A33" s="866" t="s">
        <v>56</v>
      </c>
      <c r="B33" s="866" t="s">
        <v>57</v>
      </c>
      <c r="C33" s="867" t="s">
        <v>58</v>
      </c>
      <c r="D33" s="1231" t="s">
        <v>59</v>
      </c>
      <c r="E33" s="1235"/>
      <c r="F33" s="1232"/>
      <c r="G33" s="1208"/>
      <c r="H33" s="1209"/>
      <c r="I33" s="1209"/>
      <c r="J33" s="1209"/>
      <c r="K33" s="1209"/>
      <c r="L33" s="1210"/>
      <c r="M33" s="868" t="s">
        <v>60</v>
      </c>
      <c r="N33" s="869">
        <f>SUM(N9:N32)</f>
        <v>1413.4086093220978</v>
      </c>
      <c r="O33" s="870">
        <f>SUM(O9:O32)</f>
        <v>1169.0194605809124</v>
      </c>
    </row>
    <row r="34" spans="1:15">
      <c r="A34" s="871">
        <v>1</v>
      </c>
      <c r="B34" s="872" t="s">
        <v>69</v>
      </c>
      <c r="C34" s="873">
        <v>26</v>
      </c>
      <c r="D34" s="1217"/>
      <c r="E34" s="1218"/>
      <c r="F34" s="874">
        <f>C34*E4/C41</f>
        <v>44.145833333333336</v>
      </c>
      <c r="G34" s="1211"/>
      <c r="H34" s="1212"/>
      <c r="I34" s="1212"/>
      <c r="J34" s="1212"/>
      <c r="K34" s="1212"/>
      <c r="L34" s="1213"/>
      <c r="M34" s="875"/>
      <c r="N34" s="876" t="s">
        <v>17</v>
      </c>
      <c r="O34" s="877" t="s">
        <v>17</v>
      </c>
    </row>
    <row r="35" spans="1:15">
      <c r="A35" s="871">
        <v>2</v>
      </c>
      <c r="B35" s="872" t="s">
        <v>70</v>
      </c>
      <c r="C35" s="878">
        <v>31</v>
      </c>
      <c r="D35" s="1219"/>
      <c r="E35" s="1220"/>
      <c r="F35" s="880">
        <f>C35*E4/C41</f>
        <v>52.635416666666664</v>
      </c>
      <c r="G35" s="1211"/>
      <c r="H35" s="1212"/>
      <c r="I35" s="1212"/>
      <c r="J35" s="1212"/>
      <c r="K35" s="1212"/>
      <c r="L35" s="1213"/>
      <c r="M35" s="881"/>
      <c r="N35" s="882" t="s">
        <v>25</v>
      </c>
      <c r="O35" s="883" t="s">
        <v>26</v>
      </c>
    </row>
    <row r="36" spans="1:15">
      <c r="A36" s="871">
        <v>3</v>
      </c>
      <c r="B36" s="872" t="s">
        <v>67</v>
      </c>
      <c r="C36" s="884">
        <v>1</v>
      </c>
      <c r="D36" s="1219"/>
      <c r="E36" s="1220"/>
      <c r="F36" s="880">
        <f>C36*E4/C41</f>
        <v>1.6979166666666667</v>
      </c>
      <c r="G36" s="1211"/>
      <c r="H36" s="1212"/>
      <c r="I36" s="1212"/>
      <c r="J36" s="1212"/>
      <c r="K36" s="1212"/>
      <c r="L36" s="1213"/>
      <c r="M36" s="881"/>
      <c r="N36" s="882" t="s">
        <v>63</v>
      </c>
      <c r="O36" s="883" t="s">
        <v>63</v>
      </c>
    </row>
    <row r="37" spans="1:15">
      <c r="A37" s="871">
        <v>4</v>
      </c>
      <c r="B37" s="872" t="s">
        <v>71</v>
      </c>
      <c r="C37" s="885">
        <v>38</v>
      </c>
      <c r="D37" s="879"/>
      <c r="F37" s="886">
        <f>C37*E4/C41</f>
        <v>64.520833333333329</v>
      </c>
      <c r="G37" s="1214"/>
      <c r="H37" s="1215"/>
      <c r="I37" s="1215"/>
      <c r="J37" s="1215"/>
      <c r="K37" s="1215"/>
      <c r="L37" s="1216"/>
      <c r="M37" s="887" t="s">
        <v>60</v>
      </c>
      <c r="N37" s="888">
        <f>N33/1000</f>
        <v>1.4134086093220979</v>
      </c>
      <c r="O37" s="889">
        <f>O33/1000</f>
        <v>1.1690194605809123</v>
      </c>
    </row>
    <row r="38" spans="1:15">
      <c r="A38" s="871">
        <v>5</v>
      </c>
      <c r="B38" s="872"/>
      <c r="C38" s="890"/>
      <c r="D38" s="879"/>
      <c r="F38" s="891"/>
      <c r="H38" s="776"/>
      <c r="I38" s="776"/>
      <c r="J38" s="776"/>
      <c r="K38" s="776"/>
      <c r="L38" s="776"/>
      <c r="M38" s="892"/>
      <c r="N38" s="893"/>
      <c r="O38" s="894"/>
    </row>
    <row r="39" spans="1:15">
      <c r="A39" s="871">
        <v>6</v>
      </c>
      <c r="B39" s="872"/>
      <c r="C39" s="885"/>
      <c r="D39" s="879"/>
      <c r="F39" s="891"/>
      <c r="H39" s="776"/>
      <c r="I39" s="776"/>
      <c r="J39" s="776"/>
      <c r="K39" s="776"/>
      <c r="L39" s="776"/>
      <c r="M39" s="892"/>
      <c r="N39" s="893"/>
      <c r="O39" s="894"/>
    </row>
    <row r="40" spans="1:15">
      <c r="A40" s="895">
        <v>7</v>
      </c>
      <c r="B40" s="872"/>
      <c r="C40" s="885"/>
      <c r="D40" s="879"/>
      <c r="F40" s="891"/>
      <c r="H40" s="776"/>
      <c r="I40" s="776"/>
      <c r="J40" s="776"/>
      <c r="K40" s="776"/>
      <c r="L40" s="776"/>
      <c r="M40" s="892"/>
      <c r="N40" s="893"/>
      <c r="O40" s="894"/>
    </row>
    <row r="41" spans="1:15">
      <c r="A41" s="896">
        <v>4</v>
      </c>
      <c r="B41" s="897" t="s">
        <v>60</v>
      </c>
      <c r="C41" s="898">
        <f>SUM(C34,C35,C36,C37,C38,C39,C40)</f>
        <v>96</v>
      </c>
      <c r="D41" s="1205">
        <f>SUM(F34,F35,F36,F37,F38,F39,F40)</f>
        <v>163</v>
      </c>
      <c r="E41" s="1206"/>
      <c r="F41" s="1207"/>
      <c r="G41" s="899"/>
      <c r="H41" s="899"/>
      <c r="I41" s="899"/>
      <c r="J41" s="899"/>
      <c r="K41" s="899"/>
      <c r="L41" s="899"/>
      <c r="M41" s="899"/>
      <c r="N41" s="899"/>
      <c r="O41" s="900"/>
    </row>
    <row r="42" spans="1:15">
      <c r="A42" s="899"/>
      <c r="B42" s="899"/>
      <c r="C42" s="899"/>
      <c r="D42" s="899"/>
      <c r="E42" s="899"/>
      <c r="F42" s="899"/>
      <c r="G42" s="899"/>
      <c r="H42" s="899"/>
      <c r="I42" s="899"/>
      <c r="J42" s="899"/>
      <c r="K42" s="899"/>
      <c r="L42" s="899"/>
      <c r="M42" s="899"/>
      <c r="N42" s="899"/>
      <c r="O42" s="900"/>
    </row>
    <row r="43" spans="1:15">
      <c r="A43" s="899"/>
      <c r="B43" s="899"/>
      <c r="C43" s="899"/>
      <c r="D43" s="899"/>
      <c r="E43" s="899"/>
      <c r="F43" s="899"/>
      <c r="G43" s="899"/>
      <c r="H43" s="899"/>
      <c r="I43" s="899"/>
      <c r="J43" s="899"/>
      <c r="K43" s="899"/>
      <c r="L43" s="899"/>
      <c r="M43" s="899"/>
      <c r="N43" s="899"/>
      <c r="O43" s="900"/>
    </row>
    <row r="44" spans="1:15">
      <c r="A44" s="899"/>
      <c r="B44" s="899"/>
      <c r="C44" s="899"/>
      <c r="D44" s="899"/>
      <c r="E44" s="899"/>
      <c r="F44" s="899"/>
      <c r="G44" s="899"/>
      <c r="H44" s="899"/>
      <c r="I44" s="899"/>
      <c r="J44" s="899"/>
      <c r="K44" s="899"/>
      <c r="L44" s="899"/>
      <c r="M44" s="899"/>
      <c r="N44" s="899"/>
      <c r="O44" s="900"/>
    </row>
    <row r="53" spans="2:2">
      <c r="B53" s="901"/>
    </row>
  </sheetData>
  <mergeCells count="14">
    <mergeCell ref="D41:F41"/>
    <mergeCell ref="G33:L37"/>
    <mergeCell ref="D34:E36"/>
    <mergeCell ref="A1:O2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4"/>
  <sheetViews>
    <sheetView workbookViewId="0">
      <selection activeCell="E9" sqref="E9"/>
    </sheetView>
  </sheetViews>
  <sheetFormatPr defaultColWidth="10" defaultRowHeight="12"/>
  <cols>
    <col min="1" max="1" width="9.5703125" style="443" customWidth="1"/>
    <col min="2" max="2" width="27.7109375" style="443" customWidth="1"/>
    <col min="3" max="3" width="9.5703125" style="443" customWidth="1"/>
    <col min="4" max="4" width="6.42578125" style="443" customWidth="1"/>
    <col min="5" max="5" width="7.28515625" style="443" customWidth="1"/>
    <col min="6" max="6" width="6.42578125" style="443" customWidth="1"/>
    <col min="7" max="7" width="10.85546875" style="554" customWidth="1"/>
    <col min="8" max="8" width="12" style="443" customWidth="1"/>
    <col min="9" max="9" width="8.28515625" style="443" customWidth="1"/>
    <col min="10" max="10" width="12" style="443" customWidth="1"/>
    <col min="11" max="11" width="6.140625" style="760" customWidth="1"/>
    <col min="12" max="12" width="9.42578125" style="760" customWidth="1"/>
    <col min="13" max="13" width="8.28515625" style="760" customWidth="1"/>
    <col min="14" max="14" width="7.85546875" style="760" customWidth="1"/>
    <col min="15" max="15" width="7.85546875" style="761" customWidth="1"/>
    <col min="16" max="16384" width="10" style="443"/>
  </cols>
  <sheetData>
    <row r="1" spans="1:15">
      <c r="A1" s="1261" t="s">
        <v>0</v>
      </c>
      <c r="B1" s="1262"/>
      <c r="C1" s="1262"/>
      <c r="D1" s="1262"/>
      <c r="E1" s="1262"/>
      <c r="F1" s="1262"/>
      <c r="G1" s="1262"/>
      <c r="H1" s="1262"/>
      <c r="I1" s="1262"/>
      <c r="J1" s="1262"/>
      <c r="K1" s="1262"/>
      <c r="L1" s="1262"/>
      <c r="M1" s="1262"/>
      <c r="N1" s="1262"/>
      <c r="O1" s="1263"/>
    </row>
    <row r="2" spans="1:15">
      <c r="A2" s="1264"/>
      <c r="B2" s="1265"/>
      <c r="C2" s="1265"/>
      <c r="D2" s="1265"/>
      <c r="E2" s="1265"/>
      <c r="F2" s="1265"/>
      <c r="G2" s="1265"/>
      <c r="H2" s="1265"/>
      <c r="I2" s="1265"/>
      <c r="J2" s="1265"/>
      <c r="K2" s="1265"/>
      <c r="L2" s="1265"/>
      <c r="M2" s="1265"/>
      <c r="N2" s="1265"/>
      <c r="O2" s="1266"/>
    </row>
    <row r="3" spans="1:15" ht="14.25">
      <c r="A3" s="1276" t="s">
        <v>1</v>
      </c>
      <c r="B3" s="1277"/>
      <c r="C3" s="1277"/>
      <c r="D3" s="1277"/>
      <c r="E3" s="1277"/>
      <c r="F3" s="1277"/>
      <c r="G3" s="1277"/>
      <c r="H3" s="1277"/>
      <c r="I3" s="1277"/>
      <c r="J3" s="1277"/>
      <c r="K3" s="1277"/>
      <c r="L3" s="1277"/>
      <c r="M3" s="1277"/>
      <c r="N3" s="1277"/>
      <c r="O3" s="1278"/>
    </row>
    <row r="4" spans="1:15" ht="14.25">
      <c r="A4" s="1276" t="s">
        <v>2</v>
      </c>
      <c r="B4" s="1277"/>
      <c r="C4" s="1277"/>
      <c r="D4" s="1278"/>
      <c r="E4" s="444">
        <v>59</v>
      </c>
      <c r="F4" s="445">
        <v>541</v>
      </c>
      <c r="G4" s="446">
        <v>135.25</v>
      </c>
      <c r="H4" s="1279" t="s">
        <v>72</v>
      </c>
      <c r="I4" s="1280"/>
      <c r="J4" s="1280"/>
      <c r="K4" s="1280"/>
      <c r="L4" s="1280"/>
      <c r="M4" s="1280"/>
      <c r="N4" s="1280"/>
      <c r="O4" s="1281"/>
    </row>
    <row r="5" spans="1:15">
      <c r="A5" s="1282" t="s">
        <v>5</v>
      </c>
      <c r="B5" s="1283"/>
      <c r="C5" s="1284" t="s">
        <v>6</v>
      </c>
      <c r="D5" s="1285"/>
      <c r="E5" s="447">
        <v>0</v>
      </c>
      <c r="F5" s="448">
        <v>0</v>
      </c>
      <c r="G5" s="449" t="s">
        <v>7</v>
      </c>
      <c r="H5" s="450"/>
      <c r="I5" s="450"/>
      <c r="J5" s="450"/>
      <c r="K5" s="451"/>
      <c r="L5" s="451"/>
      <c r="M5" s="451"/>
      <c r="N5" s="452"/>
      <c r="O5" s="453"/>
    </row>
    <row r="6" spans="1:15">
      <c r="A6" s="454" t="s">
        <v>8</v>
      </c>
      <c r="B6" s="455" t="s">
        <v>9</v>
      </c>
      <c r="C6" s="455" t="s">
        <v>10</v>
      </c>
      <c r="D6" s="1267" t="s">
        <v>11</v>
      </c>
      <c r="E6" s="1268"/>
      <c r="F6" s="1269" t="s">
        <v>12</v>
      </c>
      <c r="G6" s="1270"/>
      <c r="H6" s="456" t="s">
        <v>13</v>
      </c>
      <c r="I6" s="457" t="s">
        <v>9</v>
      </c>
      <c r="J6" s="458" t="s">
        <v>14</v>
      </c>
      <c r="K6" s="459" t="s">
        <v>15</v>
      </c>
      <c r="L6" s="1271" t="s">
        <v>16</v>
      </c>
      <c r="M6" s="1272"/>
      <c r="N6" s="1273" t="s">
        <v>17</v>
      </c>
      <c r="O6" s="1274"/>
    </row>
    <row r="7" spans="1:15">
      <c r="A7" s="454" t="s">
        <v>18</v>
      </c>
      <c r="B7" s="455" t="s">
        <v>19</v>
      </c>
      <c r="C7" s="455" t="s">
        <v>20</v>
      </c>
      <c r="D7" s="455" t="s">
        <v>21</v>
      </c>
      <c r="E7" s="460" t="s">
        <v>14</v>
      </c>
      <c r="F7" s="461" t="s">
        <v>21</v>
      </c>
      <c r="G7" s="461" t="s">
        <v>14</v>
      </c>
      <c r="H7" s="462" t="s">
        <v>22</v>
      </c>
      <c r="I7" s="463" t="s">
        <v>23</v>
      </c>
      <c r="J7" s="464" t="s">
        <v>22</v>
      </c>
      <c r="K7" s="465" t="s">
        <v>24</v>
      </c>
      <c r="L7" s="465" t="s">
        <v>25</v>
      </c>
      <c r="M7" s="463" t="s">
        <v>26</v>
      </c>
      <c r="N7" s="459" t="s">
        <v>25</v>
      </c>
      <c r="O7" s="466" t="s">
        <v>26</v>
      </c>
    </row>
    <row r="8" spans="1:15">
      <c r="A8" s="467"/>
      <c r="B8" s="455"/>
      <c r="C8" s="455" t="s">
        <v>27</v>
      </c>
      <c r="D8" s="455" t="s">
        <v>27</v>
      </c>
      <c r="E8" s="455" t="s">
        <v>27</v>
      </c>
      <c r="F8" s="468" t="s">
        <v>27</v>
      </c>
      <c r="G8" s="468" t="s">
        <v>27</v>
      </c>
      <c r="H8" s="462" t="s">
        <v>28</v>
      </c>
      <c r="I8" s="463" t="s">
        <v>27</v>
      </c>
      <c r="J8" s="464" t="s">
        <v>28</v>
      </c>
      <c r="K8" s="465" t="s">
        <v>29</v>
      </c>
      <c r="L8" s="465" t="s">
        <v>30</v>
      </c>
      <c r="M8" s="463" t="s">
        <v>30</v>
      </c>
      <c r="N8" s="465" t="s">
        <v>31</v>
      </c>
      <c r="O8" s="469" t="s">
        <v>31</v>
      </c>
    </row>
    <row r="9" spans="1:15">
      <c r="A9" s="470">
        <v>1</v>
      </c>
      <c r="B9" s="471" t="s">
        <v>32</v>
      </c>
      <c r="C9" s="472">
        <v>12750</v>
      </c>
      <c r="D9" s="473">
        <v>0</v>
      </c>
      <c r="E9" s="472">
        <v>13000</v>
      </c>
      <c r="F9" s="474">
        <v>1400</v>
      </c>
      <c r="G9" s="477">
        <f>'03-07-26'!G9+'04-07-26'!F9</f>
        <v>15050</v>
      </c>
      <c r="H9" s="476">
        <f>F9/E4</f>
        <v>23.728813559322035</v>
      </c>
      <c r="I9" s="472">
        <f t="shared" ref="I9:I32" si="0">(C9-F9)+D9</f>
        <v>11350</v>
      </c>
      <c r="J9" s="478">
        <f>G9/F4</f>
        <v>27.818853974121996</v>
      </c>
      <c r="K9" s="479">
        <v>28500</v>
      </c>
      <c r="L9" s="480">
        <f t="shared" ref="L9:L32" si="1">(F9/1000)*K9</f>
        <v>39900</v>
      </c>
      <c r="M9" s="481">
        <f t="shared" ref="M9:M32" si="2">(G9/1000)*K9</f>
        <v>428925</v>
      </c>
      <c r="N9" s="482">
        <f>L9/E4</f>
        <v>676.27118644067798</v>
      </c>
      <c r="O9" s="483">
        <f>M9/F4</f>
        <v>792.83733826247692</v>
      </c>
    </row>
    <row r="10" spans="1:15">
      <c r="A10" s="484">
        <v>2</v>
      </c>
      <c r="B10" s="485" t="s">
        <v>33</v>
      </c>
      <c r="C10" s="477">
        <v>8350</v>
      </c>
      <c r="D10" s="486"/>
      <c r="E10" s="477"/>
      <c r="F10" s="487">
        <v>110</v>
      </c>
      <c r="G10" s="477">
        <f>'03-07-26'!G10+'04-07-26'!F10</f>
        <v>760</v>
      </c>
      <c r="H10" s="488">
        <f>F10/E4</f>
        <v>1.8644067796610169</v>
      </c>
      <c r="I10" s="477">
        <f t="shared" si="0"/>
        <v>8240</v>
      </c>
      <c r="J10" s="489">
        <f>G10/F4</f>
        <v>1.4048059149722736</v>
      </c>
      <c r="K10" s="475">
        <v>35500</v>
      </c>
      <c r="L10" s="490">
        <f t="shared" si="1"/>
        <v>3905</v>
      </c>
      <c r="M10" s="490">
        <f>(G31/1000)*K10</f>
        <v>0</v>
      </c>
      <c r="N10" s="491">
        <f>L10/E4</f>
        <v>66.186440677966104</v>
      </c>
      <c r="O10" s="492">
        <f>M10/F4</f>
        <v>0</v>
      </c>
    </row>
    <row r="11" spans="1:15">
      <c r="A11" s="484">
        <v>3</v>
      </c>
      <c r="B11" s="485" t="s">
        <v>34</v>
      </c>
      <c r="C11" s="477">
        <v>6614</v>
      </c>
      <c r="D11" s="486"/>
      <c r="E11" s="477"/>
      <c r="F11" s="487">
        <v>23</v>
      </c>
      <c r="G11" s="477">
        <f>'03-07-26'!G11+'04-07-26'!F11</f>
        <v>229</v>
      </c>
      <c r="H11" s="488">
        <f>F11/E4</f>
        <v>0.38983050847457629</v>
      </c>
      <c r="I11" s="477">
        <f t="shared" si="0"/>
        <v>6591</v>
      </c>
      <c r="J11" s="489">
        <f>G11/F4</f>
        <v>0.42329020332717188</v>
      </c>
      <c r="K11" s="475">
        <v>98000</v>
      </c>
      <c r="L11" s="490">
        <f t="shared" si="1"/>
        <v>2254</v>
      </c>
      <c r="M11" s="490">
        <f t="shared" si="2"/>
        <v>22442</v>
      </c>
      <c r="N11" s="491">
        <f>L11/E4</f>
        <v>38.203389830508478</v>
      </c>
      <c r="O11" s="492">
        <f>M11/F4</f>
        <v>41.482439926062845</v>
      </c>
    </row>
    <row r="12" spans="1:15">
      <c r="A12" s="484">
        <v>4</v>
      </c>
      <c r="B12" s="485" t="s">
        <v>35</v>
      </c>
      <c r="C12" s="477">
        <v>20.76</v>
      </c>
      <c r="D12" s="486"/>
      <c r="E12" s="477"/>
      <c r="F12" s="487">
        <v>0.08</v>
      </c>
      <c r="G12" s="477">
        <f>'03-07-26'!G12+'04-07-26'!F12</f>
        <v>0.32</v>
      </c>
      <c r="H12" s="493">
        <f>F12/E4</f>
        <v>1.3559322033898306E-3</v>
      </c>
      <c r="I12" s="477">
        <f t="shared" si="0"/>
        <v>20.680000000000003</v>
      </c>
      <c r="J12" s="494">
        <f>G12/F4</f>
        <v>5.9149722735674678E-4</v>
      </c>
      <c r="K12" s="475">
        <v>750000</v>
      </c>
      <c r="L12" s="490">
        <f t="shared" si="1"/>
        <v>60.000000000000007</v>
      </c>
      <c r="M12" s="490">
        <f t="shared" si="2"/>
        <v>240.00000000000003</v>
      </c>
      <c r="N12" s="491">
        <f>L12/E4</f>
        <v>1.0169491525423731</v>
      </c>
      <c r="O12" s="492">
        <f>M12/F4</f>
        <v>0.44362292051756014</v>
      </c>
    </row>
    <row r="13" spans="1:15">
      <c r="A13" s="484">
        <v>5</v>
      </c>
      <c r="B13" s="485" t="s">
        <v>36</v>
      </c>
      <c r="C13" s="477">
        <v>437</v>
      </c>
      <c r="D13" s="486"/>
      <c r="E13" s="477"/>
      <c r="F13" s="487">
        <v>12</v>
      </c>
      <c r="G13" s="477">
        <f>'03-07-26'!G13+'04-07-26'!F13</f>
        <v>75</v>
      </c>
      <c r="H13" s="488">
        <f>F13/E4</f>
        <v>0.20338983050847459</v>
      </c>
      <c r="I13" s="477">
        <f t="shared" si="0"/>
        <v>425</v>
      </c>
      <c r="J13" s="489">
        <f>G13/F4</f>
        <v>0.13863216266173753</v>
      </c>
      <c r="K13" s="475">
        <v>350000</v>
      </c>
      <c r="L13" s="490">
        <f t="shared" si="1"/>
        <v>4200</v>
      </c>
      <c r="M13" s="490">
        <f t="shared" si="2"/>
        <v>26250</v>
      </c>
      <c r="N13" s="491">
        <f>L13/E4</f>
        <v>71.186440677966104</v>
      </c>
      <c r="O13" s="492">
        <f>M13/F4</f>
        <v>48.521256931608136</v>
      </c>
    </row>
    <row r="14" spans="1:15">
      <c r="A14" s="484">
        <v>6</v>
      </c>
      <c r="B14" s="485" t="s">
        <v>37</v>
      </c>
      <c r="C14" s="477">
        <v>2215</v>
      </c>
      <c r="D14" s="486"/>
      <c r="E14" s="477"/>
      <c r="F14" s="487">
        <v>20</v>
      </c>
      <c r="G14" s="477">
        <f>'03-07-26'!G14+'04-07-26'!F14</f>
        <v>205</v>
      </c>
      <c r="H14" s="488">
        <f>F14/E4</f>
        <v>0.33898305084745761</v>
      </c>
      <c r="I14" s="477">
        <f t="shared" si="0"/>
        <v>2195</v>
      </c>
      <c r="J14" s="489">
        <f>G14/F4</f>
        <v>0.37892791127541592</v>
      </c>
      <c r="K14" s="475">
        <v>204500</v>
      </c>
      <c r="L14" s="490">
        <f t="shared" si="1"/>
        <v>4090</v>
      </c>
      <c r="M14" s="490">
        <f t="shared" si="2"/>
        <v>41922.5</v>
      </c>
      <c r="N14" s="491">
        <f>L14/E4</f>
        <v>69.322033898305079</v>
      </c>
      <c r="O14" s="492">
        <f>M14/F4</f>
        <v>77.490757855822551</v>
      </c>
    </row>
    <row r="15" spans="1:15">
      <c r="A15" s="484">
        <v>7</v>
      </c>
      <c r="B15" s="485" t="s">
        <v>38</v>
      </c>
      <c r="C15" s="477">
        <v>1583</v>
      </c>
      <c r="D15" s="486"/>
      <c r="E15" s="477"/>
      <c r="F15" s="474">
        <v>20</v>
      </c>
      <c r="G15" s="477">
        <f>'03-07-26'!G15+'04-07-26'!F15</f>
        <v>187</v>
      </c>
      <c r="H15" s="488">
        <f>F15/E4</f>
        <v>0.33898305084745761</v>
      </c>
      <c r="I15" s="477">
        <f t="shared" si="0"/>
        <v>1563</v>
      </c>
      <c r="J15" s="489">
        <f>G15/F4</f>
        <v>0.34565619223659888</v>
      </c>
      <c r="K15" s="475">
        <v>129500</v>
      </c>
      <c r="L15" s="490">
        <f t="shared" si="1"/>
        <v>2590</v>
      </c>
      <c r="M15" s="490">
        <f t="shared" si="2"/>
        <v>24216.5</v>
      </c>
      <c r="N15" s="491">
        <f>L15/E4</f>
        <v>43.898305084745765</v>
      </c>
      <c r="O15" s="492">
        <f>M15/F4</f>
        <v>44.762476894639555</v>
      </c>
    </row>
    <row r="16" spans="1:15">
      <c r="A16" s="484">
        <v>8</v>
      </c>
      <c r="B16" s="485" t="s">
        <v>39</v>
      </c>
      <c r="C16" s="477">
        <v>935</v>
      </c>
      <c r="D16" s="477"/>
      <c r="E16" s="477"/>
      <c r="F16" s="487">
        <v>15</v>
      </c>
      <c r="G16" s="477">
        <f>'03-07-26'!G16+'04-07-26'!F16</f>
        <v>65</v>
      </c>
      <c r="H16" s="488">
        <f>F16/E4</f>
        <v>0.25423728813559321</v>
      </c>
      <c r="I16" s="477">
        <f t="shared" si="0"/>
        <v>920</v>
      </c>
      <c r="J16" s="489">
        <f>G16/F4</f>
        <v>0.12014787430683918</v>
      </c>
      <c r="K16" s="475">
        <v>219500</v>
      </c>
      <c r="L16" s="490">
        <f t="shared" si="1"/>
        <v>3292.5</v>
      </c>
      <c r="M16" s="490">
        <f t="shared" si="2"/>
        <v>14267.5</v>
      </c>
      <c r="N16" s="491">
        <f>L16/E4</f>
        <v>55.805084745762713</v>
      </c>
      <c r="O16" s="492">
        <f>M16/F4</f>
        <v>26.3724584103512</v>
      </c>
    </row>
    <row r="17" spans="1:15">
      <c r="A17" s="484">
        <v>9</v>
      </c>
      <c r="B17" s="485" t="s">
        <v>40</v>
      </c>
      <c r="C17" s="477">
        <v>21</v>
      </c>
      <c r="D17" s="486"/>
      <c r="E17" s="472"/>
      <c r="F17" s="487">
        <v>0</v>
      </c>
      <c r="G17" s="477">
        <f>'03-07-26'!G17+'04-07-26'!F17</f>
        <v>0</v>
      </c>
      <c r="H17" s="488">
        <f>F17/E4</f>
        <v>0</v>
      </c>
      <c r="I17" s="477">
        <f t="shared" si="0"/>
        <v>21</v>
      </c>
      <c r="J17" s="489">
        <f>G17/F4</f>
        <v>0</v>
      </c>
      <c r="K17" s="475">
        <v>348200</v>
      </c>
      <c r="L17" s="490">
        <f t="shared" si="1"/>
        <v>0</v>
      </c>
      <c r="M17" s="500">
        <f t="shared" si="2"/>
        <v>0</v>
      </c>
      <c r="N17" s="491">
        <f>L17/E4</f>
        <v>0</v>
      </c>
      <c r="O17" s="492">
        <f>M17/F4</f>
        <v>0</v>
      </c>
    </row>
    <row r="18" spans="1:15">
      <c r="A18" s="501">
        <v>10</v>
      </c>
      <c r="B18" s="502" t="s">
        <v>41</v>
      </c>
      <c r="C18" s="503">
        <v>3950</v>
      </c>
      <c r="D18" s="503"/>
      <c r="E18" s="503"/>
      <c r="F18" s="504">
        <v>0</v>
      </c>
      <c r="G18" s="477">
        <f>'03-07-26'!G18+'04-07-26'!F18</f>
        <v>0</v>
      </c>
      <c r="H18" s="505">
        <f>F18/E4</f>
        <v>0</v>
      </c>
      <c r="I18" s="503">
        <f t="shared" si="0"/>
        <v>3950</v>
      </c>
      <c r="J18" s="506">
        <f>G18/F4</f>
        <v>0</v>
      </c>
      <c r="K18" s="507">
        <v>172000</v>
      </c>
      <c r="L18" s="508">
        <f t="shared" si="1"/>
        <v>0</v>
      </c>
      <c r="M18" s="508">
        <f t="shared" si="2"/>
        <v>0</v>
      </c>
      <c r="N18" s="508">
        <f>L18/E4</f>
        <v>0</v>
      </c>
      <c r="O18" s="509">
        <f>M18/F4</f>
        <v>0</v>
      </c>
    </row>
    <row r="19" spans="1:15">
      <c r="A19" s="510">
        <v>11</v>
      </c>
      <c r="B19" s="511" t="s">
        <v>42</v>
      </c>
      <c r="C19" s="512">
        <v>48</v>
      </c>
      <c r="D19" s="512"/>
      <c r="E19" s="512"/>
      <c r="F19" s="513">
        <v>0</v>
      </c>
      <c r="G19" s="477">
        <f>'03-07-26'!G19+'04-07-26'!F19</f>
        <v>0</v>
      </c>
      <c r="H19" s="505">
        <f>F19/E4</f>
        <v>0</v>
      </c>
      <c r="I19" s="512">
        <f t="shared" si="0"/>
        <v>48</v>
      </c>
      <c r="J19" s="514">
        <f>G19/F4</f>
        <v>0</v>
      </c>
      <c r="K19" s="512">
        <v>200000</v>
      </c>
      <c r="L19" s="515">
        <f t="shared" si="1"/>
        <v>0</v>
      </c>
      <c r="M19" s="515">
        <f t="shared" si="2"/>
        <v>0</v>
      </c>
      <c r="N19" s="515">
        <f>L19/E4</f>
        <v>0</v>
      </c>
      <c r="O19" s="516">
        <f>M19/F4</f>
        <v>0</v>
      </c>
    </row>
    <row r="20" spans="1:15">
      <c r="A20" s="517">
        <v>12</v>
      </c>
      <c r="B20" s="518" t="s">
        <v>43</v>
      </c>
      <c r="C20" s="519">
        <v>143.6</v>
      </c>
      <c r="D20" s="520"/>
      <c r="E20" s="520"/>
      <c r="F20" s="521">
        <v>3</v>
      </c>
      <c r="G20" s="477">
        <f>'03-07-26'!G20+'04-07-26'!F20</f>
        <v>22.6</v>
      </c>
      <c r="H20" s="522">
        <f>F20/E4</f>
        <v>5.0847457627118647E-2</v>
      </c>
      <c r="I20" s="762">
        <f t="shared" si="0"/>
        <v>140.6</v>
      </c>
      <c r="J20" s="523">
        <f>G20/F4</f>
        <v>4.1774491682070244E-2</v>
      </c>
      <c r="K20" s="519">
        <v>377600</v>
      </c>
      <c r="L20" s="524">
        <f t="shared" si="1"/>
        <v>1132.8</v>
      </c>
      <c r="M20" s="524">
        <f t="shared" si="2"/>
        <v>8533.76</v>
      </c>
      <c r="N20" s="524">
        <f>L20/E4</f>
        <v>19.2</v>
      </c>
      <c r="O20" s="525">
        <f>M20/F4</f>
        <v>15.774048059149724</v>
      </c>
    </row>
    <row r="21" spans="1:15">
      <c r="A21" s="517">
        <v>13</v>
      </c>
      <c r="B21" s="518" t="s">
        <v>44</v>
      </c>
      <c r="C21" s="519">
        <v>122.8</v>
      </c>
      <c r="D21" s="520"/>
      <c r="E21" s="520"/>
      <c r="F21" s="521">
        <v>1.8</v>
      </c>
      <c r="G21" s="477">
        <f>'03-07-26'!G21+'04-07-26'!F21</f>
        <v>13.5</v>
      </c>
      <c r="H21" s="526">
        <f>F21/E4</f>
        <v>3.0508474576271188E-2</v>
      </c>
      <c r="I21" s="519">
        <f t="shared" si="0"/>
        <v>121</v>
      </c>
      <c r="J21" s="523">
        <f>G21/F4</f>
        <v>2.4953789279112754E-2</v>
      </c>
      <c r="K21" s="519">
        <v>271400</v>
      </c>
      <c r="L21" s="524">
        <f t="shared" si="1"/>
        <v>488.52</v>
      </c>
      <c r="M21" s="524">
        <f t="shared" si="2"/>
        <v>3663.9</v>
      </c>
      <c r="N21" s="524">
        <f>L21/E4</f>
        <v>8.2799999999999994</v>
      </c>
      <c r="O21" s="525">
        <f>M21/F4</f>
        <v>6.7724584103512013</v>
      </c>
    </row>
    <row r="22" spans="1:15">
      <c r="A22" s="517">
        <v>14</v>
      </c>
      <c r="B22" s="518" t="s">
        <v>45</v>
      </c>
      <c r="C22" s="519">
        <v>1770.6</v>
      </c>
      <c r="D22" s="520"/>
      <c r="E22" s="520"/>
      <c r="F22" s="521">
        <v>25.8</v>
      </c>
      <c r="G22" s="477">
        <f>'03-07-26'!G22+'04-07-26'!F22</f>
        <v>194.4</v>
      </c>
      <c r="H22" s="526">
        <f>F22/E4</f>
        <v>0.43728813559322033</v>
      </c>
      <c r="I22" s="520">
        <f t="shared" si="0"/>
        <v>1744.8</v>
      </c>
      <c r="J22" s="523">
        <f>G22/F4</f>
        <v>0.35933456561922367</v>
      </c>
      <c r="K22" s="519">
        <v>271400</v>
      </c>
      <c r="L22" s="524">
        <f t="shared" si="1"/>
        <v>7002.12</v>
      </c>
      <c r="M22" s="524">
        <f t="shared" si="2"/>
        <v>52760.160000000003</v>
      </c>
      <c r="N22" s="524">
        <f>L22/E4</f>
        <v>118.67999999999999</v>
      </c>
      <c r="O22" s="525">
        <f>M22/F4</f>
        <v>97.523401109057303</v>
      </c>
    </row>
    <row r="23" spans="1:15">
      <c r="A23" s="527">
        <v>15</v>
      </c>
      <c r="B23" s="528" t="s">
        <v>46</v>
      </c>
      <c r="C23" s="486">
        <v>100</v>
      </c>
      <c r="D23" s="529"/>
      <c r="E23" s="529"/>
      <c r="F23" s="530">
        <v>0</v>
      </c>
      <c r="G23" s="477">
        <f>'03-07-26'!G23+'04-07-26'!F23</f>
        <v>0</v>
      </c>
      <c r="H23" s="531">
        <f>F23/E4</f>
        <v>0</v>
      </c>
      <c r="I23" s="486">
        <f t="shared" si="0"/>
        <v>100</v>
      </c>
      <c r="J23" s="532">
        <f>G23/F4</f>
        <v>0</v>
      </c>
      <c r="K23" s="486">
        <v>41000</v>
      </c>
      <c r="L23" s="500">
        <f t="shared" si="1"/>
        <v>0</v>
      </c>
      <c r="M23" s="500">
        <f t="shared" si="2"/>
        <v>0</v>
      </c>
      <c r="N23" s="500">
        <f>L23/E4</f>
        <v>0</v>
      </c>
      <c r="O23" s="533">
        <f>M23/F4</f>
        <v>0</v>
      </c>
    </row>
    <row r="24" spans="1:15">
      <c r="A24" s="527">
        <v>16</v>
      </c>
      <c r="B24" s="528" t="s">
        <v>47</v>
      </c>
      <c r="C24" s="486">
        <v>373.6</v>
      </c>
      <c r="D24" s="529"/>
      <c r="E24" s="529"/>
      <c r="F24" s="530">
        <v>6</v>
      </c>
      <c r="G24" s="477">
        <f>'03-07-26'!G24+'04-07-26'!F24</f>
        <v>24</v>
      </c>
      <c r="H24" s="531">
        <f>F24/E4</f>
        <v>0.10169491525423729</v>
      </c>
      <c r="I24" s="486">
        <f t="shared" si="0"/>
        <v>367.6</v>
      </c>
      <c r="J24" s="532">
        <f>G24/F4</f>
        <v>4.4362292051756007E-2</v>
      </c>
      <c r="K24" s="486">
        <v>24000</v>
      </c>
      <c r="L24" s="500">
        <f t="shared" si="1"/>
        <v>144</v>
      </c>
      <c r="M24" s="500">
        <f t="shared" si="2"/>
        <v>576</v>
      </c>
      <c r="N24" s="500">
        <f>L24/E4</f>
        <v>2.4406779661016951</v>
      </c>
      <c r="O24" s="533">
        <f>M24/F4</f>
        <v>1.0646950092421441</v>
      </c>
    </row>
    <row r="25" spans="1:15">
      <c r="A25" s="527">
        <v>17</v>
      </c>
      <c r="B25" s="528" t="s">
        <v>48</v>
      </c>
      <c r="C25" s="486">
        <v>380</v>
      </c>
      <c r="D25" s="529"/>
      <c r="E25" s="529"/>
      <c r="F25" s="530">
        <v>0</v>
      </c>
      <c r="G25" s="477">
        <f>'03-07-26'!G25+'04-07-26'!F25</f>
        <v>0</v>
      </c>
      <c r="H25" s="531">
        <f>F25/E4</f>
        <v>0</v>
      </c>
      <c r="I25" s="486">
        <f t="shared" si="0"/>
        <v>380</v>
      </c>
      <c r="J25" s="532">
        <f>G25/F4</f>
        <v>0</v>
      </c>
      <c r="K25" s="486">
        <v>13210</v>
      </c>
      <c r="L25" s="500">
        <f t="shared" si="1"/>
        <v>0</v>
      </c>
      <c r="M25" s="500">
        <f t="shared" si="2"/>
        <v>0</v>
      </c>
      <c r="N25" s="500">
        <f>L25/E4</f>
        <v>0</v>
      </c>
      <c r="O25" s="533">
        <f>M25/F4</f>
        <v>0</v>
      </c>
    </row>
    <row r="26" spans="1:15">
      <c r="A26" s="527">
        <v>18</v>
      </c>
      <c r="B26" s="528" t="s">
        <v>49</v>
      </c>
      <c r="C26" s="486">
        <v>205</v>
      </c>
      <c r="D26" s="529"/>
      <c r="E26" s="486"/>
      <c r="F26" s="530">
        <v>5</v>
      </c>
      <c r="G26" s="477">
        <f>'03-07-26'!G26+'04-07-26'!F26</f>
        <v>35</v>
      </c>
      <c r="H26" s="531">
        <f>F26/E4</f>
        <v>8.4745762711864403E-2</v>
      </c>
      <c r="I26" s="486">
        <f t="shared" si="0"/>
        <v>200</v>
      </c>
      <c r="J26" s="532">
        <f>G26/F4</f>
        <v>6.4695009242144177E-2</v>
      </c>
      <c r="K26" s="486">
        <v>14400</v>
      </c>
      <c r="L26" s="500">
        <f t="shared" si="1"/>
        <v>72</v>
      </c>
      <c r="M26" s="500">
        <f t="shared" si="2"/>
        <v>504.00000000000006</v>
      </c>
      <c r="N26" s="500">
        <f>L26/E4</f>
        <v>1.2203389830508475</v>
      </c>
      <c r="O26" s="533">
        <f>M26/F4</f>
        <v>0.93160813308687629</v>
      </c>
    </row>
    <row r="27" spans="1:15">
      <c r="A27" s="527">
        <v>19</v>
      </c>
      <c r="B27" s="528" t="s">
        <v>50</v>
      </c>
      <c r="C27" s="486">
        <v>190.5</v>
      </c>
      <c r="D27" s="486"/>
      <c r="E27" s="529"/>
      <c r="F27" s="530">
        <v>3.5</v>
      </c>
      <c r="G27" s="477">
        <f>'03-07-26'!G27+'04-07-26'!F27</f>
        <v>14.5</v>
      </c>
      <c r="H27" s="531">
        <f>F27/E4</f>
        <v>5.9322033898305086E-2</v>
      </c>
      <c r="I27" s="486">
        <f t="shared" si="0"/>
        <v>187</v>
      </c>
      <c r="J27" s="532">
        <f>G27/F4</f>
        <v>2.6802218114602587E-2</v>
      </c>
      <c r="K27" s="486">
        <v>102000</v>
      </c>
      <c r="L27" s="500">
        <f t="shared" si="1"/>
        <v>357</v>
      </c>
      <c r="M27" s="500">
        <f t="shared" si="2"/>
        <v>1479</v>
      </c>
      <c r="N27" s="500">
        <f>L27/E4</f>
        <v>6.0508474576271185</v>
      </c>
      <c r="O27" s="533">
        <f>M27/F4</f>
        <v>2.7338262476894641</v>
      </c>
    </row>
    <row r="28" spans="1:15">
      <c r="A28" s="527">
        <v>20</v>
      </c>
      <c r="B28" s="528" t="s">
        <v>51</v>
      </c>
      <c r="C28" s="486">
        <v>160</v>
      </c>
      <c r="D28" s="529"/>
      <c r="E28" s="529"/>
      <c r="F28" s="530">
        <v>5</v>
      </c>
      <c r="G28" s="477">
        <f>'03-07-26'!G28+'04-07-26'!F28</f>
        <v>20</v>
      </c>
      <c r="H28" s="531">
        <f>F28/E4</f>
        <v>8.4745762711864403E-2</v>
      </c>
      <c r="I28" s="486">
        <f t="shared" si="0"/>
        <v>155</v>
      </c>
      <c r="J28" s="532">
        <f>G28/F4</f>
        <v>3.6968576709796676E-2</v>
      </c>
      <c r="K28" s="486">
        <v>107000</v>
      </c>
      <c r="L28" s="500">
        <f t="shared" si="1"/>
        <v>535</v>
      </c>
      <c r="M28" s="500">
        <f t="shared" si="2"/>
        <v>2140</v>
      </c>
      <c r="N28" s="500">
        <f>L28/E4</f>
        <v>9.0677966101694913</v>
      </c>
      <c r="O28" s="533">
        <f>M28/F4</f>
        <v>3.9556377079482439</v>
      </c>
    </row>
    <row r="29" spans="1:15">
      <c r="A29" s="527">
        <v>21</v>
      </c>
      <c r="B29" s="528" t="s">
        <v>52</v>
      </c>
      <c r="C29" s="486">
        <v>157</v>
      </c>
      <c r="D29" s="529"/>
      <c r="E29" s="529"/>
      <c r="F29" s="530">
        <v>3</v>
      </c>
      <c r="G29" s="477">
        <f>'03-07-26'!G29+'04-07-26'!F29</f>
        <v>12</v>
      </c>
      <c r="H29" s="531">
        <f>F29/E4</f>
        <v>5.0847457627118647E-2</v>
      </c>
      <c r="I29" s="486">
        <f t="shared" si="0"/>
        <v>154</v>
      </c>
      <c r="J29" s="532">
        <f>G29/F4</f>
        <v>2.2181146025878003E-2</v>
      </c>
      <c r="K29" s="486">
        <v>100000</v>
      </c>
      <c r="L29" s="500">
        <f t="shared" si="1"/>
        <v>300</v>
      </c>
      <c r="M29" s="500">
        <f t="shared" si="2"/>
        <v>1200</v>
      </c>
      <c r="N29" s="500">
        <f>L29/E4</f>
        <v>5.0847457627118642</v>
      </c>
      <c r="O29" s="533">
        <f>M29/F4</f>
        <v>2.2181146025878005</v>
      </c>
    </row>
    <row r="30" spans="1:15">
      <c r="A30" s="527">
        <v>22</v>
      </c>
      <c r="B30" s="528" t="s">
        <v>53</v>
      </c>
      <c r="C30" s="486">
        <v>60</v>
      </c>
      <c r="D30" s="529"/>
      <c r="E30" s="529"/>
      <c r="F30" s="530">
        <v>1</v>
      </c>
      <c r="G30" s="477">
        <f>'03-07-26'!G30+'04-07-26'!F30</f>
        <v>4</v>
      </c>
      <c r="H30" s="531">
        <f>F30/E4</f>
        <v>1.6949152542372881E-2</v>
      </c>
      <c r="I30" s="486">
        <f t="shared" si="0"/>
        <v>59</v>
      </c>
      <c r="J30" s="532">
        <f>G30/F4</f>
        <v>7.3937153419593345E-3</v>
      </c>
      <c r="K30" s="486">
        <v>255000</v>
      </c>
      <c r="L30" s="500">
        <f t="shared" si="1"/>
        <v>255</v>
      </c>
      <c r="M30" s="500">
        <f t="shared" si="2"/>
        <v>1020</v>
      </c>
      <c r="N30" s="500">
        <f>L30/E4</f>
        <v>4.3220338983050848</v>
      </c>
      <c r="O30" s="763">
        <f>M30/F4</f>
        <v>1.8853974121996304</v>
      </c>
    </row>
    <row r="31" spans="1:15">
      <c r="A31" s="527">
        <v>23</v>
      </c>
      <c r="B31" s="528" t="s">
        <v>54</v>
      </c>
      <c r="C31" s="486">
        <v>480</v>
      </c>
      <c r="D31" s="529"/>
      <c r="E31" s="529"/>
      <c r="F31" s="530">
        <v>0</v>
      </c>
      <c r="G31" s="477">
        <f>'03-07-26'!G31+'04-07-26'!F31</f>
        <v>0</v>
      </c>
      <c r="H31" s="531">
        <f>F31/E4</f>
        <v>0</v>
      </c>
      <c r="I31" s="486">
        <f t="shared" si="0"/>
        <v>480</v>
      </c>
      <c r="J31" s="532">
        <f>G31/F4</f>
        <v>0</v>
      </c>
      <c r="K31" s="486">
        <v>56000</v>
      </c>
      <c r="L31" s="500">
        <f t="shared" si="1"/>
        <v>0</v>
      </c>
      <c r="M31" s="500">
        <f t="shared" si="2"/>
        <v>0</v>
      </c>
      <c r="N31" s="533">
        <f>M30/F4</f>
        <v>1.8853974121996304</v>
      </c>
      <c r="O31" s="763">
        <f>M31/F4</f>
        <v>0</v>
      </c>
    </row>
    <row r="32" spans="1:15">
      <c r="A32" s="537">
        <v>24</v>
      </c>
      <c r="B32" s="538" t="s">
        <v>55</v>
      </c>
      <c r="C32" s="496">
        <v>0</v>
      </c>
      <c r="D32" s="539"/>
      <c r="E32" s="539"/>
      <c r="F32" s="540">
        <v>0</v>
      </c>
      <c r="G32" s="477">
        <f>'03-07-26'!G32+'04-07-26'!F32</f>
        <v>0</v>
      </c>
      <c r="H32" s="541">
        <f>F32/E4</f>
        <v>0</v>
      </c>
      <c r="I32" s="543">
        <f t="shared" si="0"/>
        <v>0</v>
      </c>
      <c r="J32" s="542">
        <f>G32/F4</f>
        <v>0</v>
      </c>
      <c r="K32" s="543">
        <v>90000</v>
      </c>
      <c r="L32" s="544">
        <f t="shared" si="1"/>
        <v>0</v>
      </c>
      <c r="M32" s="544">
        <f t="shared" si="2"/>
        <v>0</v>
      </c>
      <c r="N32" s="533">
        <f>M31/F4</f>
        <v>0</v>
      </c>
      <c r="O32" s="534">
        <f>M32/F4</f>
        <v>0</v>
      </c>
    </row>
    <row r="33" spans="1:15">
      <c r="A33" s="545" t="s">
        <v>56</v>
      </c>
      <c r="B33" s="545" t="s">
        <v>57</v>
      </c>
      <c r="C33" s="546" t="s">
        <v>58</v>
      </c>
      <c r="D33" s="1271" t="s">
        <v>59</v>
      </c>
      <c r="E33" s="1275"/>
      <c r="F33" s="1272"/>
      <c r="G33" s="1249"/>
      <c r="H33" s="1250"/>
      <c r="I33" s="1250"/>
      <c r="J33" s="1250"/>
      <c r="K33" s="1250"/>
      <c r="L33" s="1251"/>
      <c r="M33" s="764" t="s">
        <v>60</v>
      </c>
      <c r="N33" s="548">
        <f>SUM(N9:N32)</f>
        <v>1198.1216685986403</v>
      </c>
      <c r="O33" s="549">
        <f>SUM(O9:O32)</f>
        <v>1164.7695378927908</v>
      </c>
    </row>
    <row r="34" spans="1:15">
      <c r="A34" s="550">
        <v>1</v>
      </c>
      <c r="B34" s="551" t="s">
        <v>69</v>
      </c>
      <c r="C34" s="552">
        <v>0</v>
      </c>
      <c r="D34" s="1257"/>
      <c r="E34" s="1258"/>
      <c r="F34" s="765">
        <f>C34*E4/C41</f>
        <v>0</v>
      </c>
      <c r="G34" s="1249"/>
      <c r="H34" s="1252"/>
      <c r="I34" s="1252"/>
      <c r="J34" s="1252"/>
      <c r="K34" s="1252"/>
      <c r="L34" s="1253"/>
      <c r="M34" s="555"/>
      <c r="N34" s="556" t="s">
        <v>17</v>
      </c>
      <c r="O34" s="557" t="s">
        <v>17</v>
      </c>
    </row>
    <row r="35" spans="1:15">
      <c r="A35" s="550">
        <v>2</v>
      </c>
      <c r="B35" s="551" t="s">
        <v>61</v>
      </c>
      <c r="C35" s="558">
        <v>7</v>
      </c>
      <c r="D35" s="1259"/>
      <c r="E35" s="1260"/>
      <c r="F35" s="766">
        <f>C35*E4/C41</f>
        <v>11.472222222222221</v>
      </c>
      <c r="G35" s="1249"/>
      <c r="H35" s="1252"/>
      <c r="I35" s="1252"/>
      <c r="J35" s="1252"/>
      <c r="K35" s="1252"/>
      <c r="L35" s="1253"/>
      <c r="M35" s="561"/>
      <c r="N35" s="562" t="s">
        <v>25</v>
      </c>
      <c r="O35" s="563" t="s">
        <v>26</v>
      </c>
    </row>
    <row r="36" spans="1:15">
      <c r="A36" s="550">
        <v>3</v>
      </c>
      <c r="B36" s="551" t="s">
        <v>71</v>
      </c>
      <c r="C36" s="498">
        <v>19</v>
      </c>
      <c r="D36" s="1259"/>
      <c r="E36" s="1260"/>
      <c r="F36" s="766">
        <f>C36*E4/C41</f>
        <v>31.138888888888889</v>
      </c>
      <c r="G36" s="1249"/>
      <c r="H36" s="1252"/>
      <c r="I36" s="1252"/>
      <c r="J36" s="1252"/>
      <c r="K36" s="1252"/>
      <c r="L36" s="1253"/>
      <c r="M36" s="561"/>
      <c r="N36" s="562" t="s">
        <v>63</v>
      </c>
      <c r="O36" s="563" t="s">
        <v>63</v>
      </c>
    </row>
    <row r="37" spans="1:15">
      <c r="A37" s="550">
        <v>4</v>
      </c>
      <c r="B37" s="551" t="s">
        <v>73</v>
      </c>
      <c r="C37" s="564">
        <v>10</v>
      </c>
      <c r="D37" s="559"/>
      <c r="F37" s="767">
        <f>C37*E4/C41</f>
        <v>16.388888888888889</v>
      </c>
      <c r="G37" s="1254"/>
      <c r="H37" s="1255"/>
      <c r="I37" s="1255"/>
      <c r="J37" s="1255"/>
      <c r="K37" s="1255"/>
      <c r="L37" s="1256"/>
      <c r="M37" s="768" t="s">
        <v>60</v>
      </c>
      <c r="N37" s="769">
        <f>N33/1000</f>
        <v>1.1981216685986402</v>
      </c>
      <c r="O37" s="770">
        <f>O33/1000</f>
        <v>1.1647695378927909</v>
      </c>
    </row>
    <row r="38" spans="1:15">
      <c r="A38" s="550">
        <v>5</v>
      </c>
      <c r="B38" s="551"/>
      <c r="C38" s="569"/>
      <c r="D38" s="559"/>
      <c r="F38" s="771"/>
      <c r="H38" s="554"/>
      <c r="I38" s="554"/>
      <c r="J38" s="554"/>
      <c r="K38" s="554"/>
      <c r="L38" s="554"/>
      <c r="M38" s="570"/>
      <c r="N38" s="571"/>
      <c r="O38" s="572"/>
    </row>
    <row r="39" spans="1:15">
      <c r="A39" s="550">
        <v>6</v>
      </c>
      <c r="B39" s="551"/>
      <c r="C39" s="564"/>
      <c r="D39" s="559"/>
      <c r="F39" s="771"/>
      <c r="H39" s="554"/>
      <c r="I39" s="554"/>
      <c r="J39" s="554"/>
      <c r="K39" s="554"/>
      <c r="L39" s="554"/>
      <c r="M39" s="570"/>
      <c r="N39" s="571"/>
      <c r="O39" s="572"/>
    </row>
    <row r="40" spans="1:15">
      <c r="A40" s="573">
        <v>7</v>
      </c>
      <c r="B40" s="551"/>
      <c r="C40" s="564"/>
      <c r="D40" s="559"/>
      <c r="F40" s="771"/>
      <c r="H40" s="554"/>
      <c r="I40" s="554"/>
      <c r="J40" s="554"/>
      <c r="K40" s="554"/>
      <c r="L40" s="554"/>
      <c r="M40" s="570"/>
      <c r="N40" s="571"/>
      <c r="O40" s="572"/>
    </row>
    <row r="41" spans="1:15">
      <c r="A41" s="772">
        <v>4</v>
      </c>
      <c r="B41" s="773" t="s">
        <v>60</v>
      </c>
      <c r="C41" s="774">
        <f>SUM(C34,C35,C36,C37,C38,C39,C40)</f>
        <v>36</v>
      </c>
      <c r="D41" s="1246">
        <f>SUM(F34,F35,F36,F37,F38,F39,F40)</f>
        <v>59</v>
      </c>
      <c r="E41" s="1247"/>
      <c r="F41" s="1248"/>
      <c r="G41" s="578"/>
      <c r="H41" s="578"/>
      <c r="I41" s="472"/>
      <c r="J41" s="578"/>
      <c r="K41" s="578"/>
      <c r="L41" s="578"/>
      <c r="M41" s="578"/>
      <c r="N41" s="578"/>
      <c r="O41" s="579"/>
    </row>
    <row r="42" spans="1:15">
      <c r="A42" s="578"/>
      <c r="B42" s="578"/>
      <c r="C42" s="578"/>
      <c r="D42" s="578"/>
      <c r="E42" s="578"/>
      <c r="F42" s="578"/>
      <c r="G42" s="578"/>
      <c r="H42" s="578"/>
      <c r="I42" s="477"/>
      <c r="J42" s="578"/>
      <c r="K42" s="578"/>
      <c r="L42" s="578"/>
      <c r="M42" s="578"/>
      <c r="N42" s="578"/>
      <c r="O42" s="579"/>
    </row>
    <row r="43" spans="1:15">
      <c r="A43" s="578"/>
      <c r="B43" s="578"/>
      <c r="C43" s="578"/>
      <c r="D43" s="578"/>
      <c r="E43" s="578"/>
      <c r="F43" s="578"/>
      <c r="G43" s="578"/>
      <c r="H43" s="578"/>
      <c r="I43" s="477"/>
      <c r="J43" s="578"/>
      <c r="K43" s="578"/>
      <c r="L43" s="578"/>
      <c r="M43" s="578"/>
      <c r="N43" s="578"/>
      <c r="O43" s="579"/>
    </row>
    <row r="44" spans="1:15">
      <c r="A44" s="578"/>
      <c r="B44" s="578"/>
      <c r="C44" s="578"/>
      <c r="D44" s="578"/>
      <c r="E44" s="578"/>
      <c r="F44" s="578"/>
      <c r="G44" s="578"/>
      <c r="H44" s="578"/>
      <c r="I44" s="477"/>
      <c r="J44" s="578"/>
      <c r="K44" s="578"/>
      <c r="L44" s="578"/>
      <c r="M44" s="578"/>
      <c r="N44" s="578"/>
      <c r="O44" s="579"/>
    </row>
    <row r="45" spans="1:15">
      <c r="I45" s="477"/>
    </row>
    <row r="46" spans="1:15">
      <c r="I46" s="477"/>
    </row>
    <row r="47" spans="1:15">
      <c r="I47" s="477"/>
    </row>
    <row r="48" spans="1:15">
      <c r="I48" s="477"/>
    </row>
    <row r="49" spans="2:9">
      <c r="I49" s="477"/>
    </row>
    <row r="50" spans="2:9">
      <c r="I50" s="503"/>
    </row>
    <row r="51" spans="2:9">
      <c r="I51" s="512"/>
    </row>
    <row r="52" spans="2:9">
      <c r="I52" s="762"/>
    </row>
    <row r="53" spans="2:9">
      <c r="B53" s="775"/>
      <c r="I53" s="519"/>
    </row>
    <row r="54" spans="2:9">
      <c r="I54" s="520"/>
    </row>
    <row r="55" spans="2:9">
      <c r="I55" s="486"/>
    </row>
    <row r="56" spans="2:9">
      <c r="I56" s="486"/>
    </row>
    <row r="57" spans="2:9">
      <c r="I57" s="486"/>
    </row>
    <row r="58" spans="2:9">
      <c r="I58" s="486"/>
    </row>
    <row r="59" spans="2:9">
      <c r="I59" s="486"/>
    </row>
    <row r="60" spans="2:9">
      <c r="I60" s="486"/>
    </row>
    <row r="61" spans="2:9">
      <c r="I61" s="486"/>
    </row>
    <row r="62" spans="2:9">
      <c r="I62" s="486"/>
    </row>
    <row r="63" spans="2:9">
      <c r="I63" s="486"/>
    </row>
    <row r="64" spans="2:9">
      <c r="I64" s="543"/>
    </row>
  </sheetData>
  <mergeCells count="14">
    <mergeCell ref="D41:F41"/>
    <mergeCell ref="G33:L37"/>
    <mergeCell ref="D34:E36"/>
    <mergeCell ref="A1:O2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4"/>
  <sheetViews>
    <sheetView topLeftCell="A7" workbookViewId="0">
      <selection activeCell="E9" sqref="E9"/>
    </sheetView>
  </sheetViews>
  <sheetFormatPr defaultColWidth="10" defaultRowHeight="11.25"/>
  <cols>
    <col min="1" max="1" width="9.5703125" style="321" customWidth="1"/>
    <col min="2" max="2" width="27.7109375" style="321" customWidth="1"/>
    <col min="3" max="3" width="9.5703125" style="321" customWidth="1"/>
    <col min="4" max="4" width="6.42578125" style="321" customWidth="1"/>
    <col min="5" max="5" width="7.28515625" style="321" customWidth="1"/>
    <col min="6" max="6" width="6.42578125" style="321" customWidth="1"/>
    <col min="7" max="7" width="10.85546875" style="322" customWidth="1"/>
    <col min="8" max="8" width="12" style="321" customWidth="1"/>
    <col min="9" max="9" width="8.28515625" style="321" customWidth="1"/>
    <col min="10" max="10" width="12" style="321" customWidth="1"/>
    <col min="11" max="11" width="6.140625" style="747" customWidth="1"/>
    <col min="12" max="12" width="9.42578125" style="747" customWidth="1"/>
    <col min="13" max="13" width="8.28515625" style="747" customWidth="1"/>
    <col min="14" max="14" width="7.85546875" style="747" customWidth="1"/>
    <col min="15" max="15" width="7.85546875" style="748" customWidth="1"/>
    <col min="16" max="16384" width="10" style="321"/>
  </cols>
  <sheetData>
    <row r="1" spans="1:15">
      <c r="A1" s="1302" t="s">
        <v>0</v>
      </c>
      <c r="B1" s="1303"/>
      <c r="C1" s="1303"/>
      <c r="D1" s="1303"/>
      <c r="E1" s="1303"/>
      <c r="F1" s="1303"/>
      <c r="G1" s="1303"/>
      <c r="H1" s="1303"/>
      <c r="I1" s="1303"/>
      <c r="J1" s="1303"/>
      <c r="K1" s="1303"/>
      <c r="L1" s="1303"/>
      <c r="M1" s="1303"/>
      <c r="N1" s="1303"/>
      <c r="O1" s="1304"/>
    </row>
    <row r="2" spans="1:15">
      <c r="A2" s="1305"/>
      <c r="B2" s="1306"/>
      <c r="C2" s="1306"/>
      <c r="D2" s="1306"/>
      <c r="E2" s="1306"/>
      <c r="F2" s="1306"/>
      <c r="G2" s="1306"/>
      <c r="H2" s="1306"/>
      <c r="I2" s="1306"/>
      <c r="J2" s="1306"/>
      <c r="K2" s="1306"/>
      <c r="L2" s="1306"/>
      <c r="M2" s="1306"/>
      <c r="N2" s="1306"/>
      <c r="O2" s="1307"/>
    </row>
    <row r="3" spans="1:15" ht="12.75">
      <c r="A3" s="1317" t="s">
        <v>1</v>
      </c>
      <c r="B3" s="1318"/>
      <c r="C3" s="1318"/>
      <c r="D3" s="1318"/>
      <c r="E3" s="1318"/>
      <c r="F3" s="1318"/>
      <c r="G3" s="1318"/>
      <c r="H3" s="1318"/>
      <c r="I3" s="1318"/>
      <c r="J3" s="1318"/>
      <c r="K3" s="1318"/>
      <c r="L3" s="1318"/>
      <c r="M3" s="1318"/>
      <c r="N3" s="1318"/>
      <c r="O3" s="1319"/>
    </row>
    <row r="4" spans="1:15" ht="12.75">
      <c r="A4" s="1317" t="s">
        <v>2</v>
      </c>
      <c r="B4" s="1318"/>
      <c r="C4" s="1318"/>
      <c r="D4" s="1319"/>
      <c r="E4" s="325">
        <v>106</v>
      </c>
      <c r="F4" s="323">
        <v>647</v>
      </c>
      <c r="G4" s="745">
        <v>129.4</v>
      </c>
      <c r="H4" s="1320" t="s">
        <v>74</v>
      </c>
      <c r="I4" s="1321"/>
      <c r="J4" s="1321"/>
      <c r="K4" s="1321"/>
      <c r="L4" s="1321"/>
      <c r="M4" s="1321"/>
      <c r="N4" s="1321"/>
      <c r="O4" s="1322"/>
    </row>
    <row r="5" spans="1:15" ht="12">
      <c r="A5" s="1323" t="s">
        <v>5</v>
      </c>
      <c r="B5" s="1324"/>
      <c r="C5" s="1325" t="s">
        <v>6</v>
      </c>
      <c r="D5" s="1326"/>
      <c r="E5" s="327">
        <v>0</v>
      </c>
      <c r="F5" s="328">
        <v>0</v>
      </c>
      <c r="G5" s="449" t="s">
        <v>75</v>
      </c>
      <c r="H5" s="329"/>
      <c r="I5" s="329"/>
      <c r="J5" s="329"/>
      <c r="K5" s="330"/>
      <c r="L5" s="330"/>
      <c r="M5" s="330"/>
      <c r="N5" s="583"/>
      <c r="O5" s="584"/>
    </row>
    <row r="6" spans="1:15">
      <c r="A6" s="585" t="s">
        <v>8</v>
      </c>
      <c r="B6" s="334" t="s">
        <v>9</v>
      </c>
      <c r="C6" s="334" t="s">
        <v>10</v>
      </c>
      <c r="D6" s="1308" t="s">
        <v>11</v>
      </c>
      <c r="E6" s="1309"/>
      <c r="F6" s="1310" t="s">
        <v>12</v>
      </c>
      <c r="G6" s="1311"/>
      <c r="H6" s="335" t="s">
        <v>13</v>
      </c>
      <c r="I6" s="336" t="s">
        <v>9</v>
      </c>
      <c r="J6" s="337" t="s">
        <v>14</v>
      </c>
      <c r="K6" s="338" t="s">
        <v>15</v>
      </c>
      <c r="L6" s="1312" t="s">
        <v>16</v>
      </c>
      <c r="M6" s="1313"/>
      <c r="N6" s="1314" t="s">
        <v>17</v>
      </c>
      <c r="O6" s="1315"/>
    </row>
    <row r="7" spans="1:15">
      <c r="A7" s="585" t="s">
        <v>18</v>
      </c>
      <c r="B7" s="334" t="s">
        <v>19</v>
      </c>
      <c r="C7" s="334" t="s">
        <v>20</v>
      </c>
      <c r="D7" s="334" t="s">
        <v>21</v>
      </c>
      <c r="E7" s="339" t="s">
        <v>14</v>
      </c>
      <c r="F7" s="340" t="s">
        <v>21</v>
      </c>
      <c r="G7" s="340" t="s">
        <v>14</v>
      </c>
      <c r="H7" s="341" t="s">
        <v>22</v>
      </c>
      <c r="I7" s="342" t="s">
        <v>23</v>
      </c>
      <c r="J7" s="343" t="s">
        <v>22</v>
      </c>
      <c r="K7" s="344" t="s">
        <v>24</v>
      </c>
      <c r="L7" s="344" t="s">
        <v>25</v>
      </c>
      <c r="M7" s="342" t="s">
        <v>26</v>
      </c>
      <c r="N7" s="338" t="s">
        <v>25</v>
      </c>
      <c r="O7" s="586" t="s">
        <v>26</v>
      </c>
    </row>
    <row r="8" spans="1:15">
      <c r="A8" s="587"/>
      <c r="B8" s="334"/>
      <c r="C8" s="334" t="s">
        <v>27</v>
      </c>
      <c r="D8" s="334" t="s">
        <v>27</v>
      </c>
      <c r="E8" s="334" t="s">
        <v>27</v>
      </c>
      <c r="F8" s="347" t="s">
        <v>27</v>
      </c>
      <c r="G8" s="347" t="s">
        <v>27</v>
      </c>
      <c r="H8" s="341" t="s">
        <v>28</v>
      </c>
      <c r="I8" s="342" t="s">
        <v>27</v>
      </c>
      <c r="J8" s="343" t="s">
        <v>28</v>
      </c>
      <c r="K8" s="344" t="s">
        <v>29</v>
      </c>
      <c r="L8" s="344" t="s">
        <v>30</v>
      </c>
      <c r="M8" s="342" t="s">
        <v>30</v>
      </c>
      <c r="N8" s="344" t="s">
        <v>31</v>
      </c>
      <c r="O8" s="588" t="s">
        <v>31</v>
      </c>
    </row>
    <row r="9" spans="1:15">
      <c r="A9" s="589">
        <v>1</v>
      </c>
      <c r="B9" s="350" t="s">
        <v>32</v>
      </c>
      <c r="C9" s="351">
        <v>11350</v>
      </c>
      <c r="D9" s="352">
        <v>0</v>
      </c>
      <c r="E9" s="351">
        <v>13000</v>
      </c>
      <c r="F9" s="590">
        <v>2400</v>
      </c>
      <c r="G9" s="362">
        <f>'04-07-26'!G9+'05-7-26'!F9</f>
        <v>17450</v>
      </c>
      <c r="H9" s="591">
        <f>F9/E4</f>
        <v>22.641509433962263</v>
      </c>
      <c r="I9" s="362">
        <f t="shared" ref="I9:I32" si="0">(C9-F9)+D9</f>
        <v>8950</v>
      </c>
      <c r="J9" s="355">
        <f>G9/F4</f>
        <v>26.970633693972179</v>
      </c>
      <c r="K9" s="353">
        <v>28500</v>
      </c>
      <c r="L9" s="592">
        <f t="shared" ref="L9:L32" si="1">(F9/1000)*K9</f>
        <v>68400</v>
      </c>
      <c r="M9" s="593">
        <f t="shared" ref="M9:M32" si="2">(G9/1000)*K9</f>
        <v>497325</v>
      </c>
      <c r="N9" s="594">
        <f>L9/E4</f>
        <v>645.28301886792451</v>
      </c>
      <c r="O9" s="595">
        <f>M9/F4</f>
        <v>768.66306027820713</v>
      </c>
    </row>
    <row r="10" spans="1:15">
      <c r="A10" s="596">
        <v>2</v>
      </c>
      <c r="B10" s="361" t="s">
        <v>33</v>
      </c>
      <c r="C10" s="362">
        <v>8240</v>
      </c>
      <c r="D10" s="363"/>
      <c r="E10" s="362"/>
      <c r="F10" s="597">
        <v>161</v>
      </c>
      <c r="G10" s="362">
        <f>'04-07-26'!G10+'05-7-26'!F10</f>
        <v>921</v>
      </c>
      <c r="H10" s="598">
        <f>F10/E4</f>
        <v>1.5188679245283019</v>
      </c>
      <c r="I10" s="362">
        <f t="shared" si="0"/>
        <v>8079</v>
      </c>
      <c r="J10" s="365">
        <f>G10/F4</f>
        <v>1.4234930448222565</v>
      </c>
      <c r="K10" s="366">
        <v>35500</v>
      </c>
      <c r="L10" s="599">
        <f t="shared" si="1"/>
        <v>5715.5</v>
      </c>
      <c r="M10" s="599">
        <f t="shared" si="2"/>
        <v>32695.5</v>
      </c>
      <c r="N10" s="600">
        <f>L10/E4</f>
        <v>53.919811320754718</v>
      </c>
      <c r="O10" s="601">
        <f>M10/F4</f>
        <v>50.534003091190108</v>
      </c>
    </row>
    <row r="11" spans="1:15">
      <c r="A11" s="596">
        <v>3</v>
      </c>
      <c r="B11" s="361" t="s">
        <v>34</v>
      </c>
      <c r="C11" s="362">
        <v>6591</v>
      </c>
      <c r="D11" s="363"/>
      <c r="E11" s="362"/>
      <c r="F11" s="597">
        <v>46</v>
      </c>
      <c r="G11" s="362">
        <f>'04-07-26'!G11+'05-7-26'!F11</f>
        <v>275</v>
      </c>
      <c r="H11" s="598">
        <f>F11/E4</f>
        <v>0.43396226415094341</v>
      </c>
      <c r="I11" s="362">
        <f t="shared" si="0"/>
        <v>6545</v>
      </c>
      <c r="J11" s="365">
        <f>G11/F4</f>
        <v>0.42503863987635238</v>
      </c>
      <c r="K11" s="366">
        <v>98000</v>
      </c>
      <c r="L11" s="599">
        <f t="shared" si="1"/>
        <v>4508</v>
      </c>
      <c r="M11" s="599">
        <f t="shared" si="2"/>
        <v>26950.000000000004</v>
      </c>
      <c r="N11" s="600">
        <f>L11/E4</f>
        <v>42.528301886792455</v>
      </c>
      <c r="O11" s="601">
        <f>M11/F4</f>
        <v>41.653786707882539</v>
      </c>
    </row>
    <row r="12" spans="1:15">
      <c r="A12" s="596">
        <v>4</v>
      </c>
      <c r="B12" s="361" t="s">
        <v>35</v>
      </c>
      <c r="C12" s="362">
        <v>20.68</v>
      </c>
      <c r="D12" s="363"/>
      <c r="E12" s="362"/>
      <c r="F12" s="597">
        <v>0.08</v>
      </c>
      <c r="G12" s="362">
        <f>'04-07-26'!G12+'05-7-26'!F12</f>
        <v>0.4</v>
      </c>
      <c r="H12" s="602">
        <f>F12/E4</f>
        <v>7.5471698113207543E-4</v>
      </c>
      <c r="I12" s="362">
        <f t="shared" si="0"/>
        <v>20.6</v>
      </c>
      <c r="J12" s="371">
        <f>G12/F4</f>
        <v>6.1823802163833079E-4</v>
      </c>
      <c r="K12" s="366">
        <v>750000</v>
      </c>
      <c r="L12" s="599">
        <f t="shared" si="1"/>
        <v>60.000000000000007</v>
      </c>
      <c r="M12" s="599">
        <f t="shared" si="2"/>
        <v>300</v>
      </c>
      <c r="N12" s="600">
        <f>L12/E4</f>
        <v>0.5660377358490567</v>
      </c>
      <c r="O12" s="601">
        <f>M12/F4</f>
        <v>0.46367851622874806</v>
      </c>
    </row>
    <row r="13" spans="1:15">
      <c r="A13" s="596">
        <v>5</v>
      </c>
      <c r="B13" s="361" t="s">
        <v>36</v>
      </c>
      <c r="C13" s="362">
        <v>425</v>
      </c>
      <c r="D13" s="363"/>
      <c r="E13" s="362"/>
      <c r="F13" s="603">
        <v>18</v>
      </c>
      <c r="G13" s="362">
        <f>'04-07-26'!G13+'05-7-26'!F13</f>
        <v>93</v>
      </c>
      <c r="H13" s="598">
        <f>F13/E4</f>
        <v>0.16981132075471697</v>
      </c>
      <c r="I13" s="362">
        <f t="shared" si="0"/>
        <v>407</v>
      </c>
      <c r="J13" s="365">
        <f>G13/F4</f>
        <v>0.14374034003091191</v>
      </c>
      <c r="K13" s="366">
        <v>350000</v>
      </c>
      <c r="L13" s="599">
        <f t="shared" si="1"/>
        <v>6299.9999999999991</v>
      </c>
      <c r="M13" s="599">
        <f t="shared" si="2"/>
        <v>32550</v>
      </c>
      <c r="N13" s="600">
        <f>L13/E4</f>
        <v>59.433962264150935</v>
      </c>
      <c r="O13" s="601">
        <f>M13/F4</f>
        <v>50.309119010819167</v>
      </c>
    </row>
    <row r="14" spans="1:15">
      <c r="A14" s="596">
        <v>6</v>
      </c>
      <c r="B14" s="361" t="s">
        <v>37</v>
      </c>
      <c r="C14" s="362">
        <v>2195</v>
      </c>
      <c r="D14" s="363"/>
      <c r="E14" s="597"/>
      <c r="F14" s="362">
        <v>35</v>
      </c>
      <c r="G14" s="758">
        <f>'04-07-26'!G14+'05-7-26'!F14</f>
        <v>240</v>
      </c>
      <c r="H14" s="598">
        <f>F14/E4</f>
        <v>0.330188679245283</v>
      </c>
      <c r="I14" s="362">
        <f t="shared" si="0"/>
        <v>2160</v>
      </c>
      <c r="J14" s="365">
        <f>G14/F4</f>
        <v>0.37094281298299847</v>
      </c>
      <c r="K14" s="366">
        <v>204500</v>
      </c>
      <c r="L14" s="599">
        <f t="shared" si="1"/>
        <v>7157.5000000000009</v>
      </c>
      <c r="M14" s="599">
        <f t="shared" si="2"/>
        <v>49080</v>
      </c>
      <c r="N14" s="600">
        <f>L14/E4</f>
        <v>67.523584905660385</v>
      </c>
      <c r="O14" s="601">
        <f>M14/F4</f>
        <v>75.85780525502318</v>
      </c>
    </row>
    <row r="15" spans="1:15">
      <c r="A15" s="596">
        <v>7</v>
      </c>
      <c r="B15" s="361" t="s">
        <v>38</v>
      </c>
      <c r="C15" s="362">
        <v>1563</v>
      </c>
      <c r="D15" s="363"/>
      <c r="E15" s="604"/>
      <c r="F15" s="605">
        <v>34</v>
      </c>
      <c r="G15" s="362">
        <f>'04-07-26'!G15+'05-7-26'!F15</f>
        <v>221</v>
      </c>
      <c r="H15" s="598">
        <f>F15/E4</f>
        <v>0.32075471698113206</v>
      </c>
      <c r="I15" s="362">
        <f t="shared" si="0"/>
        <v>1529</v>
      </c>
      <c r="J15" s="365">
        <f>G15/F4</f>
        <v>0.34157650695517772</v>
      </c>
      <c r="K15" s="366">
        <v>129500</v>
      </c>
      <c r="L15" s="599">
        <f t="shared" si="1"/>
        <v>4403</v>
      </c>
      <c r="M15" s="599">
        <f t="shared" si="2"/>
        <v>28619.5</v>
      </c>
      <c r="N15" s="600">
        <f>L15/E4</f>
        <v>41.537735849056602</v>
      </c>
      <c r="O15" s="601">
        <f>M15/F4</f>
        <v>44.234157650695515</v>
      </c>
    </row>
    <row r="16" spans="1:15">
      <c r="A16" s="596">
        <v>8</v>
      </c>
      <c r="B16" s="361" t="s">
        <v>39</v>
      </c>
      <c r="C16" s="362">
        <v>920</v>
      </c>
      <c r="D16" s="597"/>
      <c r="E16" s="610"/>
      <c r="F16" s="606">
        <v>15</v>
      </c>
      <c r="G16" s="362">
        <f>'04-07-26'!G16+'05-7-26'!F16</f>
        <v>80</v>
      </c>
      <c r="H16" s="598">
        <f>F16/E4</f>
        <v>0.14150943396226415</v>
      </c>
      <c r="I16" s="362">
        <f t="shared" si="0"/>
        <v>905</v>
      </c>
      <c r="J16" s="365">
        <f>G16/F4</f>
        <v>0.12364760432766615</v>
      </c>
      <c r="K16" s="366">
        <v>219500</v>
      </c>
      <c r="L16" s="599">
        <f t="shared" si="1"/>
        <v>3292.5</v>
      </c>
      <c r="M16" s="599">
        <f t="shared" si="2"/>
        <v>17560</v>
      </c>
      <c r="N16" s="600">
        <f>L16/E4</f>
        <v>31.061320754716981</v>
      </c>
      <c r="O16" s="601">
        <f>M16/F4</f>
        <v>27.140649149922719</v>
      </c>
    </row>
    <row r="17" spans="1:15">
      <c r="A17" s="596">
        <v>9</v>
      </c>
      <c r="B17" s="361" t="s">
        <v>40</v>
      </c>
      <c r="C17" s="362">
        <v>21</v>
      </c>
      <c r="D17" s="363"/>
      <c r="E17" s="608"/>
      <c r="F17" s="597">
        <v>0</v>
      </c>
      <c r="G17" s="362">
        <f>'04-07-26'!G17+'05-7-26'!F17</f>
        <v>0</v>
      </c>
      <c r="H17" s="598">
        <f>F17/E4</f>
        <v>0</v>
      </c>
      <c r="I17" s="362">
        <f t="shared" si="0"/>
        <v>21</v>
      </c>
      <c r="J17" s="365">
        <f>G17/F4</f>
        <v>0</v>
      </c>
      <c r="K17" s="366">
        <v>348200</v>
      </c>
      <c r="L17" s="599">
        <f t="shared" si="1"/>
        <v>0</v>
      </c>
      <c r="M17" s="609">
        <f t="shared" si="2"/>
        <v>0</v>
      </c>
      <c r="N17" s="600">
        <f>L17/E4</f>
        <v>0</v>
      </c>
      <c r="O17" s="601">
        <f>M17/F4</f>
        <v>0</v>
      </c>
    </row>
    <row r="18" spans="1:15">
      <c r="A18" s="611">
        <v>10</v>
      </c>
      <c r="B18" s="374" t="s">
        <v>41</v>
      </c>
      <c r="C18" s="375">
        <v>3950</v>
      </c>
      <c r="D18" s="375"/>
      <c r="E18" s="375"/>
      <c r="F18" s="612">
        <v>0</v>
      </c>
      <c r="G18" s="362">
        <f>'04-07-26'!G18+'05-7-26'!F18</f>
        <v>0</v>
      </c>
      <c r="H18" s="613">
        <f>F18/E4</f>
        <v>0</v>
      </c>
      <c r="I18" s="375">
        <f t="shared" si="0"/>
        <v>3950</v>
      </c>
      <c r="J18" s="376">
        <f>G18/F4</f>
        <v>0</v>
      </c>
      <c r="K18" s="377">
        <v>172000</v>
      </c>
      <c r="L18" s="614">
        <f t="shared" si="1"/>
        <v>0</v>
      </c>
      <c r="M18" s="614">
        <f t="shared" si="2"/>
        <v>0</v>
      </c>
      <c r="N18" s="614">
        <f>L18/E4</f>
        <v>0</v>
      </c>
      <c r="O18" s="615">
        <f>M18/F4</f>
        <v>0</v>
      </c>
    </row>
    <row r="19" spans="1:15">
      <c r="A19" s="616">
        <v>11</v>
      </c>
      <c r="B19" s="381" t="s">
        <v>42</v>
      </c>
      <c r="C19" s="382">
        <v>48</v>
      </c>
      <c r="D19" s="382"/>
      <c r="E19" s="382"/>
      <c r="F19" s="617">
        <v>0</v>
      </c>
      <c r="G19" s="362">
        <f>'04-07-26'!G19+'05-7-26'!F19</f>
        <v>0</v>
      </c>
      <c r="H19" s="613">
        <f>F19/E4</f>
        <v>0</v>
      </c>
      <c r="I19" s="382">
        <f t="shared" si="0"/>
        <v>48</v>
      </c>
      <c r="J19" s="383">
        <f>G19/F4</f>
        <v>0</v>
      </c>
      <c r="K19" s="382">
        <v>200000</v>
      </c>
      <c r="L19" s="618">
        <f t="shared" si="1"/>
        <v>0</v>
      </c>
      <c r="M19" s="618">
        <f t="shared" si="2"/>
        <v>0</v>
      </c>
      <c r="N19" s="618">
        <f>L19/E4</f>
        <v>0</v>
      </c>
      <c r="O19" s="619">
        <f>M19/F4</f>
        <v>0</v>
      </c>
    </row>
    <row r="20" spans="1:15">
      <c r="A20" s="620">
        <v>12</v>
      </c>
      <c r="B20" s="387" t="s">
        <v>43</v>
      </c>
      <c r="C20" s="388">
        <v>140.6</v>
      </c>
      <c r="D20" s="389"/>
      <c r="E20" s="389"/>
      <c r="F20" s="621">
        <v>5.0999999999999996</v>
      </c>
      <c r="G20" s="362">
        <f>'04-07-26'!G20+'05-7-26'!F20</f>
        <v>27.700000000000003</v>
      </c>
      <c r="H20" s="622">
        <f>F20/E4</f>
        <v>4.8113207547169808E-2</v>
      </c>
      <c r="I20" s="392">
        <f t="shared" si="0"/>
        <v>135.5</v>
      </c>
      <c r="J20" s="393">
        <f>G20/F4</f>
        <v>4.2812982998454409E-2</v>
      </c>
      <c r="K20" s="388">
        <v>377600</v>
      </c>
      <c r="L20" s="623">
        <f t="shared" si="1"/>
        <v>1925.7599999999998</v>
      </c>
      <c r="M20" s="623">
        <f t="shared" si="2"/>
        <v>10459.52</v>
      </c>
      <c r="N20" s="623">
        <f>L20/E4</f>
        <v>18.167547169811318</v>
      </c>
      <c r="O20" s="624">
        <f>M20/F4</f>
        <v>16.166182380216384</v>
      </c>
    </row>
    <row r="21" spans="1:15">
      <c r="A21" s="620">
        <v>13</v>
      </c>
      <c r="B21" s="387" t="s">
        <v>44</v>
      </c>
      <c r="C21" s="388">
        <v>121</v>
      </c>
      <c r="D21" s="389"/>
      <c r="E21" s="389"/>
      <c r="F21" s="621">
        <v>3</v>
      </c>
      <c r="G21" s="362">
        <f>'04-07-26'!G21+'05-7-26'!F21</f>
        <v>16.5</v>
      </c>
      <c r="H21" s="625">
        <f>F21/E4</f>
        <v>2.8301886792452831E-2</v>
      </c>
      <c r="I21" s="388">
        <f t="shared" si="0"/>
        <v>118</v>
      </c>
      <c r="J21" s="393">
        <f>G21/F4</f>
        <v>2.5502318392581144E-2</v>
      </c>
      <c r="K21" s="388">
        <v>271400</v>
      </c>
      <c r="L21" s="623">
        <f t="shared" si="1"/>
        <v>814.2</v>
      </c>
      <c r="M21" s="623">
        <f t="shared" si="2"/>
        <v>4478.1000000000004</v>
      </c>
      <c r="N21" s="623">
        <f>L21/E4</f>
        <v>7.681132075471699</v>
      </c>
      <c r="O21" s="624">
        <f>M21/F4</f>
        <v>6.9213292117465226</v>
      </c>
    </row>
    <row r="22" spans="1:15">
      <c r="A22" s="620">
        <v>14</v>
      </c>
      <c r="B22" s="387" t="s">
        <v>45</v>
      </c>
      <c r="C22" s="388">
        <v>1744.8</v>
      </c>
      <c r="D22" s="389"/>
      <c r="E22" s="389"/>
      <c r="F22" s="621">
        <v>43.8</v>
      </c>
      <c r="G22" s="362">
        <f>'04-07-26'!G22+'05-7-26'!F22</f>
        <v>238.2</v>
      </c>
      <c r="H22" s="625">
        <f>F22/E4</f>
        <v>0.41320754716981128</v>
      </c>
      <c r="I22" s="389">
        <f t="shared" si="0"/>
        <v>1701</v>
      </c>
      <c r="J22" s="393">
        <f>G22/F4</f>
        <v>0.36816074188562598</v>
      </c>
      <c r="K22" s="388">
        <v>271400</v>
      </c>
      <c r="L22" s="623">
        <f t="shared" si="1"/>
        <v>11887.32</v>
      </c>
      <c r="M22" s="623">
        <f t="shared" si="2"/>
        <v>64647.479999999996</v>
      </c>
      <c r="N22" s="623">
        <f>L22/E4</f>
        <v>112.14452830188679</v>
      </c>
      <c r="O22" s="624">
        <f>M22/F4</f>
        <v>99.918825347758883</v>
      </c>
    </row>
    <row r="23" spans="1:15">
      <c r="A23" s="626">
        <v>15</v>
      </c>
      <c r="B23" s="397" t="s">
        <v>46</v>
      </c>
      <c r="C23" s="363">
        <v>100</v>
      </c>
      <c r="D23" s="399"/>
      <c r="E23" s="399"/>
      <c r="F23" s="627">
        <v>0</v>
      </c>
      <c r="G23" s="362">
        <f>'04-07-26'!G23+'05-7-26'!F23</f>
        <v>0</v>
      </c>
      <c r="H23" s="628">
        <f>F23/E4</f>
        <v>0</v>
      </c>
      <c r="I23" s="363">
        <f t="shared" si="0"/>
        <v>100</v>
      </c>
      <c r="J23" s="400">
        <f>G23/F4</f>
        <v>0</v>
      </c>
      <c r="K23" s="363">
        <v>41000</v>
      </c>
      <c r="L23" s="609">
        <f t="shared" si="1"/>
        <v>0</v>
      </c>
      <c r="M23" s="609">
        <f t="shared" si="2"/>
        <v>0</v>
      </c>
      <c r="N23" s="609">
        <f>L23/E4</f>
        <v>0</v>
      </c>
      <c r="O23" s="629">
        <f>M23/F4</f>
        <v>0</v>
      </c>
    </row>
    <row r="24" spans="1:15">
      <c r="A24" s="626">
        <v>16</v>
      </c>
      <c r="B24" s="397" t="s">
        <v>47</v>
      </c>
      <c r="C24" s="363">
        <v>367.6</v>
      </c>
      <c r="D24" s="399"/>
      <c r="E24" s="399"/>
      <c r="F24" s="627">
        <v>6</v>
      </c>
      <c r="G24" s="362">
        <f>'04-07-26'!G24+'05-7-26'!F24</f>
        <v>30</v>
      </c>
      <c r="H24" s="628">
        <f>F24/E4</f>
        <v>5.6603773584905662E-2</v>
      </c>
      <c r="I24" s="363">
        <f t="shared" si="0"/>
        <v>361.6</v>
      </c>
      <c r="J24" s="400">
        <f>G24/F4</f>
        <v>4.6367851622874809E-2</v>
      </c>
      <c r="K24" s="363">
        <v>24000</v>
      </c>
      <c r="L24" s="609">
        <f t="shared" si="1"/>
        <v>144</v>
      </c>
      <c r="M24" s="609">
        <f t="shared" si="2"/>
        <v>720</v>
      </c>
      <c r="N24" s="609">
        <f>L24/E4</f>
        <v>1.3584905660377358</v>
      </c>
      <c r="O24" s="629">
        <f>M24/F4</f>
        <v>1.1128284389489953</v>
      </c>
    </row>
    <row r="25" spans="1:15">
      <c r="A25" s="626">
        <v>17</v>
      </c>
      <c r="B25" s="397" t="s">
        <v>48</v>
      </c>
      <c r="C25" s="363">
        <v>380</v>
      </c>
      <c r="D25" s="399"/>
      <c r="E25" s="399"/>
      <c r="F25" s="627">
        <v>0</v>
      </c>
      <c r="G25" s="362">
        <f>'04-07-26'!G25+'05-7-26'!F25</f>
        <v>0</v>
      </c>
      <c r="H25" s="628">
        <f>F25/E4</f>
        <v>0</v>
      </c>
      <c r="I25" s="363">
        <f t="shared" si="0"/>
        <v>380</v>
      </c>
      <c r="J25" s="400">
        <f>G25/F4</f>
        <v>0</v>
      </c>
      <c r="K25" s="363">
        <v>13210</v>
      </c>
      <c r="L25" s="609">
        <f t="shared" si="1"/>
        <v>0</v>
      </c>
      <c r="M25" s="609">
        <f t="shared" si="2"/>
        <v>0</v>
      </c>
      <c r="N25" s="609">
        <f>L25/E4</f>
        <v>0</v>
      </c>
      <c r="O25" s="629">
        <f>M25/F4</f>
        <v>0</v>
      </c>
    </row>
    <row r="26" spans="1:15">
      <c r="A26" s="626">
        <v>18</v>
      </c>
      <c r="B26" s="397" t="s">
        <v>49</v>
      </c>
      <c r="C26" s="363">
        <v>210</v>
      </c>
      <c r="D26" s="399"/>
      <c r="E26" s="363"/>
      <c r="F26" s="627">
        <v>5</v>
      </c>
      <c r="G26" s="362">
        <f>'04-07-26'!G26+'05-7-26'!F26</f>
        <v>40</v>
      </c>
      <c r="H26" s="628">
        <f>F26/E4</f>
        <v>4.716981132075472E-2</v>
      </c>
      <c r="I26" s="363">
        <f t="shared" si="0"/>
        <v>205</v>
      </c>
      <c r="J26" s="400">
        <f>G26/F4</f>
        <v>6.1823802163833076E-2</v>
      </c>
      <c r="K26" s="363">
        <v>14400</v>
      </c>
      <c r="L26" s="609">
        <f t="shared" si="1"/>
        <v>72</v>
      </c>
      <c r="M26" s="609">
        <f t="shared" si="2"/>
        <v>576</v>
      </c>
      <c r="N26" s="609">
        <f>L26/E4</f>
        <v>0.67924528301886788</v>
      </c>
      <c r="O26" s="629">
        <f>M26/F4</f>
        <v>0.89026275115919629</v>
      </c>
    </row>
    <row r="27" spans="1:15">
      <c r="A27" s="626">
        <v>19</v>
      </c>
      <c r="B27" s="397" t="s">
        <v>50</v>
      </c>
      <c r="C27" s="363">
        <v>190.5</v>
      </c>
      <c r="D27" s="363"/>
      <c r="E27" s="399"/>
      <c r="F27" s="627">
        <v>3.5</v>
      </c>
      <c r="G27" s="362">
        <f>'04-07-26'!G27+'05-7-26'!F27</f>
        <v>18</v>
      </c>
      <c r="H27" s="628">
        <f>F27/E4</f>
        <v>3.3018867924528301E-2</v>
      </c>
      <c r="I27" s="363">
        <f t="shared" si="0"/>
        <v>187</v>
      </c>
      <c r="J27" s="400">
        <f>G27/F4</f>
        <v>2.7820710973724884E-2</v>
      </c>
      <c r="K27" s="363">
        <v>102000</v>
      </c>
      <c r="L27" s="609">
        <f t="shared" si="1"/>
        <v>357</v>
      </c>
      <c r="M27" s="609">
        <f t="shared" si="2"/>
        <v>1835.9999999999998</v>
      </c>
      <c r="N27" s="609">
        <f>L27/E4</f>
        <v>3.3679245283018866</v>
      </c>
      <c r="O27" s="629">
        <f>M27/F4</f>
        <v>2.837712519319938</v>
      </c>
    </row>
    <row r="28" spans="1:15">
      <c r="A28" s="626">
        <v>20</v>
      </c>
      <c r="B28" s="397" t="s">
        <v>51</v>
      </c>
      <c r="C28" s="363">
        <v>160</v>
      </c>
      <c r="D28" s="399"/>
      <c r="E28" s="399"/>
      <c r="F28" s="627">
        <v>5</v>
      </c>
      <c r="G28" s="362">
        <f>'04-07-26'!G28+'05-7-26'!F28</f>
        <v>25</v>
      </c>
      <c r="H28" s="628">
        <f>F28/E4</f>
        <v>4.716981132075472E-2</v>
      </c>
      <c r="I28" s="363">
        <f t="shared" si="0"/>
        <v>155</v>
      </c>
      <c r="J28" s="400">
        <f>G28/F4</f>
        <v>3.8639876352395672E-2</v>
      </c>
      <c r="K28" s="363">
        <v>107000</v>
      </c>
      <c r="L28" s="609">
        <f t="shared" si="1"/>
        <v>535</v>
      </c>
      <c r="M28" s="609">
        <f t="shared" si="2"/>
        <v>2675</v>
      </c>
      <c r="N28" s="609">
        <f>L28/E4</f>
        <v>5.0471698113207548</v>
      </c>
      <c r="O28" s="629">
        <f>M28/F4</f>
        <v>4.1344667697063366</v>
      </c>
    </row>
    <row r="29" spans="1:15">
      <c r="A29" s="626">
        <v>21</v>
      </c>
      <c r="B29" s="397" t="s">
        <v>52</v>
      </c>
      <c r="C29" s="363">
        <v>157</v>
      </c>
      <c r="D29" s="399"/>
      <c r="E29" s="399"/>
      <c r="F29" s="627">
        <v>3</v>
      </c>
      <c r="G29" s="362">
        <f>'04-07-26'!G29+'05-7-26'!F29</f>
        <v>15</v>
      </c>
      <c r="H29" s="628">
        <f>F29/E4</f>
        <v>2.8301886792452831E-2</v>
      </c>
      <c r="I29" s="363">
        <f t="shared" si="0"/>
        <v>154</v>
      </c>
      <c r="J29" s="400">
        <f>G29/F4</f>
        <v>2.3183925811437404E-2</v>
      </c>
      <c r="K29" s="363">
        <v>100000</v>
      </c>
      <c r="L29" s="609">
        <f t="shared" si="1"/>
        <v>300</v>
      </c>
      <c r="M29" s="609">
        <f t="shared" si="2"/>
        <v>1500</v>
      </c>
      <c r="N29" s="609">
        <f>L29/E4</f>
        <v>2.8301886792452828</v>
      </c>
      <c r="O29" s="630">
        <f>M29/F4</f>
        <v>2.3183925811437405</v>
      </c>
    </row>
    <row r="30" spans="1:15">
      <c r="A30" s="626">
        <v>22</v>
      </c>
      <c r="B30" s="397" t="s">
        <v>53</v>
      </c>
      <c r="C30" s="363">
        <v>60</v>
      </c>
      <c r="D30" s="399"/>
      <c r="E30" s="399"/>
      <c r="F30" s="627">
        <v>1</v>
      </c>
      <c r="G30" s="362">
        <f>'04-07-26'!G30+'05-7-26'!F30</f>
        <v>5</v>
      </c>
      <c r="H30" s="628">
        <f>F30/E4</f>
        <v>9.433962264150943E-3</v>
      </c>
      <c r="I30" s="363">
        <f t="shared" si="0"/>
        <v>59</v>
      </c>
      <c r="J30" s="400">
        <f>G30/F4</f>
        <v>7.7279752704791345E-3</v>
      </c>
      <c r="K30" s="363">
        <v>255000</v>
      </c>
      <c r="L30" s="609">
        <f t="shared" si="1"/>
        <v>255</v>
      </c>
      <c r="M30" s="609">
        <f t="shared" si="2"/>
        <v>1275</v>
      </c>
      <c r="N30" s="631">
        <f>L30/E4</f>
        <v>2.4056603773584904</v>
      </c>
      <c r="O30" s="632">
        <f>M30/F4</f>
        <v>1.9706336939721794</v>
      </c>
    </row>
    <row r="31" spans="1:15">
      <c r="A31" s="626">
        <v>23</v>
      </c>
      <c r="B31" s="397" t="s">
        <v>54</v>
      </c>
      <c r="C31" s="363">
        <v>480</v>
      </c>
      <c r="D31" s="399"/>
      <c r="E31" s="399"/>
      <c r="F31" s="627">
        <v>0</v>
      </c>
      <c r="G31" s="604">
        <f>'04-07-26'!G31+'05-7-26'!F31</f>
        <v>0</v>
      </c>
      <c r="H31" s="628">
        <f>F31/E4</f>
        <v>0</v>
      </c>
      <c r="I31" s="363">
        <f t="shared" si="0"/>
        <v>480</v>
      </c>
      <c r="J31" s="400">
        <f>G31/F4</f>
        <v>0</v>
      </c>
      <c r="K31" s="363">
        <v>56000</v>
      </c>
      <c r="L31" s="609">
        <f t="shared" si="1"/>
        <v>0</v>
      </c>
      <c r="M31" s="609">
        <f t="shared" si="2"/>
        <v>0</v>
      </c>
      <c r="N31" s="631">
        <f>M30/F4</f>
        <v>1.9706336939721794</v>
      </c>
      <c r="O31" s="749">
        <f>M31/F4</f>
        <v>0</v>
      </c>
    </row>
    <row r="32" spans="1:15">
      <c r="A32" s="633">
        <v>24</v>
      </c>
      <c r="B32" s="406" t="s">
        <v>55</v>
      </c>
      <c r="C32" s="604">
        <v>0</v>
      </c>
      <c r="D32" s="408"/>
      <c r="E32" s="408"/>
      <c r="F32" s="634">
        <v>0</v>
      </c>
      <c r="G32" s="759">
        <f>'04-07-26'!G32+'05-7-26'!F32</f>
        <v>0</v>
      </c>
      <c r="H32" s="635">
        <f>F32/E4</f>
        <v>0</v>
      </c>
      <c r="I32" s="411">
        <f t="shared" si="0"/>
        <v>0</v>
      </c>
      <c r="J32" s="410">
        <f>G32/F4</f>
        <v>0</v>
      </c>
      <c r="K32" s="411">
        <v>90000</v>
      </c>
      <c r="L32" s="636">
        <f t="shared" si="1"/>
        <v>0</v>
      </c>
      <c r="M32" s="636">
        <f t="shared" si="2"/>
        <v>0</v>
      </c>
      <c r="N32" s="629">
        <f>M31/F4</f>
        <v>0</v>
      </c>
      <c r="O32" s="750">
        <f>M32/F4</f>
        <v>0</v>
      </c>
    </row>
    <row r="33" spans="1:15">
      <c r="A33" s="415" t="s">
        <v>56</v>
      </c>
      <c r="B33" s="415" t="s">
        <v>57</v>
      </c>
      <c r="C33" s="416" t="s">
        <v>58</v>
      </c>
      <c r="D33" s="1312" t="s">
        <v>59</v>
      </c>
      <c r="E33" s="1316"/>
      <c r="F33" s="1316"/>
      <c r="G33" s="1289"/>
      <c r="H33" s="1290"/>
      <c r="I33" s="1290"/>
      <c r="J33" s="1290"/>
      <c r="K33" s="1290"/>
      <c r="L33" s="1291"/>
      <c r="M33" s="637" t="s">
        <v>60</v>
      </c>
      <c r="N33" s="638">
        <f>SUM(N9:N32)</f>
        <v>1097.506294071331</v>
      </c>
      <c r="O33" s="639">
        <f>SUM(O9:O32)</f>
        <v>1195.1268933539413</v>
      </c>
    </row>
    <row r="34" spans="1:15">
      <c r="A34" s="640">
        <v>1</v>
      </c>
      <c r="B34" s="421"/>
      <c r="C34" s="422"/>
      <c r="D34" s="1298"/>
      <c r="E34" s="1299"/>
      <c r="F34" s="553">
        <f>C34*E4/C41</f>
        <v>0</v>
      </c>
      <c r="G34" s="1292"/>
      <c r="H34" s="1293"/>
      <c r="I34" s="1293"/>
      <c r="J34" s="1293"/>
      <c r="K34" s="1293"/>
      <c r="L34" s="1294"/>
      <c r="M34" s="424"/>
      <c r="N34" s="641" t="s">
        <v>17</v>
      </c>
      <c r="O34" s="642" t="s">
        <v>17</v>
      </c>
    </row>
    <row r="35" spans="1:15">
      <c r="A35" s="640">
        <v>2</v>
      </c>
      <c r="B35" s="421"/>
      <c r="C35" s="427"/>
      <c r="D35" s="1300"/>
      <c r="E35" s="1301"/>
      <c r="F35" s="560">
        <f>C35*E4/C41</f>
        <v>0</v>
      </c>
      <c r="G35" s="1292"/>
      <c r="H35" s="1293"/>
      <c r="I35" s="1293"/>
      <c r="J35" s="1293"/>
      <c r="K35" s="1293"/>
      <c r="L35" s="1294"/>
      <c r="M35" s="429"/>
      <c r="N35" s="430" t="s">
        <v>25</v>
      </c>
      <c r="O35" s="643" t="s">
        <v>26</v>
      </c>
    </row>
    <row r="36" spans="1:15">
      <c r="A36" s="640">
        <v>3</v>
      </c>
      <c r="B36" s="421" t="s">
        <v>61</v>
      </c>
      <c r="C36" s="606">
        <v>13</v>
      </c>
      <c r="D36" s="1300"/>
      <c r="E36" s="1301"/>
      <c r="F36" s="560">
        <f>C36*E4/C41</f>
        <v>21.2</v>
      </c>
      <c r="G36" s="1292"/>
      <c r="H36" s="1293"/>
      <c r="I36" s="1293"/>
      <c r="J36" s="1293"/>
      <c r="K36" s="1293"/>
      <c r="L36" s="1294"/>
      <c r="M36" s="429"/>
      <c r="N36" s="430" t="s">
        <v>63</v>
      </c>
      <c r="O36" s="643" t="s">
        <v>63</v>
      </c>
    </row>
    <row r="37" spans="1:15">
      <c r="A37" s="640">
        <v>4</v>
      </c>
      <c r="B37" s="421" t="s">
        <v>73</v>
      </c>
      <c r="C37" s="432">
        <v>52</v>
      </c>
      <c r="D37" s="433"/>
      <c r="F37" s="565">
        <f>C37*E4/C41</f>
        <v>84.8</v>
      </c>
      <c r="G37" s="1295"/>
      <c r="H37" s="1296"/>
      <c r="I37" s="1296"/>
      <c r="J37" s="1296"/>
      <c r="K37" s="1296"/>
      <c r="L37" s="1297"/>
      <c r="M37" s="644" t="s">
        <v>60</v>
      </c>
      <c r="N37" s="645">
        <f>N33/1000</f>
        <v>1.0975062940713309</v>
      </c>
      <c r="O37" s="646">
        <f>O33/1000</f>
        <v>1.1951268933539414</v>
      </c>
    </row>
    <row r="38" spans="1:15">
      <c r="A38" s="640">
        <v>5</v>
      </c>
      <c r="B38" s="421"/>
      <c r="C38" s="647"/>
      <c r="D38" s="433"/>
      <c r="F38" s="746"/>
      <c r="H38" s="322"/>
      <c r="I38" s="322"/>
      <c r="J38" s="322"/>
      <c r="K38" s="322"/>
      <c r="L38" s="322"/>
      <c r="M38" s="648"/>
      <c r="N38" s="649"/>
      <c r="O38" s="650"/>
    </row>
    <row r="39" spans="1:15">
      <c r="A39" s="640">
        <v>6</v>
      </c>
      <c r="B39" s="421"/>
      <c r="C39" s="432"/>
      <c r="D39" s="433"/>
      <c r="F39" s="746"/>
      <c r="H39" s="322"/>
      <c r="I39" s="322"/>
      <c r="J39" s="322"/>
      <c r="K39" s="322"/>
      <c r="L39" s="322"/>
      <c r="M39" s="648"/>
      <c r="N39" s="649"/>
      <c r="O39" s="650"/>
    </row>
    <row r="40" spans="1:15">
      <c r="A40" s="651">
        <v>7</v>
      </c>
      <c r="B40" s="421"/>
      <c r="C40" s="432"/>
      <c r="D40" s="433"/>
      <c r="F40" s="746"/>
      <c r="H40" s="322"/>
      <c r="I40" s="322"/>
      <c r="J40" s="322"/>
      <c r="K40" s="322"/>
      <c r="L40" s="322"/>
      <c r="M40" s="648"/>
      <c r="N40" s="649"/>
      <c r="O40" s="650"/>
    </row>
    <row r="41" spans="1:15">
      <c r="A41" s="652">
        <v>4</v>
      </c>
      <c r="B41" s="653" t="s">
        <v>60</v>
      </c>
      <c r="C41" s="654">
        <f>SUM(C34,C35,C36,C37,C38,C39,C40)</f>
        <v>65</v>
      </c>
      <c r="D41" s="1286">
        <f>SUM(F34,F35,F36,F37,F38,F39,F40)</f>
        <v>106</v>
      </c>
      <c r="E41" s="1287"/>
      <c r="F41" s="1288"/>
      <c r="G41" s="610"/>
      <c r="H41" s="610"/>
      <c r="I41" s="610"/>
      <c r="J41" s="610"/>
      <c r="K41" s="610"/>
      <c r="L41" s="610"/>
      <c r="M41" s="610"/>
      <c r="N41" s="610"/>
      <c r="O41" s="655"/>
    </row>
    <row r="42" spans="1:15">
      <c r="A42" s="610"/>
      <c r="B42" s="610"/>
      <c r="C42" s="610"/>
      <c r="D42" s="610"/>
      <c r="E42" s="610"/>
      <c r="F42" s="610"/>
      <c r="G42" s="610"/>
      <c r="H42" s="610"/>
      <c r="I42" s="610"/>
      <c r="J42" s="610"/>
      <c r="K42" s="610"/>
      <c r="L42" s="610"/>
      <c r="M42" s="610"/>
      <c r="N42" s="610"/>
      <c r="O42" s="655"/>
    </row>
    <row r="43" spans="1:15">
      <c r="A43" s="610"/>
      <c r="B43" s="610"/>
      <c r="C43" s="610"/>
      <c r="D43" s="610"/>
      <c r="E43" s="610"/>
      <c r="F43" s="610"/>
      <c r="G43" s="610"/>
      <c r="H43" s="610"/>
      <c r="I43" s="610"/>
      <c r="J43" s="610"/>
      <c r="K43" s="610"/>
      <c r="L43" s="610"/>
      <c r="M43" s="610"/>
      <c r="N43" s="610"/>
      <c r="O43" s="655"/>
    </row>
    <row r="44" spans="1:15">
      <c r="A44" s="610"/>
      <c r="B44" s="610"/>
      <c r="C44" s="610"/>
      <c r="D44" s="610"/>
      <c r="E44" s="610"/>
      <c r="F44" s="610"/>
      <c r="G44" s="610"/>
      <c r="H44" s="610"/>
      <c r="I44" s="610"/>
      <c r="J44" s="610"/>
      <c r="K44" s="610"/>
      <c r="L44" s="610"/>
      <c r="M44" s="610"/>
      <c r="N44" s="610"/>
      <c r="O44" s="655"/>
    </row>
    <row r="45" spans="1:15">
      <c r="I45" s="610"/>
    </row>
    <row r="46" spans="1:15">
      <c r="I46" s="610"/>
    </row>
    <row r="47" spans="1:15">
      <c r="I47" s="610"/>
    </row>
    <row r="48" spans="1:15">
      <c r="I48" s="610"/>
    </row>
    <row r="49" spans="2:9">
      <c r="I49" s="610"/>
    </row>
    <row r="50" spans="2:9">
      <c r="I50" s="751"/>
    </row>
    <row r="51" spans="2:9">
      <c r="I51" s="752"/>
    </row>
    <row r="52" spans="2:9">
      <c r="I52" s="753"/>
    </row>
    <row r="53" spans="2:9">
      <c r="B53" s="754"/>
      <c r="I53" s="755"/>
    </row>
    <row r="54" spans="2:9">
      <c r="I54" s="756"/>
    </row>
    <row r="55" spans="2:9">
      <c r="I55" s="757"/>
    </row>
    <row r="56" spans="2:9">
      <c r="I56" s="757"/>
    </row>
    <row r="57" spans="2:9">
      <c r="I57" s="757"/>
    </row>
    <row r="58" spans="2:9">
      <c r="I58" s="757"/>
    </row>
    <row r="59" spans="2:9">
      <c r="I59" s="757"/>
    </row>
    <row r="60" spans="2:9">
      <c r="I60" s="757"/>
    </row>
    <row r="61" spans="2:9">
      <c r="I61" s="757"/>
    </row>
    <row r="62" spans="2:9">
      <c r="I62" s="757"/>
    </row>
    <row r="63" spans="2:9">
      <c r="I63" s="757"/>
    </row>
    <row r="64" spans="2:9">
      <c r="I64" s="757"/>
    </row>
  </sheetData>
  <mergeCells count="14">
    <mergeCell ref="D41:F41"/>
    <mergeCell ref="G33:L37"/>
    <mergeCell ref="D34:E36"/>
    <mergeCell ref="A1:O2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4"/>
  <sheetViews>
    <sheetView topLeftCell="A15" workbookViewId="0">
      <selection activeCell="E9" sqref="E9"/>
    </sheetView>
  </sheetViews>
  <sheetFormatPr defaultColWidth="10" defaultRowHeight="11.25"/>
  <cols>
    <col min="1" max="1" width="9.5703125" style="321" customWidth="1"/>
    <col min="2" max="2" width="27.7109375" style="321" customWidth="1"/>
    <col min="3" max="3" width="9.5703125" style="321" customWidth="1"/>
    <col min="4" max="4" width="6.42578125" style="321" customWidth="1"/>
    <col min="5" max="5" width="7.28515625" style="321" customWidth="1"/>
    <col min="6" max="6" width="6.42578125" style="321" customWidth="1"/>
    <col min="7" max="7" width="10.85546875" style="322" customWidth="1"/>
    <col min="8" max="8" width="12" style="321" customWidth="1"/>
    <col min="9" max="9" width="8.28515625" style="321" customWidth="1"/>
    <col min="10" max="10" width="12" style="321" customWidth="1"/>
    <col min="11" max="11" width="6.140625" style="747" customWidth="1"/>
    <col min="12" max="12" width="9.42578125" style="747" customWidth="1"/>
    <col min="13" max="13" width="8.28515625" style="747" customWidth="1"/>
    <col min="14" max="14" width="7.85546875" style="747" customWidth="1"/>
    <col min="15" max="15" width="7.85546875" style="748" customWidth="1"/>
    <col min="16" max="16384" width="10" style="321"/>
  </cols>
  <sheetData>
    <row r="1" spans="1:15">
      <c r="A1" s="1302" t="s">
        <v>0</v>
      </c>
      <c r="B1" s="1303"/>
      <c r="C1" s="1303"/>
      <c r="D1" s="1303"/>
      <c r="E1" s="1303"/>
      <c r="F1" s="1303"/>
      <c r="G1" s="1303"/>
      <c r="H1" s="1303"/>
      <c r="I1" s="1303"/>
      <c r="J1" s="1303"/>
      <c r="K1" s="1303"/>
      <c r="L1" s="1303"/>
      <c r="M1" s="1303"/>
      <c r="N1" s="1303"/>
      <c r="O1" s="1304"/>
    </row>
    <row r="2" spans="1:15">
      <c r="A2" s="1305"/>
      <c r="B2" s="1306"/>
      <c r="C2" s="1306"/>
      <c r="D2" s="1306"/>
      <c r="E2" s="1306"/>
      <c r="F2" s="1306"/>
      <c r="G2" s="1306"/>
      <c r="H2" s="1306"/>
      <c r="I2" s="1306"/>
      <c r="J2" s="1306"/>
      <c r="K2" s="1306"/>
      <c r="L2" s="1306"/>
      <c r="M2" s="1306"/>
      <c r="N2" s="1306"/>
      <c r="O2" s="1307"/>
    </row>
    <row r="3" spans="1:15" ht="12.75">
      <c r="A3" s="1317" t="s">
        <v>1</v>
      </c>
      <c r="B3" s="1318"/>
      <c r="C3" s="1318"/>
      <c r="D3" s="1318"/>
      <c r="E3" s="1318"/>
      <c r="F3" s="1318"/>
      <c r="G3" s="1318"/>
      <c r="H3" s="1318"/>
      <c r="I3" s="1318"/>
      <c r="J3" s="1318"/>
      <c r="K3" s="1318"/>
      <c r="L3" s="1318"/>
      <c r="M3" s="1318"/>
      <c r="N3" s="1318"/>
      <c r="O3" s="1319"/>
    </row>
    <row r="4" spans="1:15" ht="12.75">
      <c r="A4" s="1317" t="s">
        <v>2</v>
      </c>
      <c r="B4" s="1318"/>
      <c r="C4" s="1318"/>
      <c r="D4" s="1319"/>
      <c r="E4" s="325">
        <v>152</v>
      </c>
      <c r="F4" s="323">
        <v>799</v>
      </c>
      <c r="G4" s="745">
        <v>133.166</v>
      </c>
      <c r="H4" s="1320" t="s">
        <v>76</v>
      </c>
      <c r="I4" s="1321"/>
      <c r="J4" s="1321"/>
      <c r="K4" s="1321"/>
      <c r="L4" s="1321"/>
      <c r="M4" s="1321"/>
      <c r="N4" s="1321"/>
      <c r="O4" s="1322"/>
    </row>
    <row r="5" spans="1:15" ht="12">
      <c r="A5" s="1323" t="s">
        <v>5</v>
      </c>
      <c r="B5" s="1324"/>
      <c r="C5" s="1325" t="s">
        <v>6</v>
      </c>
      <c r="D5" s="1326"/>
      <c r="E5" s="327">
        <v>0</v>
      </c>
      <c r="F5" s="328">
        <v>0</v>
      </c>
      <c r="G5" s="449" t="s">
        <v>75</v>
      </c>
      <c r="H5" s="329"/>
      <c r="I5" s="329"/>
      <c r="J5" s="329"/>
      <c r="K5" s="330"/>
      <c r="L5" s="330"/>
      <c r="M5" s="330"/>
      <c r="N5" s="583"/>
      <c r="O5" s="584"/>
    </row>
    <row r="6" spans="1:15">
      <c r="A6" s="585" t="s">
        <v>8</v>
      </c>
      <c r="B6" s="334" t="s">
        <v>9</v>
      </c>
      <c r="C6" s="334" t="s">
        <v>10</v>
      </c>
      <c r="D6" s="1308" t="s">
        <v>11</v>
      </c>
      <c r="E6" s="1309"/>
      <c r="F6" s="1310" t="s">
        <v>12</v>
      </c>
      <c r="G6" s="1311"/>
      <c r="H6" s="335" t="s">
        <v>13</v>
      </c>
      <c r="I6" s="336" t="s">
        <v>9</v>
      </c>
      <c r="J6" s="337" t="s">
        <v>14</v>
      </c>
      <c r="K6" s="338" t="s">
        <v>15</v>
      </c>
      <c r="L6" s="1312" t="s">
        <v>16</v>
      </c>
      <c r="M6" s="1313"/>
      <c r="N6" s="1314" t="s">
        <v>17</v>
      </c>
      <c r="O6" s="1315"/>
    </row>
    <row r="7" spans="1:15">
      <c r="A7" s="585" t="s">
        <v>18</v>
      </c>
      <c r="B7" s="334" t="s">
        <v>19</v>
      </c>
      <c r="C7" s="334" t="s">
        <v>20</v>
      </c>
      <c r="D7" s="334" t="s">
        <v>21</v>
      </c>
      <c r="E7" s="339" t="s">
        <v>14</v>
      </c>
      <c r="F7" s="340" t="s">
        <v>21</v>
      </c>
      <c r="G7" s="340" t="s">
        <v>14</v>
      </c>
      <c r="H7" s="341" t="s">
        <v>22</v>
      </c>
      <c r="I7" s="342" t="s">
        <v>23</v>
      </c>
      <c r="J7" s="343" t="s">
        <v>22</v>
      </c>
      <c r="K7" s="344" t="s">
        <v>24</v>
      </c>
      <c r="L7" s="344" t="s">
        <v>25</v>
      </c>
      <c r="M7" s="342" t="s">
        <v>26</v>
      </c>
      <c r="N7" s="338" t="s">
        <v>25</v>
      </c>
      <c r="O7" s="586" t="s">
        <v>26</v>
      </c>
    </row>
    <row r="8" spans="1:15">
      <c r="A8" s="587"/>
      <c r="B8" s="334"/>
      <c r="C8" s="334" t="s">
        <v>27</v>
      </c>
      <c r="D8" s="334" t="s">
        <v>27</v>
      </c>
      <c r="E8" s="334" t="s">
        <v>27</v>
      </c>
      <c r="F8" s="347" t="s">
        <v>27</v>
      </c>
      <c r="G8" s="347" t="s">
        <v>27</v>
      </c>
      <c r="H8" s="341" t="s">
        <v>28</v>
      </c>
      <c r="I8" s="342" t="s">
        <v>27</v>
      </c>
      <c r="J8" s="343" t="s">
        <v>28</v>
      </c>
      <c r="K8" s="344" t="s">
        <v>29</v>
      </c>
      <c r="L8" s="344" t="s">
        <v>30</v>
      </c>
      <c r="M8" s="342" t="s">
        <v>30</v>
      </c>
      <c r="N8" s="344" t="s">
        <v>31</v>
      </c>
      <c r="O8" s="588" t="s">
        <v>31</v>
      </c>
    </row>
    <row r="9" spans="1:15">
      <c r="A9" s="589">
        <v>1</v>
      </c>
      <c r="B9" s="350" t="s">
        <v>32</v>
      </c>
      <c r="C9" s="351">
        <v>8950</v>
      </c>
      <c r="D9" s="352">
        <v>15000</v>
      </c>
      <c r="E9" s="351">
        <v>28000</v>
      </c>
      <c r="F9" s="590">
        <v>3400</v>
      </c>
      <c r="G9" s="362">
        <f>'05-7-26'!G9+'06-07-26'!F9</f>
        <v>20850</v>
      </c>
      <c r="H9" s="591">
        <f>F9/E4</f>
        <v>22.368421052631579</v>
      </c>
      <c r="I9" s="362">
        <f t="shared" ref="I9:I32" si="0">(C9-F9)+D9</f>
        <v>20550</v>
      </c>
      <c r="J9" s="355">
        <f>G9/F4</f>
        <v>26.09511889862328</v>
      </c>
      <c r="K9" s="353">
        <v>28500</v>
      </c>
      <c r="L9" s="592">
        <f t="shared" ref="L9:L32" si="1">(F9/1000)*K9</f>
        <v>96900</v>
      </c>
      <c r="M9" s="593">
        <f t="shared" ref="M9:M32" si="2">(G9/1000)*K9</f>
        <v>594225</v>
      </c>
      <c r="N9" s="594">
        <f>L9/E4</f>
        <v>637.5</v>
      </c>
      <c r="O9" s="595">
        <f>M9/F4</f>
        <v>743.7108886107635</v>
      </c>
    </row>
    <row r="10" spans="1:15">
      <c r="A10" s="596">
        <v>2</v>
      </c>
      <c r="B10" s="361" t="s">
        <v>33</v>
      </c>
      <c r="C10" s="362">
        <v>8079</v>
      </c>
      <c r="D10" s="363"/>
      <c r="E10" s="362"/>
      <c r="F10" s="597">
        <v>249</v>
      </c>
      <c r="G10" s="362">
        <f>'05-7-26'!G10+'06-07-26'!F10</f>
        <v>1170</v>
      </c>
      <c r="H10" s="598">
        <f>F10/E4</f>
        <v>1.638157894736842</v>
      </c>
      <c r="I10" s="362">
        <f t="shared" si="0"/>
        <v>7830</v>
      </c>
      <c r="J10" s="365">
        <f>G10/F4</f>
        <v>1.4643304130162704</v>
      </c>
      <c r="K10" s="366">
        <v>35500</v>
      </c>
      <c r="L10" s="599">
        <f t="shared" si="1"/>
        <v>8839.5</v>
      </c>
      <c r="M10" s="599">
        <f t="shared" si="2"/>
        <v>41535</v>
      </c>
      <c r="N10" s="600">
        <f>L10/E4</f>
        <v>58.154605263157897</v>
      </c>
      <c r="O10" s="601">
        <f>M10/F4</f>
        <v>51.9837296620776</v>
      </c>
    </row>
    <row r="11" spans="1:15">
      <c r="A11" s="596">
        <v>3</v>
      </c>
      <c r="B11" s="361" t="s">
        <v>34</v>
      </c>
      <c r="C11" s="362">
        <v>6545</v>
      </c>
      <c r="D11" s="363"/>
      <c r="E11" s="362"/>
      <c r="F11" s="597">
        <v>72</v>
      </c>
      <c r="G11" s="362">
        <f>'05-7-26'!G11+'06-07-26'!F11</f>
        <v>347</v>
      </c>
      <c r="H11" s="598">
        <f>F11/E4</f>
        <v>0.47368421052631576</v>
      </c>
      <c r="I11" s="362">
        <f t="shared" si="0"/>
        <v>6473</v>
      </c>
      <c r="J11" s="365">
        <f>G11/F4</f>
        <v>0.43429286608260326</v>
      </c>
      <c r="K11" s="366">
        <v>98000</v>
      </c>
      <c r="L11" s="599">
        <f t="shared" si="1"/>
        <v>7055.9999999999991</v>
      </c>
      <c r="M11" s="599">
        <f t="shared" si="2"/>
        <v>34006</v>
      </c>
      <c r="N11" s="600">
        <f>L11/E4</f>
        <v>46.421052631578938</v>
      </c>
      <c r="O11" s="601">
        <f>M11/F4</f>
        <v>42.560700876095119</v>
      </c>
    </row>
    <row r="12" spans="1:15">
      <c r="A12" s="596">
        <v>4</v>
      </c>
      <c r="B12" s="361" t="s">
        <v>35</v>
      </c>
      <c r="C12" s="362">
        <v>20.6</v>
      </c>
      <c r="D12" s="363"/>
      <c r="E12" s="362"/>
      <c r="F12" s="597">
        <v>0.08</v>
      </c>
      <c r="G12" s="362">
        <f>'05-7-26'!G12+'06-07-26'!F12</f>
        <v>0.48000000000000004</v>
      </c>
      <c r="H12" s="602">
        <f>F12/E4</f>
        <v>5.263157894736842E-4</v>
      </c>
      <c r="I12" s="362">
        <f t="shared" si="0"/>
        <v>20.520000000000003</v>
      </c>
      <c r="J12" s="371">
        <f>G12/F4</f>
        <v>6.0075093867334168E-4</v>
      </c>
      <c r="K12" s="366">
        <v>750000</v>
      </c>
      <c r="L12" s="599">
        <f t="shared" si="1"/>
        <v>60.000000000000007</v>
      </c>
      <c r="M12" s="599">
        <f t="shared" si="2"/>
        <v>360</v>
      </c>
      <c r="N12" s="600">
        <f>L12/E4</f>
        <v>0.39473684210526322</v>
      </c>
      <c r="O12" s="601">
        <f>M12/F4</f>
        <v>0.45056320400500627</v>
      </c>
    </row>
    <row r="13" spans="1:15">
      <c r="A13" s="596">
        <v>5</v>
      </c>
      <c r="B13" s="361" t="s">
        <v>36</v>
      </c>
      <c r="C13" s="362">
        <v>407</v>
      </c>
      <c r="D13" s="363"/>
      <c r="E13" s="362"/>
      <c r="F13" s="603">
        <v>23</v>
      </c>
      <c r="G13" s="362">
        <f>'05-7-26'!G13+'06-07-26'!F13</f>
        <v>116</v>
      </c>
      <c r="H13" s="598">
        <f>F13/E4</f>
        <v>0.15131578947368421</v>
      </c>
      <c r="I13" s="362">
        <f t="shared" si="0"/>
        <v>384</v>
      </c>
      <c r="J13" s="365">
        <f>G13/F4</f>
        <v>0.14518147684605756</v>
      </c>
      <c r="K13" s="366">
        <v>350000</v>
      </c>
      <c r="L13" s="599">
        <f t="shared" si="1"/>
        <v>8050</v>
      </c>
      <c r="M13" s="599">
        <f t="shared" si="2"/>
        <v>40600</v>
      </c>
      <c r="N13" s="600">
        <f>L13/E4</f>
        <v>52.960526315789473</v>
      </c>
      <c r="O13" s="601">
        <f>M13/F4</f>
        <v>50.813516896120149</v>
      </c>
    </row>
    <row r="14" spans="1:15">
      <c r="A14" s="596">
        <v>6</v>
      </c>
      <c r="B14" s="361" t="s">
        <v>37</v>
      </c>
      <c r="C14" s="362">
        <v>2160</v>
      </c>
      <c r="D14" s="363"/>
      <c r="E14" s="597"/>
      <c r="F14" s="362">
        <v>50</v>
      </c>
      <c r="G14" s="362">
        <f>'05-7-26'!G14+'06-07-26'!F14</f>
        <v>290</v>
      </c>
      <c r="H14" s="598">
        <f>F14/E4</f>
        <v>0.32894736842105265</v>
      </c>
      <c r="I14" s="362">
        <f t="shared" si="0"/>
        <v>2110</v>
      </c>
      <c r="J14" s="365">
        <f>G14/F4</f>
        <v>0.36295369211514394</v>
      </c>
      <c r="K14" s="366">
        <v>204500</v>
      </c>
      <c r="L14" s="599">
        <f t="shared" si="1"/>
        <v>10225</v>
      </c>
      <c r="M14" s="599">
        <f t="shared" si="2"/>
        <v>59304.999999999993</v>
      </c>
      <c r="N14" s="600">
        <f>L14/E4</f>
        <v>67.26973684210526</v>
      </c>
      <c r="O14" s="601">
        <f>M14/F4</f>
        <v>74.224030037546925</v>
      </c>
    </row>
    <row r="15" spans="1:15">
      <c r="A15" s="596">
        <v>7</v>
      </c>
      <c r="B15" s="361" t="s">
        <v>38</v>
      </c>
      <c r="C15" s="362">
        <v>1529</v>
      </c>
      <c r="D15" s="363"/>
      <c r="E15" s="604"/>
      <c r="F15" s="605">
        <v>54</v>
      </c>
      <c r="G15" s="362">
        <f>'05-7-26'!G15+'06-07-26'!F15</f>
        <v>275</v>
      </c>
      <c r="H15" s="598">
        <f>F15/E4</f>
        <v>0.35526315789473684</v>
      </c>
      <c r="I15" s="362">
        <f t="shared" si="0"/>
        <v>1475</v>
      </c>
      <c r="J15" s="365">
        <f>G15/F4</f>
        <v>0.34418022528160203</v>
      </c>
      <c r="K15" s="366">
        <v>129500</v>
      </c>
      <c r="L15" s="599">
        <f t="shared" si="1"/>
        <v>6993</v>
      </c>
      <c r="M15" s="599">
        <f t="shared" si="2"/>
        <v>35612.5</v>
      </c>
      <c r="N15" s="600">
        <f>L15/E4</f>
        <v>46.006578947368418</v>
      </c>
      <c r="O15" s="601">
        <f>M15/F4</f>
        <v>44.571339173967459</v>
      </c>
    </row>
    <row r="16" spans="1:15">
      <c r="A16" s="596">
        <v>8</v>
      </c>
      <c r="B16" s="361" t="s">
        <v>39</v>
      </c>
      <c r="C16" s="362">
        <v>905</v>
      </c>
      <c r="D16" s="597"/>
      <c r="E16" s="362"/>
      <c r="F16" s="606">
        <v>20</v>
      </c>
      <c r="G16" s="362">
        <f>'05-7-26'!G16+'06-07-26'!F16</f>
        <v>100</v>
      </c>
      <c r="H16" s="598">
        <f>F16/E4</f>
        <v>0.13157894736842105</v>
      </c>
      <c r="I16" s="362">
        <f t="shared" si="0"/>
        <v>885</v>
      </c>
      <c r="J16" s="365">
        <f>G16/F4</f>
        <v>0.12515644555694619</v>
      </c>
      <c r="K16" s="366">
        <v>219500</v>
      </c>
      <c r="L16" s="599">
        <f t="shared" si="1"/>
        <v>4390</v>
      </c>
      <c r="M16" s="599">
        <f t="shared" si="2"/>
        <v>21950</v>
      </c>
      <c r="N16" s="600">
        <f>L16/E4</f>
        <v>28.881578947368421</v>
      </c>
      <c r="O16" s="601">
        <f>M16/F4</f>
        <v>27.471839799749688</v>
      </c>
    </row>
    <row r="17" spans="1:15">
      <c r="A17" s="596">
        <v>9</v>
      </c>
      <c r="B17" s="361" t="s">
        <v>40</v>
      </c>
      <c r="C17" s="362">
        <v>21</v>
      </c>
      <c r="D17" s="363"/>
      <c r="E17" s="608"/>
      <c r="F17" s="597">
        <v>0</v>
      </c>
      <c r="G17" s="362">
        <f>'05-7-26'!G17+'06-07-26'!F17</f>
        <v>0</v>
      </c>
      <c r="H17" s="598">
        <f>F17/E4</f>
        <v>0</v>
      </c>
      <c r="I17" s="362">
        <f t="shared" si="0"/>
        <v>21</v>
      </c>
      <c r="J17" s="365">
        <f>G17/F4</f>
        <v>0</v>
      </c>
      <c r="K17" s="366">
        <v>348200</v>
      </c>
      <c r="L17" s="599">
        <f t="shared" si="1"/>
        <v>0</v>
      </c>
      <c r="M17" s="609">
        <f t="shared" si="2"/>
        <v>0</v>
      </c>
      <c r="N17" s="600">
        <f>L17/E4</f>
        <v>0</v>
      </c>
      <c r="O17" s="601">
        <f>M17/F4</f>
        <v>0</v>
      </c>
    </row>
    <row r="18" spans="1:15">
      <c r="A18" s="611">
        <v>10</v>
      </c>
      <c r="B18" s="374" t="s">
        <v>41</v>
      </c>
      <c r="C18" s="375">
        <v>3950</v>
      </c>
      <c r="D18" s="375"/>
      <c r="E18" s="375"/>
      <c r="F18" s="612">
        <v>0</v>
      </c>
      <c r="G18" s="362">
        <f>'05-7-26'!G18+'06-07-26'!F18</f>
        <v>0</v>
      </c>
      <c r="H18" s="613">
        <f>F18/E4</f>
        <v>0</v>
      </c>
      <c r="I18" s="375">
        <f t="shared" si="0"/>
        <v>3950</v>
      </c>
      <c r="J18" s="376">
        <f>G18/F4</f>
        <v>0</v>
      </c>
      <c r="K18" s="377">
        <v>172000</v>
      </c>
      <c r="L18" s="614">
        <f t="shared" si="1"/>
        <v>0</v>
      </c>
      <c r="M18" s="614">
        <f t="shared" si="2"/>
        <v>0</v>
      </c>
      <c r="N18" s="614">
        <f>L18/E4</f>
        <v>0</v>
      </c>
      <c r="O18" s="615">
        <f>M18/F4</f>
        <v>0</v>
      </c>
    </row>
    <row r="19" spans="1:15">
      <c r="A19" s="616">
        <v>11</v>
      </c>
      <c r="B19" s="381" t="s">
        <v>42</v>
      </c>
      <c r="C19" s="382">
        <v>48</v>
      </c>
      <c r="D19" s="382"/>
      <c r="E19" s="382"/>
      <c r="F19" s="617">
        <v>0</v>
      </c>
      <c r="G19" s="362">
        <f>'05-7-26'!G19+'06-07-26'!F19</f>
        <v>0</v>
      </c>
      <c r="H19" s="613">
        <f>F19/E4</f>
        <v>0</v>
      </c>
      <c r="I19" s="382">
        <f t="shared" si="0"/>
        <v>48</v>
      </c>
      <c r="J19" s="383">
        <f>G19/F4</f>
        <v>0</v>
      </c>
      <c r="K19" s="382">
        <v>200000</v>
      </c>
      <c r="L19" s="618">
        <f t="shared" si="1"/>
        <v>0</v>
      </c>
      <c r="M19" s="618">
        <f t="shared" si="2"/>
        <v>0</v>
      </c>
      <c r="N19" s="618">
        <f>L19/E4</f>
        <v>0</v>
      </c>
      <c r="O19" s="619">
        <f>M19/F4</f>
        <v>0</v>
      </c>
    </row>
    <row r="20" spans="1:15">
      <c r="A20" s="620">
        <v>12</v>
      </c>
      <c r="B20" s="387" t="s">
        <v>43</v>
      </c>
      <c r="C20" s="388">
        <v>135.5</v>
      </c>
      <c r="D20" s="389"/>
      <c r="E20" s="389"/>
      <c r="F20" s="621">
        <v>7.2</v>
      </c>
      <c r="G20" s="362">
        <f>'05-7-26'!G20+'06-07-26'!F20</f>
        <v>34.900000000000006</v>
      </c>
      <c r="H20" s="622">
        <f>F20/E4</f>
        <v>4.736842105263158E-2</v>
      </c>
      <c r="I20" s="392">
        <f t="shared" si="0"/>
        <v>128.30000000000001</v>
      </c>
      <c r="J20" s="393">
        <f>G20/F4</f>
        <v>4.3679599499374222E-2</v>
      </c>
      <c r="K20" s="388">
        <v>377600</v>
      </c>
      <c r="L20" s="623">
        <f t="shared" si="1"/>
        <v>2718.72</v>
      </c>
      <c r="M20" s="623">
        <f t="shared" si="2"/>
        <v>13178.240000000003</v>
      </c>
      <c r="N20" s="623">
        <f>L20/E4</f>
        <v>17.886315789473684</v>
      </c>
      <c r="O20" s="624">
        <f>M20/F4</f>
        <v>16.493416770963709</v>
      </c>
    </row>
    <row r="21" spans="1:15">
      <c r="A21" s="620">
        <v>13</v>
      </c>
      <c r="B21" s="387" t="s">
        <v>44</v>
      </c>
      <c r="C21" s="388">
        <v>118</v>
      </c>
      <c r="D21" s="389"/>
      <c r="E21" s="389"/>
      <c r="F21" s="621">
        <v>4.3</v>
      </c>
      <c r="G21" s="362">
        <f>'05-7-26'!G21+'06-07-26'!F21</f>
        <v>20.8</v>
      </c>
      <c r="H21" s="625">
        <f>F21/E4</f>
        <v>2.8289473684210524E-2</v>
      </c>
      <c r="I21" s="388">
        <f t="shared" si="0"/>
        <v>113.7</v>
      </c>
      <c r="J21" s="393">
        <f>G21/F4</f>
        <v>2.6032540675844807E-2</v>
      </c>
      <c r="K21" s="388">
        <v>271400</v>
      </c>
      <c r="L21" s="623">
        <f t="shared" si="1"/>
        <v>1167.02</v>
      </c>
      <c r="M21" s="623">
        <f t="shared" si="2"/>
        <v>5645.12</v>
      </c>
      <c r="N21" s="623">
        <f>L21/E4</f>
        <v>7.677763157894737</v>
      </c>
      <c r="O21" s="624">
        <f>M21/F4</f>
        <v>7.0652315394242802</v>
      </c>
    </row>
    <row r="22" spans="1:15">
      <c r="A22" s="620">
        <v>14</v>
      </c>
      <c r="B22" s="387" t="s">
        <v>45</v>
      </c>
      <c r="C22" s="388">
        <v>1701</v>
      </c>
      <c r="D22" s="389"/>
      <c r="E22" s="389"/>
      <c r="F22" s="621">
        <v>61.9</v>
      </c>
      <c r="G22" s="362">
        <f>'05-7-26'!G22+'06-07-26'!F22</f>
        <v>300.09999999999997</v>
      </c>
      <c r="H22" s="625">
        <f>F22/E4</f>
        <v>0.40723684210526317</v>
      </c>
      <c r="I22" s="389">
        <f t="shared" si="0"/>
        <v>1639.1</v>
      </c>
      <c r="J22" s="393">
        <f>G22/F4</f>
        <v>0.37559449311639548</v>
      </c>
      <c r="K22" s="388">
        <v>271400</v>
      </c>
      <c r="L22" s="623">
        <f t="shared" si="1"/>
        <v>16799.66</v>
      </c>
      <c r="M22" s="623">
        <f t="shared" si="2"/>
        <v>81447.14</v>
      </c>
      <c r="N22" s="623">
        <f>L22/E4</f>
        <v>110.52407894736842</v>
      </c>
      <c r="O22" s="624">
        <f>M22/F4</f>
        <v>101.93634543178973</v>
      </c>
    </row>
    <row r="23" spans="1:15">
      <c r="A23" s="626">
        <v>15</v>
      </c>
      <c r="B23" s="397" t="s">
        <v>46</v>
      </c>
      <c r="C23" s="363">
        <v>100</v>
      </c>
      <c r="D23" s="399"/>
      <c r="E23" s="399"/>
      <c r="F23" s="627">
        <v>0</v>
      </c>
      <c r="G23" s="362">
        <f>'05-7-26'!G23+'06-07-26'!F23</f>
        <v>0</v>
      </c>
      <c r="H23" s="628">
        <f>F23/E4</f>
        <v>0</v>
      </c>
      <c r="I23" s="363">
        <f t="shared" si="0"/>
        <v>100</v>
      </c>
      <c r="J23" s="400">
        <f>G23/F4</f>
        <v>0</v>
      </c>
      <c r="K23" s="363">
        <v>41000</v>
      </c>
      <c r="L23" s="609">
        <f t="shared" si="1"/>
        <v>0</v>
      </c>
      <c r="M23" s="609">
        <f t="shared" si="2"/>
        <v>0</v>
      </c>
      <c r="N23" s="609">
        <f>L23/E4</f>
        <v>0</v>
      </c>
      <c r="O23" s="629">
        <f>M23/F4</f>
        <v>0</v>
      </c>
    </row>
    <row r="24" spans="1:15">
      <c r="A24" s="626">
        <v>16</v>
      </c>
      <c r="B24" s="397" t="s">
        <v>47</v>
      </c>
      <c r="C24" s="363">
        <v>361.6</v>
      </c>
      <c r="D24" s="399"/>
      <c r="E24" s="399"/>
      <c r="F24" s="627">
        <v>6</v>
      </c>
      <c r="G24" s="362">
        <f>'05-7-26'!G24+'06-07-26'!F24</f>
        <v>36</v>
      </c>
      <c r="H24" s="628">
        <f>F24/E4</f>
        <v>3.9473684210526314E-2</v>
      </c>
      <c r="I24" s="363">
        <f t="shared" si="0"/>
        <v>355.6</v>
      </c>
      <c r="J24" s="400">
        <f>G24/F4</f>
        <v>4.5056320400500623E-2</v>
      </c>
      <c r="K24" s="363">
        <v>24000</v>
      </c>
      <c r="L24" s="609">
        <f t="shared" si="1"/>
        <v>144</v>
      </c>
      <c r="M24" s="609">
        <f t="shared" si="2"/>
        <v>863.99999999999989</v>
      </c>
      <c r="N24" s="609">
        <f>L24/E4</f>
        <v>0.94736842105263153</v>
      </c>
      <c r="O24" s="629">
        <f>M24/F4</f>
        <v>1.0813516896120148</v>
      </c>
    </row>
    <row r="25" spans="1:15">
      <c r="A25" s="626">
        <v>17</v>
      </c>
      <c r="B25" s="397" t="s">
        <v>48</v>
      </c>
      <c r="C25" s="363">
        <v>380</v>
      </c>
      <c r="D25" s="399"/>
      <c r="E25" s="399"/>
      <c r="F25" s="627">
        <v>0</v>
      </c>
      <c r="G25" s="362">
        <f>'05-7-26'!G25+'06-07-26'!F25</f>
        <v>0</v>
      </c>
      <c r="H25" s="628">
        <f>F25/E4</f>
        <v>0</v>
      </c>
      <c r="I25" s="363">
        <f t="shared" si="0"/>
        <v>380</v>
      </c>
      <c r="J25" s="400">
        <f>G25/F4</f>
        <v>0</v>
      </c>
      <c r="K25" s="363">
        <v>13210</v>
      </c>
      <c r="L25" s="609">
        <f t="shared" si="1"/>
        <v>0</v>
      </c>
      <c r="M25" s="609">
        <f t="shared" si="2"/>
        <v>0</v>
      </c>
      <c r="N25" s="609">
        <f>L25/E4</f>
        <v>0</v>
      </c>
      <c r="O25" s="629">
        <f>M25/F4</f>
        <v>0</v>
      </c>
    </row>
    <row r="26" spans="1:15">
      <c r="A26" s="626">
        <v>18</v>
      </c>
      <c r="B26" s="397" t="s">
        <v>49</v>
      </c>
      <c r="C26" s="363">
        <v>205</v>
      </c>
      <c r="D26" s="399"/>
      <c r="E26" s="363"/>
      <c r="F26" s="627">
        <v>5</v>
      </c>
      <c r="G26" s="362">
        <f>'05-7-26'!G26+'06-07-26'!F26</f>
        <v>45</v>
      </c>
      <c r="H26" s="628">
        <f>F26/E4</f>
        <v>3.2894736842105261E-2</v>
      </c>
      <c r="I26" s="363">
        <f t="shared" si="0"/>
        <v>200</v>
      </c>
      <c r="J26" s="400">
        <f>G26/F4</f>
        <v>5.6320400500625784E-2</v>
      </c>
      <c r="K26" s="363">
        <v>14400</v>
      </c>
      <c r="L26" s="609">
        <f t="shared" si="1"/>
        <v>72</v>
      </c>
      <c r="M26" s="609">
        <f t="shared" si="2"/>
        <v>648</v>
      </c>
      <c r="N26" s="609">
        <f>L26/E4</f>
        <v>0.47368421052631576</v>
      </c>
      <c r="O26" s="629">
        <f>M26/F4</f>
        <v>0.8110137672090113</v>
      </c>
    </row>
    <row r="27" spans="1:15">
      <c r="A27" s="626">
        <v>19</v>
      </c>
      <c r="B27" s="397" t="s">
        <v>50</v>
      </c>
      <c r="C27" s="363">
        <v>187</v>
      </c>
      <c r="D27" s="363"/>
      <c r="E27" s="399"/>
      <c r="F27" s="627">
        <v>3.5</v>
      </c>
      <c r="G27" s="362">
        <f>'05-7-26'!G27+'06-07-26'!F27</f>
        <v>21.5</v>
      </c>
      <c r="H27" s="628">
        <f>F27/E4</f>
        <v>2.3026315789473683E-2</v>
      </c>
      <c r="I27" s="363">
        <f t="shared" si="0"/>
        <v>183.5</v>
      </c>
      <c r="J27" s="400">
        <f>G27/F4</f>
        <v>2.6908635794743431E-2</v>
      </c>
      <c r="K27" s="363">
        <v>102000</v>
      </c>
      <c r="L27" s="609">
        <f t="shared" si="1"/>
        <v>357</v>
      </c>
      <c r="M27" s="609">
        <f t="shared" si="2"/>
        <v>2193</v>
      </c>
      <c r="N27" s="609">
        <f>L27/E4</f>
        <v>2.3486842105263159</v>
      </c>
      <c r="O27" s="629">
        <f>M27/F4</f>
        <v>2.7446808510638299</v>
      </c>
    </row>
    <row r="28" spans="1:15">
      <c r="A28" s="626">
        <v>20</v>
      </c>
      <c r="B28" s="397" t="s">
        <v>51</v>
      </c>
      <c r="C28" s="363">
        <v>155</v>
      </c>
      <c r="D28" s="399"/>
      <c r="E28" s="399"/>
      <c r="F28" s="627">
        <v>5</v>
      </c>
      <c r="G28" s="362">
        <f>'05-7-26'!G28+'06-07-26'!F28</f>
        <v>30</v>
      </c>
      <c r="H28" s="628">
        <f>F28/E4</f>
        <v>3.2894736842105261E-2</v>
      </c>
      <c r="I28" s="363">
        <f t="shared" si="0"/>
        <v>150</v>
      </c>
      <c r="J28" s="400">
        <f>G28/F4</f>
        <v>3.7546933667083858E-2</v>
      </c>
      <c r="K28" s="363">
        <v>107000</v>
      </c>
      <c r="L28" s="609">
        <f t="shared" si="1"/>
        <v>535</v>
      </c>
      <c r="M28" s="609">
        <f t="shared" si="2"/>
        <v>3210</v>
      </c>
      <c r="N28" s="609">
        <f>L28/E4</f>
        <v>3.5197368421052633</v>
      </c>
      <c r="O28" s="629">
        <f>M28/F4</f>
        <v>4.0175219023779727</v>
      </c>
    </row>
    <row r="29" spans="1:15">
      <c r="A29" s="626">
        <v>21</v>
      </c>
      <c r="B29" s="397" t="s">
        <v>52</v>
      </c>
      <c r="C29" s="363">
        <v>154</v>
      </c>
      <c r="D29" s="399"/>
      <c r="E29" s="399"/>
      <c r="F29" s="627">
        <v>3</v>
      </c>
      <c r="G29" s="362">
        <f>'05-7-26'!G29+'06-07-26'!F29</f>
        <v>18</v>
      </c>
      <c r="H29" s="628">
        <f>F29/E4</f>
        <v>1.9736842105263157E-2</v>
      </c>
      <c r="I29" s="363">
        <f t="shared" si="0"/>
        <v>151</v>
      </c>
      <c r="J29" s="400">
        <f>G29/F4</f>
        <v>2.2528160200250311E-2</v>
      </c>
      <c r="K29" s="363">
        <v>100000</v>
      </c>
      <c r="L29" s="609">
        <f t="shared" si="1"/>
        <v>300</v>
      </c>
      <c r="M29" s="609">
        <f t="shared" si="2"/>
        <v>1799.9999999999998</v>
      </c>
      <c r="N29" s="609">
        <f>L29/E4</f>
        <v>1.9736842105263157</v>
      </c>
      <c r="O29" s="630">
        <f>M29/F4</f>
        <v>2.2528160200250311</v>
      </c>
    </row>
    <row r="30" spans="1:15">
      <c r="A30" s="626">
        <v>22</v>
      </c>
      <c r="B30" s="397" t="s">
        <v>53</v>
      </c>
      <c r="C30" s="363">
        <v>59</v>
      </c>
      <c r="D30" s="399"/>
      <c r="E30" s="399"/>
      <c r="F30" s="627">
        <v>1</v>
      </c>
      <c r="G30" s="362">
        <f>'05-7-26'!G30+'06-07-26'!F30</f>
        <v>6</v>
      </c>
      <c r="H30" s="628">
        <f>F30/E4</f>
        <v>6.5789473684210523E-3</v>
      </c>
      <c r="I30" s="363">
        <f t="shared" si="0"/>
        <v>58</v>
      </c>
      <c r="J30" s="400">
        <f>G30/F4</f>
        <v>7.5093867334167707E-3</v>
      </c>
      <c r="K30" s="363">
        <v>255000</v>
      </c>
      <c r="L30" s="609">
        <f t="shared" si="1"/>
        <v>255</v>
      </c>
      <c r="M30" s="609">
        <f t="shared" si="2"/>
        <v>1530</v>
      </c>
      <c r="N30" s="631">
        <f>L30/E4</f>
        <v>1.6776315789473684</v>
      </c>
      <c r="O30" s="632">
        <f>M30/F4</f>
        <v>1.9148936170212767</v>
      </c>
    </row>
    <row r="31" spans="1:15">
      <c r="A31" s="626">
        <v>23</v>
      </c>
      <c r="B31" s="397" t="s">
        <v>54</v>
      </c>
      <c r="C31" s="363">
        <v>480</v>
      </c>
      <c r="D31" s="399"/>
      <c r="E31" s="399"/>
      <c r="F31" s="627">
        <v>0</v>
      </c>
      <c r="G31" s="362">
        <f>'05-7-26'!G31+'06-07-26'!F31</f>
        <v>0</v>
      </c>
      <c r="H31" s="628">
        <f>F31/E4</f>
        <v>0</v>
      </c>
      <c r="I31" s="363">
        <f t="shared" si="0"/>
        <v>480</v>
      </c>
      <c r="J31" s="400">
        <f>G31/F4</f>
        <v>0</v>
      </c>
      <c r="K31" s="363">
        <v>56000</v>
      </c>
      <c r="L31" s="609">
        <f t="shared" si="1"/>
        <v>0</v>
      </c>
      <c r="M31" s="609">
        <f t="shared" si="2"/>
        <v>0</v>
      </c>
      <c r="N31" s="631">
        <f>M30/F4</f>
        <v>1.9148936170212767</v>
      </c>
      <c r="O31" s="749">
        <f>M31/F4</f>
        <v>0</v>
      </c>
    </row>
    <row r="32" spans="1:15">
      <c r="A32" s="633">
        <v>24</v>
      </c>
      <c r="B32" s="406" t="s">
        <v>55</v>
      </c>
      <c r="C32" s="604">
        <v>0</v>
      </c>
      <c r="D32" s="408"/>
      <c r="E32" s="408"/>
      <c r="F32" s="634">
        <v>0</v>
      </c>
      <c r="G32" s="362">
        <f>'05-7-26'!G32+'06-07-26'!F32</f>
        <v>0</v>
      </c>
      <c r="H32" s="635">
        <f>F32/E4</f>
        <v>0</v>
      </c>
      <c r="I32" s="411">
        <f t="shared" si="0"/>
        <v>0</v>
      </c>
      <c r="J32" s="410">
        <f>G32/F4</f>
        <v>0</v>
      </c>
      <c r="K32" s="411">
        <v>90000</v>
      </c>
      <c r="L32" s="636">
        <f t="shared" si="1"/>
        <v>0</v>
      </c>
      <c r="M32" s="636">
        <f t="shared" si="2"/>
        <v>0</v>
      </c>
      <c r="N32" s="629">
        <f>M31/F4</f>
        <v>0</v>
      </c>
      <c r="O32" s="750">
        <f>M32/F4</f>
        <v>0</v>
      </c>
    </row>
    <row r="33" spans="1:15">
      <c r="A33" s="415" t="s">
        <v>56</v>
      </c>
      <c r="B33" s="415" t="s">
        <v>57</v>
      </c>
      <c r="C33" s="416" t="s">
        <v>58</v>
      </c>
      <c r="D33" s="1312" t="s">
        <v>59</v>
      </c>
      <c r="E33" s="1316"/>
      <c r="F33" s="1316"/>
      <c r="G33" s="1289"/>
      <c r="H33" s="1290"/>
      <c r="I33" s="1290"/>
      <c r="J33" s="1290"/>
      <c r="K33" s="1290"/>
      <c r="L33" s="1291"/>
      <c r="M33" s="637" t="s">
        <v>60</v>
      </c>
      <c r="N33" s="638">
        <f>SUM(N9:N32)</f>
        <v>1086.5326567749159</v>
      </c>
      <c r="O33" s="639">
        <f>SUM(O9:O32)</f>
        <v>1174.1038798498123</v>
      </c>
    </row>
    <row r="34" spans="1:15">
      <c r="A34" s="640">
        <v>1</v>
      </c>
      <c r="B34" s="421"/>
      <c r="C34" s="422"/>
      <c r="D34" s="1298"/>
      <c r="E34" s="1299"/>
      <c r="F34" s="553">
        <f>C34*E4/C41</f>
        <v>0</v>
      </c>
      <c r="G34" s="1292"/>
      <c r="H34" s="1293"/>
      <c r="I34" s="1293"/>
      <c r="J34" s="1293"/>
      <c r="K34" s="1293"/>
      <c r="L34" s="1294"/>
      <c r="M34" s="424"/>
      <c r="N34" s="641" t="s">
        <v>17</v>
      </c>
      <c r="O34" s="642" t="s">
        <v>17</v>
      </c>
    </row>
    <row r="35" spans="1:15">
      <c r="A35" s="640">
        <v>2</v>
      </c>
      <c r="B35" s="421"/>
      <c r="C35" s="427"/>
      <c r="D35" s="1300"/>
      <c r="E35" s="1301"/>
      <c r="F35" s="560">
        <f>C35*E4/C41</f>
        <v>0</v>
      </c>
      <c r="G35" s="1292"/>
      <c r="H35" s="1293"/>
      <c r="I35" s="1293"/>
      <c r="J35" s="1293"/>
      <c r="K35" s="1293"/>
      <c r="L35" s="1294"/>
      <c r="M35" s="429"/>
      <c r="N35" s="430" t="s">
        <v>25</v>
      </c>
      <c r="O35" s="643" t="s">
        <v>26</v>
      </c>
    </row>
    <row r="36" spans="1:15">
      <c r="A36" s="640">
        <v>3</v>
      </c>
      <c r="B36" s="421"/>
      <c r="C36" s="606">
        <v>0</v>
      </c>
      <c r="D36" s="1300"/>
      <c r="E36" s="1301"/>
      <c r="F36" s="560">
        <f>C36*E4/C41</f>
        <v>0</v>
      </c>
      <c r="G36" s="1292"/>
      <c r="H36" s="1293"/>
      <c r="I36" s="1293"/>
      <c r="J36" s="1293"/>
      <c r="K36" s="1293"/>
      <c r="L36" s="1294"/>
      <c r="M36" s="429"/>
      <c r="N36" s="430" t="s">
        <v>63</v>
      </c>
      <c r="O36" s="643" t="s">
        <v>63</v>
      </c>
    </row>
    <row r="37" spans="1:15">
      <c r="A37" s="640">
        <v>4</v>
      </c>
      <c r="B37" s="421" t="s">
        <v>73</v>
      </c>
      <c r="C37" s="432">
        <v>91</v>
      </c>
      <c r="D37" s="433"/>
      <c r="F37" s="565">
        <f>C37*E4/C41</f>
        <v>152</v>
      </c>
      <c r="G37" s="1295"/>
      <c r="H37" s="1296"/>
      <c r="I37" s="1296"/>
      <c r="J37" s="1296"/>
      <c r="K37" s="1296"/>
      <c r="L37" s="1297"/>
      <c r="M37" s="644" t="s">
        <v>60</v>
      </c>
      <c r="N37" s="645">
        <f>N33/1000</f>
        <v>1.0865326567749158</v>
      </c>
      <c r="O37" s="646">
        <f>O33/1000</f>
        <v>1.1741038798498122</v>
      </c>
    </row>
    <row r="38" spans="1:15">
      <c r="A38" s="640">
        <v>5</v>
      </c>
      <c r="B38" s="421"/>
      <c r="C38" s="647"/>
      <c r="D38" s="433"/>
      <c r="F38" s="746"/>
      <c r="H38" s="322"/>
      <c r="I38" s="322"/>
      <c r="J38" s="322"/>
      <c r="K38" s="322"/>
      <c r="L38" s="322"/>
      <c r="M38" s="648"/>
      <c r="N38" s="649"/>
      <c r="O38" s="650"/>
    </row>
    <row r="39" spans="1:15">
      <c r="A39" s="640">
        <v>6</v>
      </c>
      <c r="B39" s="421"/>
      <c r="C39" s="432"/>
      <c r="D39" s="433"/>
      <c r="F39" s="746"/>
      <c r="H39" s="322"/>
      <c r="I39" s="322"/>
      <c r="J39" s="322"/>
      <c r="K39" s="322"/>
      <c r="L39" s="322"/>
      <c r="M39" s="648"/>
      <c r="N39" s="649"/>
      <c r="O39" s="650"/>
    </row>
    <row r="40" spans="1:15">
      <c r="A40" s="651">
        <v>7</v>
      </c>
      <c r="B40" s="421"/>
      <c r="C40" s="432"/>
      <c r="D40" s="433"/>
      <c r="F40" s="746"/>
      <c r="H40" s="322"/>
      <c r="I40" s="322"/>
      <c r="J40" s="322"/>
      <c r="K40" s="322"/>
      <c r="L40" s="322"/>
      <c r="M40" s="648"/>
      <c r="N40" s="649"/>
      <c r="O40" s="650"/>
    </row>
    <row r="41" spans="1:15">
      <c r="A41" s="652">
        <v>4</v>
      </c>
      <c r="B41" s="653" t="s">
        <v>60</v>
      </c>
      <c r="C41" s="654">
        <f>SUM(C34,C35,C36,C37,C38,C39,C40)</f>
        <v>91</v>
      </c>
      <c r="D41" s="1286">
        <f>SUM(F34,F35,F36,F37,F38,F39,F40)</f>
        <v>152</v>
      </c>
      <c r="E41" s="1287"/>
      <c r="F41" s="1288"/>
      <c r="G41" s="610"/>
      <c r="H41" s="610"/>
      <c r="I41" s="610"/>
      <c r="J41" s="610"/>
      <c r="K41" s="610"/>
      <c r="L41" s="610"/>
      <c r="M41" s="610"/>
      <c r="N41" s="610"/>
      <c r="O41" s="655"/>
    </row>
    <row r="42" spans="1:15">
      <c r="A42" s="610"/>
      <c r="B42" s="610"/>
      <c r="C42" s="610"/>
      <c r="D42" s="610"/>
      <c r="E42" s="610"/>
      <c r="F42" s="610"/>
      <c r="G42" s="610"/>
      <c r="H42" s="610"/>
      <c r="I42" s="610"/>
      <c r="J42" s="610"/>
      <c r="K42" s="610"/>
      <c r="L42" s="610"/>
      <c r="M42" s="610"/>
      <c r="N42" s="610"/>
      <c r="O42" s="655"/>
    </row>
    <row r="43" spans="1:15">
      <c r="A43" s="610"/>
      <c r="B43" s="610"/>
      <c r="C43" s="610"/>
      <c r="D43" s="610"/>
      <c r="E43" s="610"/>
      <c r="F43" s="610"/>
      <c r="G43" s="610"/>
      <c r="H43" s="610"/>
      <c r="I43" s="610"/>
      <c r="J43" s="610"/>
      <c r="K43" s="610"/>
      <c r="L43" s="610"/>
      <c r="M43" s="610"/>
      <c r="N43" s="610"/>
      <c r="O43" s="655"/>
    </row>
    <row r="44" spans="1:15">
      <c r="A44" s="610"/>
      <c r="B44" s="610"/>
      <c r="C44" s="610"/>
      <c r="D44" s="610"/>
      <c r="E44" s="610"/>
      <c r="F44" s="610"/>
      <c r="G44" s="610"/>
      <c r="H44" s="610"/>
      <c r="I44" s="610"/>
      <c r="J44" s="610"/>
      <c r="K44" s="610"/>
      <c r="L44" s="610"/>
      <c r="M44" s="610"/>
      <c r="N44" s="610"/>
      <c r="O44" s="655"/>
    </row>
    <row r="45" spans="1:15">
      <c r="I45" s="610"/>
    </row>
    <row r="46" spans="1:15">
      <c r="I46" s="610"/>
    </row>
    <row r="47" spans="1:15">
      <c r="I47" s="610"/>
    </row>
    <row r="48" spans="1:15">
      <c r="I48" s="610"/>
    </row>
    <row r="49" spans="2:9">
      <c r="I49" s="610"/>
    </row>
    <row r="50" spans="2:9">
      <c r="I50" s="751"/>
    </row>
    <row r="51" spans="2:9">
      <c r="I51" s="752"/>
    </row>
    <row r="52" spans="2:9">
      <c r="I52" s="753"/>
    </row>
    <row r="53" spans="2:9">
      <c r="B53" s="754"/>
      <c r="I53" s="755"/>
    </row>
    <row r="54" spans="2:9">
      <c r="I54" s="756"/>
    </row>
    <row r="55" spans="2:9">
      <c r="I55" s="757"/>
    </row>
    <row r="56" spans="2:9">
      <c r="I56" s="757"/>
    </row>
    <row r="57" spans="2:9">
      <c r="I57" s="757"/>
    </row>
    <row r="58" spans="2:9">
      <c r="I58" s="757"/>
    </row>
    <row r="59" spans="2:9">
      <c r="I59" s="757"/>
    </row>
    <row r="60" spans="2:9">
      <c r="I60" s="757"/>
    </row>
    <row r="61" spans="2:9">
      <c r="I61" s="757"/>
    </row>
    <row r="62" spans="2:9">
      <c r="I62" s="757"/>
    </row>
    <row r="63" spans="2:9">
      <c r="I63" s="757"/>
    </row>
    <row r="64" spans="2:9">
      <c r="I64" s="757"/>
    </row>
  </sheetData>
  <mergeCells count="14">
    <mergeCell ref="D41:F41"/>
    <mergeCell ref="G33:L37"/>
    <mergeCell ref="D34:E36"/>
    <mergeCell ref="A1:O2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4"/>
  <sheetViews>
    <sheetView topLeftCell="A12" workbookViewId="0">
      <selection activeCell="E9" sqref="E9"/>
    </sheetView>
  </sheetViews>
  <sheetFormatPr defaultColWidth="10" defaultRowHeight="11.25"/>
  <cols>
    <col min="1" max="1" width="9.5703125" style="321" customWidth="1"/>
    <col min="2" max="2" width="27.7109375" style="321" customWidth="1"/>
    <col min="3" max="3" width="9.5703125" style="321" customWidth="1"/>
    <col min="4" max="4" width="6.42578125" style="321" customWidth="1"/>
    <col min="5" max="5" width="7.28515625" style="321" customWidth="1"/>
    <col min="6" max="6" width="6.42578125" style="321" customWidth="1"/>
    <col min="7" max="7" width="10.85546875" style="322" customWidth="1"/>
    <col min="8" max="8" width="12" style="321" customWidth="1"/>
    <col min="9" max="9" width="8.28515625" style="321" customWidth="1"/>
    <col min="10" max="10" width="12" style="321" customWidth="1"/>
    <col min="11" max="11" width="6.140625" style="747" customWidth="1"/>
    <col min="12" max="12" width="9.42578125" style="747" customWidth="1"/>
    <col min="13" max="13" width="8.28515625" style="747" customWidth="1"/>
    <col min="14" max="14" width="7.85546875" style="747" customWidth="1"/>
    <col min="15" max="15" width="7.85546875" style="748" customWidth="1"/>
    <col min="16" max="16384" width="10" style="321"/>
  </cols>
  <sheetData>
    <row r="1" spans="1:15">
      <c r="A1" s="1302" t="s">
        <v>0</v>
      </c>
      <c r="B1" s="1303"/>
      <c r="C1" s="1303"/>
      <c r="D1" s="1303"/>
      <c r="E1" s="1303"/>
      <c r="F1" s="1303"/>
      <c r="G1" s="1303"/>
      <c r="H1" s="1303"/>
      <c r="I1" s="1303"/>
      <c r="J1" s="1303"/>
      <c r="K1" s="1303"/>
      <c r="L1" s="1303"/>
      <c r="M1" s="1303"/>
      <c r="N1" s="1303"/>
      <c r="O1" s="1304"/>
    </row>
    <row r="2" spans="1:15">
      <c r="A2" s="1305"/>
      <c r="B2" s="1306"/>
      <c r="C2" s="1306"/>
      <c r="D2" s="1306"/>
      <c r="E2" s="1306"/>
      <c r="F2" s="1306"/>
      <c r="G2" s="1306"/>
      <c r="H2" s="1306"/>
      <c r="I2" s="1306"/>
      <c r="J2" s="1306"/>
      <c r="K2" s="1306"/>
      <c r="L2" s="1306"/>
      <c r="M2" s="1306"/>
      <c r="N2" s="1306"/>
      <c r="O2" s="1307"/>
    </row>
    <row r="3" spans="1:15" ht="12.75">
      <c r="A3" s="1317" t="s">
        <v>1</v>
      </c>
      <c r="B3" s="1318"/>
      <c r="C3" s="1318"/>
      <c r="D3" s="1318"/>
      <c r="E3" s="1318"/>
      <c r="F3" s="1318"/>
      <c r="G3" s="1318"/>
      <c r="H3" s="1318"/>
      <c r="I3" s="1318"/>
      <c r="J3" s="1318"/>
      <c r="K3" s="1318"/>
      <c r="L3" s="1318"/>
      <c r="M3" s="1318"/>
      <c r="N3" s="1318"/>
      <c r="O3" s="1319"/>
    </row>
    <row r="4" spans="1:15" ht="12.75">
      <c r="A4" s="1317" t="s">
        <v>2</v>
      </c>
      <c r="B4" s="1318"/>
      <c r="C4" s="1318"/>
      <c r="D4" s="1319"/>
      <c r="E4" s="325">
        <v>52</v>
      </c>
      <c r="F4" s="323">
        <v>851</v>
      </c>
      <c r="G4" s="745">
        <v>121.571</v>
      </c>
      <c r="H4" s="1320" t="s">
        <v>77</v>
      </c>
      <c r="I4" s="1321"/>
      <c r="J4" s="1321"/>
      <c r="K4" s="1321"/>
      <c r="L4" s="1321"/>
      <c r="M4" s="1321"/>
      <c r="N4" s="1321"/>
      <c r="O4" s="1322"/>
    </row>
    <row r="5" spans="1:15" ht="12">
      <c r="A5" s="1323" t="s">
        <v>5</v>
      </c>
      <c r="B5" s="1324"/>
      <c r="C5" s="1325" t="s">
        <v>6</v>
      </c>
      <c r="D5" s="1326"/>
      <c r="E5" s="327">
        <v>0</v>
      </c>
      <c r="F5" s="328">
        <v>0</v>
      </c>
      <c r="G5" s="449" t="s">
        <v>75</v>
      </c>
      <c r="H5" s="329"/>
      <c r="I5" s="329"/>
      <c r="J5" s="329"/>
      <c r="K5" s="330"/>
      <c r="L5" s="330"/>
      <c r="M5" s="330"/>
      <c r="N5" s="583"/>
      <c r="O5" s="584"/>
    </row>
    <row r="6" spans="1:15">
      <c r="A6" s="585" t="s">
        <v>8</v>
      </c>
      <c r="B6" s="334" t="s">
        <v>9</v>
      </c>
      <c r="C6" s="334" t="s">
        <v>10</v>
      </c>
      <c r="D6" s="1308" t="s">
        <v>11</v>
      </c>
      <c r="E6" s="1309"/>
      <c r="F6" s="1310" t="s">
        <v>12</v>
      </c>
      <c r="G6" s="1311"/>
      <c r="H6" s="335" t="s">
        <v>13</v>
      </c>
      <c r="I6" s="336" t="s">
        <v>9</v>
      </c>
      <c r="J6" s="337" t="s">
        <v>14</v>
      </c>
      <c r="K6" s="338" t="s">
        <v>15</v>
      </c>
      <c r="L6" s="1312" t="s">
        <v>16</v>
      </c>
      <c r="M6" s="1313"/>
      <c r="N6" s="1314" t="s">
        <v>17</v>
      </c>
      <c r="O6" s="1315"/>
    </row>
    <row r="7" spans="1:15">
      <c r="A7" s="585" t="s">
        <v>18</v>
      </c>
      <c r="B7" s="334" t="s">
        <v>19</v>
      </c>
      <c r="C7" s="334" t="s">
        <v>20</v>
      </c>
      <c r="D7" s="334" t="s">
        <v>21</v>
      </c>
      <c r="E7" s="339" t="s">
        <v>14</v>
      </c>
      <c r="F7" s="340" t="s">
        <v>21</v>
      </c>
      <c r="G7" s="340" t="s">
        <v>14</v>
      </c>
      <c r="H7" s="341" t="s">
        <v>22</v>
      </c>
      <c r="I7" s="342" t="s">
        <v>23</v>
      </c>
      <c r="J7" s="343" t="s">
        <v>22</v>
      </c>
      <c r="K7" s="344" t="s">
        <v>24</v>
      </c>
      <c r="L7" s="344" t="s">
        <v>25</v>
      </c>
      <c r="M7" s="342" t="s">
        <v>26</v>
      </c>
      <c r="N7" s="338" t="s">
        <v>25</v>
      </c>
      <c r="O7" s="586" t="s">
        <v>26</v>
      </c>
    </row>
    <row r="8" spans="1:15">
      <c r="A8" s="587"/>
      <c r="B8" s="334"/>
      <c r="C8" s="334" t="s">
        <v>27</v>
      </c>
      <c r="D8" s="334" t="s">
        <v>27</v>
      </c>
      <c r="E8" s="334" t="s">
        <v>27</v>
      </c>
      <c r="F8" s="347" t="s">
        <v>27</v>
      </c>
      <c r="G8" s="347" t="s">
        <v>27</v>
      </c>
      <c r="H8" s="341" t="s">
        <v>28</v>
      </c>
      <c r="I8" s="342" t="s">
        <v>27</v>
      </c>
      <c r="J8" s="343" t="s">
        <v>28</v>
      </c>
      <c r="K8" s="344" t="s">
        <v>29</v>
      </c>
      <c r="L8" s="344" t="s">
        <v>30</v>
      </c>
      <c r="M8" s="342" t="s">
        <v>30</v>
      </c>
      <c r="N8" s="344" t="s">
        <v>31</v>
      </c>
      <c r="O8" s="588" t="s">
        <v>31</v>
      </c>
    </row>
    <row r="9" spans="1:15">
      <c r="A9" s="589">
        <v>1</v>
      </c>
      <c r="B9" s="350" t="s">
        <v>32</v>
      </c>
      <c r="C9" s="351">
        <v>20550</v>
      </c>
      <c r="D9" s="352">
        <v>0</v>
      </c>
      <c r="E9" s="351">
        <v>28000</v>
      </c>
      <c r="F9" s="590">
        <v>1150</v>
      </c>
      <c r="G9" s="362">
        <f>'06-07-26'!G9+'07-07-26'!F9</f>
        <v>22000</v>
      </c>
      <c r="H9" s="591">
        <f>F9/E4</f>
        <v>22.115384615384617</v>
      </c>
      <c r="I9" s="362">
        <f t="shared" ref="I9:I32" si="0">(C9-F9)+D9</f>
        <v>19400</v>
      </c>
      <c r="J9" s="355">
        <f>G9/F4</f>
        <v>25.851938895417156</v>
      </c>
      <c r="K9" s="353">
        <v>28500</v>
      </c>
      <c r="L9" s="592">
        <f t="shared" ref="L9:L32" si="1">(F9/1000)*K9</f>
        <v>32775</v>
      </c>
      <c r="M9" s="593">
        <f t="shared" ref="M9:M32" si="2">(G9/1000)*K9</f>
        <v>627000</v>
      </c>
      <c r="N9" s="594">
        <f>L9/E4</f>
        <v>630.28846153846155</v>
      </c>
      <c r="O9" s="595">
        <f>M9/F4</f>
        <v>736.78025851938901</v>
      </c>
    </row>
    <row r="10" spans="1:15">
      <c r="A10" s="596">
        <v>2</v>
      </c>
      <c r="B10" s="361" t="s">
        <v>33</v>
      </c>
      <c r="C10" s="362">
        <v>7830</v>
      </c>
      <c r="D10" s="363"/>
      <c r="E10" s="362"/>
      <c r="F10" s="597">
        <v>85</v>
      </c>
      <c r="G10" s="362">
        <f>'06-07-26'!G10+'07-07-26'!F10</f>
        <v>1255</v>
      </c>
      <c r="H10" s="598">
        <f>F10/E4</f>
        <v>1.6346153846153846</v>
      </c>
      <c r="I10" s="362">
        <f t="shared" si="0"/>
        <v>7745</v>
      </c>
      <c r="J10" s="365">
        <f>G10/F4</f>
        <v>1.4747356051703877</v>
      </c>
      <c r="K10" s="366">
        <v>35500</v>
      </c>
      <c r="L10" s="599">
        <f t="shared" si="1"/>
        <v>3017.5</v>
      </c>
      <c r="M10" s="599">
        <f t="shared" si="2"/>
        <v>44552.499999999993</v>
      </c>
      <c r="N10" s="600">
        <f>L10/E4</f>
        <v>58.028846153846153</v>
      </c>
      <c r="O10" s="601">
        <f>M10/F4</f>
        <v>52.353113983548759</v>
      </c>
    </row>
    <row r="11" spans="1:15">
      <c r="A11" s="596">
        <v>3</v>
      </c>
      <c r="B11" s="361" t="s">
        <v>34</v>
      </c>
      <c r="C11" s="362">
        <v>6473</v>
      </c>
      <c r="D11" s="363"/>
      <c r="E11" s="362"/>
      <c r="F11" s="597">
        <v>24</v>
      </c>
      <c r="G11" s="362">
        <f>'06-07-26'!G11+'07-07-26'!F11</f>
        <v>371</v>
      </c>
      <c r="H11" s="598">
        <f>F11/E4</f>
        <v>0.46153846153846156</v>
      </c>
      <c r="I11" s="362">
        <f t="shared" si="0"/>
        <v>6449</v>
      </c>
      <c r="J11" s="365">
        <f>G11/F4</f>
        <v>0.43595769682726204</v>
      </c>
      <c r="K11" s="366">
        <v>98000</v>
      </c>
      <c r="L11" s="599">
        <f t="shared" si="1"/>
        <v>2352</v>
      </c>
      <c r="M11" s="599">
        <f t="shared" si="2"/>
        <v>36358</v>
      </c>
      <c r="N11" s="600">
        <f>L11/E4</f>
        <v>45.230769230769234</v>
      </c>
      <c r="O11" s="601">
        <f>M11/F4</f>
        <v>42.723854289071681</v>
      </c>
    </row>
    <row r="12" spans="1:15">
      <c r="A12" s="596">
        <v>4</v>
      </c>
      <c r="B12" s="361" t="s">
        <v>35</v>
      </c>
      <c r="C12" s="362">
        <v>20.52</v>
      </c>
      <c r="D12" s="363"/>
      <c r="E12" s="362"/>
      <c r="F12" s="597">
        <v>0.08</v>
      </c>
      <c r="G12" s="362">
        <f>'06-07-26'!G12+'07-07-26'!F12</f>
        <v>0.56000000000000005</v>
      </c>
      <c r="H12" s="602">
        <f>F12/E4</f>
        <v>1.5384615384615385E-3</v>
      </c>
      <c r="I12" s="362">
        <f t="shared" si="0"/>
        <v>20.440000000000001</v>
      </c>
      <c r="J12" s="371">
        <f>G12/F4</f>
        <v>6.5804935370152766E-4</v>
      </c>
      <c r="K12" s="366">
        <v>750000</v>
      </c>
      <c r="L12" s="599">
        <f t="shared" si="1"/>
        <v>60.000000000000007</v>
      </c>
      <c r="M12" s="599">
        <f t="shared" si="2"/>
        <v>420.00000000000006</v>
      </c>
      <c r="N12" s="600">
        <f>L12/E4</f>
        <v>1.153846153846154</v>
      </c>
      <c r="O12" s="601">
        <f>M12/F4</f>
        <v>0.4935370152761458</v>
      </c>
    </row>
    <row r="13" spans="1:15">
      <c r="A13" s="596">
        <v>5</v>
      </c>
      <c r="B13" s="361" t="s">
        <v>36</v>
      </c>
      <c r="C13" s="362">
        <v>384</v>
      </c>
      <c r="D13" s="363"/>
      <c r="E13" s="362"/>
      <c r="F13" s="603">
        <v>11</v>
      </c>
      <c r="G13" s="362">
        <f>'06-07-26'!G13+'07-07-26'!F13</f>
        <v>127</v>
      </c>
      <c r="H13" s="598">
        <f>F13/E4</f>
        <v>0.21153846153846154</v>
      </c>
      <c r="I13" s="362">
        <f t="shared" si="0"/>
        <v>373</v>
      </c>
      <c r="J13" s="365">
        <f>G13/F4</f>
        <v>0.1492361927144536</v>
      </c>
      <c r="K13" s="366">
        <v>350000</v>
      </c>
      <c r="L13" s="599">
        <f t="shared" si="1"/>
        <v>3850</v>
      </c>
      <c r="M13" s="599">
        <f t="shared" si="2"/>
        <v>44450</v>
      </c>
      <c r="N13" s="600">
        <f>L13/E4</f>
        <v>74.038461538461533</v>
      </c>
      <c r="O13" s="601">
        <f>M13/F4</f>
        <v>52.232667450058756</v>
      </c>
    </row>
    <row r="14" spans="1:15">
      <c r="A14" s="596">
        <v>6</v>
      </c>
      <c r="B14" s="361" t="s">
        <v>37</v>
      </c>
      <c r="C14" s="362">
        <v>2110</v>
      </c>
      <c r="D14" s="363"/>
      <c r="E14" s="597"/>
      <c r="F14" s="362">
        <v>20</v>
      </c>
      <c r="G14" s="362">
        <f>'06-07-26'!G14+'07-07-26'!F14</f>
        <v>310</v>
      </c>
      <c r="H14" s="598">
        <f>F14/E4</f>
        <v>0.38461538461538464</v>
      </c>
      <c r="I14" s="362">
        <f t="shared" si="0"/>
        <v>2090</v>
      </c>
      <c r="J14" s="365">
        <f>G14/F4</f>
        <v>0.36427732079905994</v>
      </c>
      <c r="K14" s="366">
        <v>204500</v>
      </c>
      <c r="L14" s="599">
        <f t="shared" si="1"/>
        <v>4090</v>
      </c>
      <c r="M14" s="599">
        <f t="shared" si="2"/>
        <v>63395</v>
      </c>
      <c r="N14" s="600">
        <f>L14/E4</f>
        <v>78.65384615384616</v>
      </c>
      <c r="O14" s="601">
        <f>M14/F4</f>
        <v>74.49471210340775</v>
      </c>
    </row>
    <row r="15" spans="1:15">
      <c r="A15" s="596">
        <v>7</v>
      </c>
      <c r="B15" s="361" t="s">
        <v>38</v>
      </c>
      <c r="C15" s="362">
        <v>1475</v>
      </c>
      <c r="D15" s="363"/>
      <c r="E15" s="604"/>
      <c r="F15" s="605">
        <v>20</v>
      </c>
      <c r="G15" s="362">
        <f>'06-07-26'!G15+'07-07-26'!F15</f>
        <v>295</v>
      </c>
      <c r="H15" s="598">
        <f>F15/E4</f>
        <v>0.38461538461538464</v>
      </c>
      <c r="I15" s="362">
        <f t="shared" si="0"/>
        <v>1455</v>
      </c>
      <c r="J15" s="365">
        <f>G15/F4</f>
        <v>0.34665099882491185</v>
      </c>
      <c r="K15" s="366">
        <v>129500</v>
      </c>
      <c r="L15" s="599">
        <f t="shared" si="1"/>
        <v>2590</v>
      </c>
      <c r="M15" s="599">
        <f t="shared" si="2"/>
        <v>38202.5</v>
      </c>
      <c r="N15" s="600">
        <f>L15/E4</f>
        <v>49.807692307692307</v>
      </c>
      <c r="O15" s="601">
        <f>M15/F4</f>
        <v>44.891304347826086</v>
      </c>
    </row>
    <row r="16" spans="1:15">
      <c r="A16" s="596">
        <v>8</v>
      </c>
      <c r="B16" s="361" t="s">
        <v>39</v>
      </c>
      <c r="C16" s="362">
        <v>885</v>
      </c>
      <c r="D16" s="597"/>
      <c r="E16" s="362"/>
      <c r="F16" s="606">
        <v>10</v>
      </c>
      <c r="G16" s="362">
        <f>'06-07-26'!G16+'07-07-26'!F16</f>
        <v>110</v>
      </c>
      <c r="H16" s="598">
        <f>F16/E4</f>
        <v>0.19230769230769232</v>
      </c>
      <c r="I16" s="362">
        <f t="shared" si="0"/>
        <v>875</v>
      </c>
      <c r="J16" s="365">
        <f>G16/F4</f>
        <v>0.12925969447708577</v>
      </c>
      <c r="K16" s="366">
        <v>219500</v>
      </c>
      <c r="L16" s="599">
        <f t="shared" si="1"/>
        <v>2195</v>
      </c>
      <c r="M16" s="599">
        <f t="shared" si="2"/>
        <v>24145</v>
      </c>
      <c r="N16" s="600">
        <f>L16/E4</f>
        <v>42.21153846153846</v>
      </c>
      <c r="O16" s="601">
        <f>M16/F4</f>
        <v>28.372502937720331</v>
      </c>
    </row>
    <row r="17" spans="1:15">
      <c r="A17" s="596">
        <v>9</v>
      </c>
      <c r="B17" s="361" t="s">
        <v>40</v>
      </c>
      <c r="C17" s="362">
        <v>21</v>
      </c>
      <c r="D17" s="363"/>
      <c r="E17" s="608"/>
      <c r="F17" s="597">
        <v>0</v>
      </c>
      <c r="G17" s="362">
        <f>'06-07-26'!G17+'07-07-26'!F17</f>
        <v>0</v>
      </c>
      <c r="H17" s="598">
        <f>F17/E4</f>
        <v>0</v>
      </c>
      <c r="I17" s="362">
        <f t="shared" si="0"/>
        <v>21</v>
      </c>
      <c r="J17" s="365">
        <f>G17/F4</f>
        <v>0</v>
      </c>
      <c r="K17" s="366">
        <v>348200</v>
      </c>
      <c r="L17" s="599">
        <f t="shared" si="1"/>
        <v>0</v>
      </c>
      <c r="M17" s="609">
        <f t="shared" si="2"/>
        <v>0</v>
      </c>
      <c r="N17" s="600">
        <f>L17/E4</f>
        <v>0</v>
      </c>
      <c r="O17" s="601">
        <f>M17/F4</f>
        <v>0</v>
      </c>
    </row>
    <row r="18" spans="1:15">
      <c r="A18" s="611">
        <v>10</v>
      </c>
      <c r="B18" s="374" t="s">
        <v>41</v>
      </c>
      <c r="C18" s="375">
        <v>3950</v>
      </c>
      <c r="D18" s="375"/>
      <c r="E18" s="375"/>
      <c r="F18" s="612">
        <v>0</v>
      </c>
      <c r="G18" s="362">
        <f>'06-07-26'!G18+'07-07-26'!F18</f>
        <v>0</v>
      </c>
      <c r="H18" s="613">
        <f>F18/E4</f>
        <v>0</v>
      </c>
      <c r="I18" s="375">
        <f t="shared" si="0"/>
        <v>3950</v>
      </c>
      <c r="J18" s="376">
        <f>G18/F4</f>
        <v>0</v>
      </c>
      <c r="K18" s="377">
        <v>172000</v>
      </c>
      <c r="L18" s="614">
        <f t="shared" si="1"/>
        <v>0</v>
      </c>
      <c r="M18" s="614">
        <f t="shared" si="2"/>
        <v>0</v>
      </c>
      <c r="N18" s="614">
        <f>L18/E4</f>
        <v>0</v>
      </c>
      <c r="O18" s="615">
        <f>M18/F4</f>
        <v>0</v>
      </c>
    </row>
    <row r="19" spans="1:15">
      <c r="A19" s="616">
        <v>11</v>
      </c>
      <c r="B19" s="381" t="s">
        <v>42</v>
      </c>
      <c r="C19" s="382">
        <v>48</v>
      </c>
      <c r="D19" s="382"/>
      <c r="E19" s="382"/>
      <c r="F19" s="617">
        <v>0</v>
      </c>
      <c r="G19" s="362">
        <f>'06-07-26'!G19+'07-07-26'!F19</f>
        <v>0</v>
      </c>
      <c r="H19" s="613">
        <f>F19/E4</f>
        <v>0</v>
      </c>
      <c r="I19" s="382">
        <f t="shared" si="0"/>
        <v>48</v>
      </c>
      <c r="J19" s="383">
        <f>G19/F4</f>
        <v>0</v>
      </c>
      <c r="K19" s="382">
        <v>200000</v>
      </c>
      <c r="L19" s="618">
        <f t="shared" si="1"/>
        <v>0</v>
      </c>
      <c r="M19" s="618">
        <f t="shared" si="2"/>
        <v>0</v>
      </c>
      <c r="N19" s="618">
        <f>L19/E4</f>
        <v>0</v>
      </c>
      <c r="O19" s="619">
        <f>M19/F4</f>
        <v>0</v>
      </c>
    </row>
    <row r="20" spans="1:15">
      <c r="A20" s="620">
        <v>12</v>
      </c>
      <c r="B20" s="387" t="s">
        <v>43</v>
      </c>
      <c r="C20" s="388">
        <v>128.30000000000001</v>
      </c>
      <c r="D20" s="389"/>
      <c r="E20" s="389"/>
      <c r="F20" s="621">
        <v>2.4</v>
      </c>
      <c r="G20" s="362">
        <f>'06-07-26'!G20+'07-07-26'!F20</f>
        <v>37.300000000000004</v>
      </c>
      <c r="H20" s="622">
        <f>F20/E4</f>
        <v>4.6153846153846149E-2</v>
      </c>
      <c r="I20" s="392">
        <f t="shared" si="0"/>
        <v>125.9</v>
      </c>
      <c r="J20" s="393">
        <f>G20/F4</f>
        <v>4.3830787309048186E-2</v>
      </c>
      <c r="K20" s="388">
        <v>377600</v>
      </c>
      <c r="L20" s="623">
        <f t="shared" si="1"/>
        <v>906.2399999999999</v>
      </c>
      <c r="M20" s="623">
        <f t="shared" si="2"/>
        <v>14084.480000000003</v>
      </c>
      <c r="N20" s="623">
        <f>L20/E4</f>
        <v>17.427692307692304</v>
      </c>
      <c r="O20" s="624">
        <f>M20/F4</f>
        <v>16.550505287896595</v>
      </c>
    </row>
    <row r="21" spans="1:15">
      <c r="A21" s="620">
        <v>13</v>
      </c>
      <c r="B21" s="387" t="s">
        <v>44</v>
      </c>
      <c r="C21" s="388">
        <v>113.7</v>
      </c>
      <c r="D21" s="389"/>
      <c r="E21" s="389"/>
      <c r="F21" s="621">
        <v>1.4</v>
      </c>
      <c r="G21" s="362">
        <f>'06-07-26'!G21+'07-07-26'!F21</f>
        <v>22.2</v>
      </c>
      <c r="H21" s="625">
        <f>F21/E4</f>
        <v>2.6923076923076921E-2</v>
      </c>
      <c r="I21" s="388">
        <f t="shared" si="0"/>
        <v>112.3</v>
      </c>
      <c r="J21" s="393">
        <f>G21/F4</f>
        <v>2.6086956521739129E-2</v>
      </c>
      <c r="K21" s="388">
        <v>271400</v>
      </c>
      <c r="L21" s="623">
        <f t="shared" si="1"/>
        <v>379.96</v>
      </c>
      <c r="M21" s="623">
        <f t="shared" si="2"/>
        <v>6025.08</v>
      </c>
      <c r="N21" s="623">
        <f>L21/E4</f>
        <v>7.3069230769230762</v>
      </c>
      <c r="O21" s="624">
        <f>M21/F4</f>
        <v>7.08</v>
      </c>
    </row>
    <row r="22" spans="1:15">
      <c r="A22" s="620">
        <v>14</v>
      </c>
      <c r="B22" s="387" t="s">
        <v>45</v>
      </c>
      <c r="C22" s="388">
        <v>1639.1</v>
      </c>
      <c r="D22" s="389"/>
      <c r="E22" s="389"/>
      <c r="F22" s="621">
        <v>20.6</v>
      </c>
      <c r="G22" s="362">
        <f>'06-07-26'!G22+'07-07-26'!F22</f>
        <v>320.7</v>
      </c>
      <c r="H22" s="625">
        <f>F22/E4</f>
        <v>0.39615384615384619</v>
      </c>
      <c r="I22" s="389">
        <f t="shared" si="0"/>
        <v>1618.5</v>
      </c>
      <c r="J22" s="393">
        <f>G22/F4</f>
        <v>0.37685076380728555</v>
      </c>
      <c r="K22" s="388">
        <v>271400</v>
      </c>
      <c r="L22" s="623">
        <f t="shared" si="1"/>
        <v>5590.84</v>
      </c>
      <c r="M22" s="623">
        <f t="shared" si="2"/>
        <v>87037.98</v>
      </c>
      <c r="N22" s="623">
        <f>L22/E4</f>
        <v>107.51615384615386</v>
      </c>
      <c r="O22" s="624">
        <f>M22/F4</f>
        <v>102.2772972972973</v>
      </c>
    </row>
    <row r="23" spans="1:15">
      <c r="A23" s="626">
        <v>15</v>
      </c>
      <c r="B23" s="397" t="s">
        <v>46</v>
      </c>
      <c r="C23" s="363">
        <v>100</v>
      </c>
      <c r="D23" s="399"/>
      <c r="E23" s="399"/>
      <c r="F23" s="627">
        <v>0</v>
      </c>
      <c r="G23" s="362">
        <f>'06-07-26'!G23+'07-07-26'!F23</f>
        <v>0</v>
      </c>
      <c r="H23" s="628">
        <f>F23/E4</f>
        <v>0</v>
      </c>
      <c r="I23" s="363">
        <f t="shared" si="0"/>
        <v>100</v>
      </c>
      <c r="J23" s="400">
        <f>G23/F4</f>
        <v>0</v>
      </c>
      <c r="K23" s="363">
        <v>41000</v>
      </c>
      <c r="L23" s="609">
        <f t="shared" si="1"/>
        <v>0</v>
      </c>
      <c r="M23" s="609">
        <f t="shared" si="2"/>
        <v>0</v>
      </c>
      <c r="N23" s="609">
        <f>L23/E4</f>
        <v>0</v>
      </c>
      <c r="O23" s="629">
        <f>M23/F4</f>
        <v>0</v>
      </c>
    </row>
    <row r="24" spans="1:15">
      <c r="A24" s="626">
        <v>16</v>
      </c>
      <c r="B24" s="397" t="s">
        <v>47</v>
      </c>
      <c r="C24" s="363">
        <v>355.6</v>
      </c>
      <c r="D24" s="399"/>
      <c r="E24" s="399"/>
      <c r="F24" s="627">
        <v>6</v>
      </c>
      <c r="G24" s="362">
        <f>'06-07-26'!G24+'07-07-26'!F24</f>
        <v>42</v>
      </c>
      <c r="H24" s="628">
        <f>F24/E4</f>
        <v>0.11538461538461539</v>
      </c>
      <c r="I24" s="363">
        <f t="shared" si="0"/>
        <v>349.6</v>
      </c>
      <c r="J24" s="400">
        <f>G24/F4</f>
        <v>4.935370152761457E-2</v>
      </c>
      <c r="K24" s="363">
        <v>24000</v>
      </c>
      <c r="L24" s="609">
        <f t="shared" si="1"/>
        <v>144</v>
      </c>
      <c r="M24" s="609">
        <f t="shared" si="2"/>
        <v>1008.0000000000001</v>
      </c>
      <c r="N24" s="609">
        <f>L24/E4</f>
        <v>2.7692307692307692</v>
      </c>
      <c r="O24" s="629">
        <f>M24/F4</f>
        <v>1.1844888366627497</v>
      </c>
    </row>
    <row r="25" spans="1:15">
      <c r="A25" s="626">
        <v>17</v>
      </c>
      <c r="B25" s="397" t="s">
        <v>48</v>
      </c>
      <c r="C25" s="363">
        <v>380</v>
      </c>
      <c r="D25" s="399"/>
      <c r="E25" s="399"/>
      <c r="F25" s="627">
        <v>0</v>
      </c>
      <c r="G25" s="362">
        <f>'06-07-26'!G25+'07-07-26'!F25</f>
        <v>0</v>
      </c>
      <c r="H25" s="628">
        <f>F25/E4</f>
        <v>0</v>
      </c>
      <c r="I25" s="363">
        <f t="shared" si="0"/>
        <v>380</v>
      </c>
      <c r="J25" s="400">
        <f>G25/F4</f>
        <v>0</v>
      </c>
      <c r="K25" s="363">
        <v>13210</v>
      </c>
      <c r="L25" s="609">
        <f t="shared" si="1"/>
        <v>0</v>
      </c>
      <c r="M25" s="609">
        <f t="shared" si="2"/>
        <v>0</v>
      </c>
      <c r="N25" s="609">
        <f>L25/E4</f>
        <v>0</v>
      </c>
      <c r="O25" s="629">
        <f>M25/F4</f>
        <v>0</v>
      </c>
    </row>
    <row r="26" spans="1:15">
      <c r="A26" s="626">
        <v>18</v>
      </c>
      <c r="B26" s="397" t="s">
        <v>49</v>
      </c>
      <c r="C26" s="363">
        <v>200</v>
      </c>
      <c r="D26" s="399"/>
      <c r="E26" s="363"/>
      <c r="F26" s="627">
        <v>5</v>
      </c>
      <c r="G26" s="362">
        <f>'06-07-26'!G26+'07-07-26'!F26</f>
        <v>50</v>
      </c>
      <c r="H26" s="628">
        <f>F26/E4</f>
        <v>9.6153846153846159E-2</v>
      </c>
      <c r="I26" s="363">
        <f t="shared" si="0"/>
        <v>195</v>
      </c>
      <c r="J26" s="400">
        <f>G26/F4</f>
        <v>5.8754406580493537E-2</v>
      </c>
      <c r="K26" s="363">
        <v>14400</v>
      </c>
      <c r="L26" s="609">
        <f t="shared" si="1"/>
        <v>72</v>
      </c>
      <c r="M26" s="609">
        <f t="shared" si="2"/>
        <v>720</v>
      </c>
      <c r="N26" s="609">
        <f>L26/E4</f>
        <v>1.3846153846153846</v>
      </c>
      <c r="O26" s="629">
        <f>M26/F4</f>
        <v>0.84606345475910694</v>
      </c>
    </row>
    <row r="27" spans="1:15">
      <c r="A27" s="626">
        <v>19</v>
      </c>
      <c r="B27" s="397" t="s">
        <v>50</v>
      </c>
      <c r="C27" s="363">
        <v>183.5</v>
      </c>
      <c r="D27" s="363"/>
      <c r="E27" s="399"/>
      <c r="F27" s="627">
        <v>3.5</v>
      </c>
      <c r="G27" s="362">
        <f>'06-07-26'!G27+'07-07-26'!F27</f>
        <v>25</v>
      </c>
      <c r="H27" s="628">
        <f>F27/E4</f>
        <v>6.7307692307692304E-2</v>
      </c>
      <c r="I27" s="363">
        <f t="shared" si="0"/>
        <v>180</v>
      </c>
      <c r="J27" s="400">
        <f>G27/F4</f>
        <v>2.9377203290246769E-2</v>
      </c>
      <c r="K27" s="363">
        <v>102000</v>
      </c>
      <c r="L27" s="609">
        <f t="shared" si="1"/>
        <v>357</v>
      </c>
      <c r="M27" s="609">
        <f t="shared" si="2"/>
        <v>2550</v>
      </c>
      <c r="N27" s="609">
        <f>L27/E4</f>
        <v>6.865384615384615</v>
      </c>
      <c r="O27" s="629">
        <f>M27/F4</f>
        <v>2.9964747356051702</v>
      </c>
    </row>
    <row r="28" spans="1:15">
      <c r="A28" s="626">
        <v>20</v>
      </c>
      <c r="B28" s="397" t="s">
        <v>51</v>
      </c>
      <c r="C28" s="363">
        <v>150</v>
      </c>
      <c r="D28" s="399"/>
      <c r="E28" s="399"/>
      <c r="F28" s="627">
        <v>5</v>
      </c>
      <c r="G28" s="362">
        <f>'06-07-26'!G28+'07-07-26'!F28</f>
        <v>35</v>
      </c>
      <c r="H28" s="628">
        <f>F28/E4</f>
        <v>9.6153846153846159E-2</v>
      </c>
      <c r="I28" s="363">
        <f t="shared" si="0"/>
        <v>145</v>
      </c>
      <c r="J28" s="400">
        <f>G28/F4</f>
        <v>4.1128084606345476E-2</v>
      </c>
      <c r="K28" s="363">
        <v>107000</v>
      </c>
      <c r="L28" s="609">
        <f t="shared" si="1"/>
        <v>535</v>
      </c>
      <c r="M28" s="609">
        <f t="shared" si="2"/>
        <v>3745.0000000000005</v>
      </c>
      <c r="N28" s="609">
        <f>L28/E4</f>
        <v>10.288461538461538</v>
      </c>
      <c r="O28" s="629">
        <f>M28/F4</f>
        <v>4.4007050528789664</v>
      </c>
    </row>
    <row r="29" spans="1:15">
      <c r="A29" s="626">
        <v>21</v>
      </c>
      <c r="B29" s="397" t="s">
        <v>52</v>
      </c>
      <c r="C29" s="363">
        <v>151</v>
      </c>
      <c r="D29" s="399"/>
      <c r="E29" s="399"/>
      <c r="F29" s="627">
        <v>3</v>
      </c>
      <c r="G29" s="362">
        <f>'06-07-26'!G29+'07-07-26'!F29</f>
        <v>21</v>
      </c>
      <c r="H29" s="628">
        <f>F29/E4</f>
        <v>5.7692307692307696E-2</v>
      </c>
      <c r="I29" s="363">
        <f t="shared" si="0"/>
        <v>148</v>
      </c>
      <c r="J29" s="400">
        <f>G29/F4</f>
        <v>2.4676850763807285E-2</v>
      </c>
      <c r="K29" s="363">
        <v>100000</v>
      </c>
      <c r="L29" s="609">
        <f t="shared" si="1"/>
        <v>300</v>
      </c>
      <c r="M29" s="609">
        <f t="shared" si="2"/>
        <v>2100</v>
      </c>
      <c r="N29" s="609">
        <f>L29/E4</f>
        <v>5.7692307692307692</v>
      </c>
      <c r="O29" s="630">
        <f>M29/F4</f>
        <v>2.4676850763807288</v>
      </c>
    </row>
    <row r="30" spans="1:15">
      <c r="A30" s="626">
        <v>22</v>
      </c>
      <c r="B30" s="397" t="s">
        <v>53</v>
      </c>
      <c r="C30" s="363">
        <v>58</v>
      </c>
      <c r="D30" s="399"/>
      <c r="E30" s="399"/>
      <c r="F30" s="627">
        <v>1</v>
      </c>
      <c r="G30" s="362">
        <f>'06-07-26'!G30+'07-07-26'!F30</f>
        <v>7</v>
      </c>
      <c r="H30" s="628">
        <f>F30/E4</f>
        <v>1.9230769230769232E-2</v>
      </c>
      <c r="I30" s="363">
        <f t="shared" si="0"/>
        <v>57</v>
      </c>
      <c r="J30" s="400">
        <f>G30/F4</f>
        <v>8.2256169212690956E-3</v>
      </c>
      <c r="K30" s="363">
        <v>255000</v>
      </c>
      <c r="L30" s="609">
        <f t="shared" si="1"/>
        <v>255</v>
      </c>
      <c r="M30" s="609">
        <f t="shared" si="2"/>
        <v>1785</v>
      </c>
      <c r="N30" s="631">
        <f>L30/E4</f>
        <v>4.9038461538461542</v>
      </c>
      <c r="O30" s="632">
        <f>M30/F4</f>
        <v>2.0975323149236194</v>
      </c>
    </row>
    <row r="31" spans="1:15">
      <c r="A31" s="626">
        <v>23</v>
      </c>
      <c r="B31" s="397" t="s">
        <v>54</v>
      </c>
      <c r="C31" s="363">
        <v>480</v>
      </c>
      <c r="D31" s="399"/>
      <c r="E31" s="399"/>
      <c r="F31" s="627">
        <v>0</v>
      </c>
      <c r="G31" s="362">
        <f>'06-07-26'!G31+'07-07-26'!F31</f>
        <v>0</v>
      </c>
      <c r="H31" s="628">
        <f>F31/E4</f>
        <v>0</v>
      </c>
      <c r="I31" s="363">
        <f t="shared" si="0"/>
        <v>480</v>
      </c>
      <c r="J31" s="400">
        <f>G31/F4</f>
        <v>0</v>
      </c>
      <c r="K31" s="363">
        <v>56000</v>
      </c>
      <c r="L31" s="609">
        <f t="shared" si="1"/>
        <v>0</v>
      </c>
      <c r="M31" s="609">
        <f t="shared" si="2"/>
        <v>0</v>
      </c>
      <c r="N31" s="631">
        <f>M30/F4</f>
        <v>2.0975323149236194</v>
      </c>
      <c r="O31" s="749">
        <f>M31/F4</f>
        <v>0</v>
      </c>
    </row>
    <row r="32" spans="1:15">
      <c r="A32" s="633">
        <v>24</v>
      </c>
      <c r="B32" s="406" t="s">
        <v>55</v>
      </c>
      <c r="C32" s="604">
        <v>0</v>
      </c>
      <c r="D32" s="408"/>
      <c r="E32" s="408"/>
      <c r="F32" s="634">
        <v>0</v>
      </c>
      <c r="G32" s="362">
        <f>'06-07-26'!G32+'07-07-26'!F32</f>
        <v>0</v>
      </c>
      <c r="H32" s="635">
        <f>F32/E4</f>
        <v>0</v>
      </c>
      <c r="I32" s="411">
        <f t="shared" si="0"/>
        <v>0</v>
      </c>
      <c r="J32" s="410">
        <f>G32/F4</f>
        <v>0</v>
      </c>
      <c r="K32" s="411">
        <v>90000</v>
      </c>
      <c r="L32" s="636">
        <f t="shared" si="1"/>
        <v>0</v>
      </c>
      <c r="M32" s="636">
        <f t="shared" si="2"/>
        <v>0</v>
      </c>
      <c r="N32" s="629">
        <f>M31/F4</f>
        <v>0</v>
      </c>
      <c r="O32" s="750">
        <f>M32/F4</f>
        <v>0</v>
      </c>
    </row>
    <row r="33" spans="1:15">
      <c r="A33" s="415" t="s">
        <v>56</v>
      </c>
      <c r="B33" s="415" t="s">
        <v>57</v>
      </c>
      <c r="C33" s="416" t="s">
        <v>58</v>
      </c>
      <c r="D33" s="1312" t="s">
        <v>59</v>
      </c>
      <c r="E33" s="1316"/>
      <c r="F33" s="1316"/>
      <c r="G33" s="1289"/>
      <c r="H33" s="1290"/>
      <c r="I33" s="1290"/>
      <c r="J33" s="1290"/>
      <c r="K33" s="1290"/>
      <c r="L33" s="1291"/>
      <c r="M33" s="637" t="s">
        <v>60</v>
      </c>
      <c r="N33" s="638">
        <f>SUM(N9:N32)</f>
        <v>1145.7425323149237</v>
      </c>
      <c r="O33" s="639">
        <f>SUM(O9:O32)</f>
        <v>1172.2427027027029</v>
      </c>
    </row>
    <row r="34" spans="1:15">
      <c r="A34" s="640">
        <v>1</v>
      </c>
      <c r="B34" s="421"/>
      <c r="C34" s="422"/>
      <c r="D34" s="1298"/>
      <c r="E34" s="1299"/>
      <c r="F34" s="553">
        <f>C34*E4/C41</f>
        <v>0</v>
      </c>
      <c r="G34" s="1292"/>
      <c r="H34" s="1293"/>
      <c r="I34" s="1293"/>
      <c r="J34" s="1293"/>
      <c r="K34" s="1293"/>
      <c r="L34" s="1294"/>
      <c r="M34" s="424"/>
      <c r="N34" s="641" t="s">
        <v>17</v>
      </c>
      <c r="O34" s="642" t="s">
        <v>17</v>
      </c>
    </row>
    <row r="35" spans="1:15">
      <c r="A35" s="640">
        <v>2</v>
      </c>
      <c r="B35" s="421"/>
      <c r="C35" s="427"/>
      <c r="D35" s="1300"/>
      <c r="E35" s="1301"/>
      <c r="F35" s="560">
        <f>C35*E4/C41</f>
        <v>0</v>
      </c>
      <c r="G35" s="1292"/>
      <c r="H35" s="1293"/>
      <c r="I35" s="1293"/>
      <c r="J35" s="1293"/>
      <c r="K35" s="1293"/>
      <c r="L35" s="1294"/>
      <c r="M35" s="429"/>
      <c r="N35" s="430" t="s">
        <v>25</v>
      </c>
      <c r="O35" s="643" t="s">
        <v>26</v>
      </c>
    </row>
    <row r="36" spans="1:15">
      <c r="A36" s="640">
        <v>3</v>
      </c>
      <c r="B36" s="421"/>
      <c r="C36" s="606">
        <v>0</v>
      </c>
      <c r="D36" s="1300"/>
      <c r="E36" s="1301"/>
      <c r="F36" s="560">
        <f>C36*E4/C41</f>
        <v>0</v>
      </c>
      <c r="G36" s="1292"/>
      <c r="H36" s="1293"/>
      <c r="I36" s="1293"/>
      <c r="J36" s="1293"/>
      <c r="K36" s="1293"/>
      <c r="L36" s="1294"/>
      <c r="M36" s="429"/>
      <c r="N36" s="430" t="s">
        <v>63</v>
      </c>
      <c r="O36" s="643" t="s">
        <v>63</v>
      </c>
    </row>
    <row r="37" spans="1:15">
      <c r="A37" s="640">
        <v>4</v>
      </c>
      <c r="B37" s="421" t="s">
        <v>73</v>
      </c>
      <c r="C37" s="432">
        <v>30</v>
      </c>
      <c r="D37" s="433"/>
      <c r="F37" s="565">
        <f>C37*E4/C41</f>
        <v>52</v>
      </c>
      <c r="G37" s="1295"/>
      <c r="H37" s="1296"/>
      <c r="I37" s="1296"/>
      <c r="J37" s="1296"/>
      <c r="K37" s="1296"/>
      <c r="L37" s="1297"/>
      <c r="M37" s="644" t="s">
        <v>60</v>
      </c>
      <c r="N37" s="645">
        <f>N33/1000</f>
        <v>1.1457425323149237</v>
      </c>
      <c r="O37" s="646">
        <f>O33/1000</f>
        <v>1.1722427027027029</v>
      </c>
    </row>
    <row r="38" spans="1:15">
      <c r="A38" s="640">
        <v>5</v>
      </c>
      <c r="B38" s="421"/>
      <c r="C38" s="647"/>
      <c r="D38" s="433"/>
      <c r="F38" s="746"/>
      <c r="H38" s="322"/>
      <c r="I38" s="322"/>
      <c r="J38" s="322"/>
      <c r="K38" s="322"/>
      <c r="L38" s="322"/>
      <c r="M38" s="648"/>
      <c r="N38" s="649"/>
      <c r="O38" s="650"/>
    </row>
    <row r="39" spans="1:15">
      <c r="A39" s="640">
        <v>6</v>
      </c>
      <c r="B39" s="421"/>
      <c r="C39" s="432"/>
      <c r="D39" s="433"/>
      <c r="F39" s="746"/>
      <c r="H39" s="322"/>
      <c r="I39" s="322"/>
      <c r="J39" s="322"/>
      <c r="K39" s="322"/>
      <c r="L39" s="322"/>
      <c r="M39" s="648"/>
      <c r="N39" s="649"/>
      <c r="O39" s="650"/>
    </row>
    <row r="40" spans="1:15">
      <c r="A40" s="651">
        <v>7</v>
      </c>
      <c r="B40" s="421"/>
      <c r="C40" s="432"/>
      <c r="D40" s="433"/>
      <c r="F40" s="746"/>
      <c r="H40" s="322"/>
      <c r="I40" s="322"/>
      <c r="J40" s="322"/>
      <c r="K40" s="322"/>
      <c r="L40" s="322"/>
      <c r="M40" s="648"/>
      <c r="N40" s="649"/>
      <c r="O40" s="650"/>
    </row>
    <row r="41" spans="1:15">
      <c r="A41" s="652">
        <v>4</v>
      </c>
      <c r="B41" s="653" t="s">
        <v>60</v>
      </c>
      <c r="C41" s="654">
        <f>SUM(C34,C35,C36,C37,C38,C39,C40)</f>
        <v>30</v>
      </c>
      <c r="D41" s="1286">
        <f>SUM(F34,F35,F36,F37,F38,F39,F40)</f>
        <v>52</v>
      </c>
      <c r="E41" s="1287"/>
      <c r="F41" s="1288"/>
      <c r="G41" s="610"/>
      <c r="H41" s="610"/>
      <c r="I41" s="610"/>
      <c r="J41" s="610"/>
      <c r="K41" s="610"/>
      <c r="L41" s="610"/>
      <c r="M41" s="610"/>
      <c r="N41" s="610"/>
      <c r="O41" s="655"/>
    </row>
    <row r="42" spans="1:15">
      <c r="A42" s="610"/>
      <c r="B42" s="610"/>
      <c r="C42" s="610"/>
      <c r="D42" s="610"/>
      <c r="E42" s="610"/>
      <c r="F42" s="610"/>
      <c r="G42" s="610"/>
      <c r="H42" s="610"/>
      <c r="I42" s="610"/>
      <c r="J42" s="610"/>
      <c r="K42" s="610"/>
      <c r="L42" s="610"/>
      <c r="M42" s="610"/>
      <c r="N42" s="610"/>
      <c r="O42" s="655"/>
    </row>
    <row r="43" spans="1:15">
      <c r="A43" s="610"/>
      <c r="B43" s="610"/>
      <c r="C43" s="610"/>
      <c r="D43" s="610"/>
      <c r="E43" s="610"/>
      <c r="F43" s="610"/>
      <c r="G43" s="610"/>
      <c r="H43" s="610"/>
      <c r="I43" s="610"/>
      <c r="J43" s="610"/>
      <c r="K43" s="610"/>
      <c r="L43" s="610"/>
      <c r="M43" s="610"/>
      <c r="N43" s="610"/>
      <c r="O43" s="655"/>
    </row>
    <row r="44" spans="1:15">
      <c r="A44" s="610"/>
      <c r="B44" s="610"/>
      <c r="C44" s="610"/>
      <c r="D44" s="610"/>
      <c r="E44" s="610"/>
      <c r="F44" s="610"/>
      <c r="G44" s="610"/>
      <c r="H44" s="610"/>
      <c r="I44" s="610"/>
      <c r="J44" s="610"/>
      <c r="K44" s="610"/>
      <c r="L44" s="610"/>
      <c r="M44" s="610"/>
      <c r="N44" s="610"/>
      <c r="O44" s="655"/>
    </row>
    <row r="45" spans="1:15">
      <c r="I45" s="610"/>
    </row>
    <row r="46" spans="1:15">
      <c r="I46" s="610"/>
    </row>
    <row r="47" spans="1:15">
      <c r="I47" s="610"/>
    </row>
    <row r="48" spans="1:15">
      <c r="I48" s="610"/>
    </row>
    <row r="49" spans="2:9">
      <c r="I49" s="610"/>
    </row>
    <row r="50" spans="2:9">
      <c r="I50" s="751"/>
    </row>
    <row r="51" spans="2:9">
      <c r="I51" s="752"/>
    </row>
    <row r="52" spans="2:9">
      <c r="I52" s="753"/>
    </row>
    <row r="53" spans="2:9">
      <c r="B53" s="754"/>
      <c r="I53" s="755"/>
    </row>
    <row r="54" spans="2:9">
      <c r="I54" s="756"/>
    </row>
    <row r="55" spans="2:9">
      <c r="I55" s="757"/>
    </row>
    <row r="56" spans="2:9">
      <c r="I56" s="757"/>
    </row>
    <row r="57" spans="2:9">
      <c r="I57" s="757"/>
    </row>
    <row r="58" spans="2:9">
      <c r="I58" s="757"/>
    </row>
    <row r="59" spans="2:9">
      <c r="I59" s="757"/>
    </row>
    <row r="60" spans="2:9">
      <c r="I60" s="757"/>
    </row>
    <row r="61" spans="2:9">
      <c r="I61" s="757"/>
    </row>
    <row r="62" spans="2:9">
      <c r="I62" s="757"/>
    </row>
    <row r="63" spans="2:9">
      <c r="I63" s="757"/>
    </row>
    <row r="64" spans="2:9">
      <c r="I64" s="757"/>
    </row>
  </sheetData>
  <mergeCells count="14">
    <mergeCell ref="D41:F41"/>
    <mergeCell ref="G33:L37"/>
    <mergeCell ref="D34:E36"/>
    <mergeCell ref="A1:O2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1"/>
  <sheetViews>
    <sheetView topLeftCell="A14" workbookViewId="0">
      <selection activeCell="E9" sqref="E9"/>
    </sheetView>
  </sheetViews>
  <sheetFormatPr defaultColWidth="9" defaultRowHeight="15"/>
  <cols>
    <col min="2" max="2" width="23" customWidth="1"/>
    <col min="7" max="7" width="10" customWidth="1"/>
  </cols>
  <sheetData>
    <row r="1" spans="1:15">
      <c r="A1" s="1302" t="s">
        <v>0</v>
      </c>
      <c r="B1" s="1303"/>
      <c r="C1" s="1303"/>
      <c r="D1" s="1303"/>
      <c r="E1" s="1303"/>
      <c r="F1" s="1303"/>
      <c r="G1" s="1303"/>
      <c r="H1" s="1303"/>
      <c r="I1" s="1303"/>
      <c r="J1" s="1303"/>
      <c r="K1" s="1303"/>
      <c r="L1" s="1303"/>
      <c r="M1" s="1303"/>
      <c r="N1" s="1303"/>
      <c r="O1" s="1304"/>
    </row>
    <row r="2" spans="1:15">
      <c r="A2" s="1305"/>
      <c r="B2" s="1306"/>
      <c r="C2" s="1306"/>
      <c r="D2" s="1306"/>
      <c r="E2" s="1306"/>
      <c r="F2" s="1306"/>
      <c r="G2" s="1306"/>
      <c r="H2" s="1306"/>
      <c r="I2" s="1306"/>
      <c r="J2" s="1306"/>
      <c r="K2" s="1306"/>
      <c r="L2" s="1306"/>
      <c r="M2" s="1306"/>
      <c r="N2" s="1306"/>
      <c r="O2" s="1307"/>
    </row>
    <row r="3" spans="1:15">
      <c r="A3" s="1317" t="s">
        <v>1</v>
      </c>
      <c r="B3" s="1318"/>
      <c r="C3" s="1318"/>
      <c r="D3" s="1318"/>
      <c r="E3" s="1318"/>
      <c r="F3" s="1318"/>
      <c r="G3" s="1318"/>
      <c r="H3" s="1318"/>
      <c r="I3" s="1318"/>
      <c r="J3" s="1318"/>
      <c r="K3" s="1318"/>
      <c r="L3" s="1318"/>
      <c r="M3" s="1318"/>
      <c r="N3" s="1318"/>
      <c r="O3" s="1319"/>
    </row>
    <row r="4" spans="1:15">
      <c r="A4" s="1317" t="s">
        <v>2</v>
      </c>
      <c r="B4" s="1318"/>
      <c r="C4" s="1318"/>
      <c r="D4" s="1319"/>
      <c r="E4" s="325">
        <v>147</v>
      </c>
      <c r="F4" s="323">
        <v>998</v>
      </c>
      <c r="G4" s="745">
        <v>118.25</v>
      </c>
      <c r="H4" s="1320" t="s">
        <v>78</v>
      </c>
      <c r="I4" s="1321"/>
      <c r="J4" s="1321"/>
      <c r="K4" s="1321"/>
      <c r="L4" s="1321"/>
      <c r="M4" s="1321"/>
      <c r="N4" s="1321"/>
      <c r="O4" s="1322"/>
    </row>
    <row r="5" spans="1:15">
      <c r="A5" s="1323" t="s">
        <v>5</v>
      </c>
      <c r="B5" s="1324"/>
      <c r="C5" s="1325" t="s">
        <v>6</v>
      </c>
      <c r="D5" s="1326"/>
      <c r="E5" s="327">
        <v>0</v>
      </c>
      <c r="F5" s="328">
        <v>0</v>
      </c>
      <c r="G5" s="449" t="s">
        <v>75</v>
      </c>
      <c r="H5" s="329"/>
      <c r="I5" s="329"/>
      <c r="J5" s="329"/>
      <c r="K5" s="330"/>
      <c r="L5" s="330"/>
      <c r="M5" s="330"/>
      <c r="N5" s="583"/>
      <c r="O5" s="584"/>
    </row>
    <row r="6" spans="1:15">
      <c r="A6" s="585" t="s">
        <v>8</v>
      </c>
      <c r="B6" s="334" t="s">
        <v>9</v>
      </c>
      <c r="C6" s="334" t="s">
        <v>10</v>
      </c>
      <c r="D6" s="1308" t="s">
        <v>11</v>
      </c>
      <c r="E6" s="1309"/>
      <c r="F6" s="1310" t="s">
        <v>12</v>
      </c>
      <c r="G6" s="1311"/>
      <c r="H6" s="335" t="s">
        <v>13</v>
      </c>
      <c r="I6" s="336" t="s">
        <v>9</v>
      </c>
      <c r="J6" s="337" t="s">
        <v>14</v>
      </c>
      <c r="K6" s="338" t="s">
        <v>15</v>
      </c>
      <c r="L6" s="1312" t="s">
        <v>16</v>
      </c>
      <c r="M6" s="1313"/>
      <c r="N6" s="1314" t="s">
        <v>17</v>
      </c>
      <c r="O6" s="1315"/>
    </row>
    <row r="7" spans="1:15">
      <c r="A7" s="585" t="s">
        <v>18</v>
      </c>
      <c r="B7" s="334" t="s">
        <v>19</v>
      </c>
      <c r="C7" s="334" t="s">
        <v>20</v>
      </c>
      <c r="D7" s="334" t="s">
        <v>21</v>
      </c>
      <c r="E7" s="339" t="s">
        <v>14</v>
      </c>
      <c r="F7" s="340" t="s">
        <v>21</v>
      </c>
      <c r="G7" s="340" t="s">
        <v>14</v>
      </c>
      <c r="H7" s="341" t="s">
        <v>22</v>
      </c>
      <c r="I7" s="342" t="s">
        <v>23</v>
      </c>
      <c r="J7" s="343" t="s">
        <v>22</v>
      </c>
      <c r="K7" s="344" t="s">
        <v>24</v>
      </c>
      <c r="L7" s="344" t="s">
        <v>25</v>
      </c>
      <c r="M7" s="342" t="s">
        <v>26</v>
      </c>
      <c r="N7" s="338" t="s">
        <v>25</v>
      </c>
      <c r="O7" s="586" t="s">
        <v>26</v>
      </c>
    </row>
    <row r="8" spans="1:15">
      <c r="A8" s="587"/>
      <c r="B8" s="334"/>
      <c r="C8" s="334" t="s">
        <v>27</v>
      </c>
      <c r="D8" s="334" t="s">
        <v>27</v>
      </c>
      <c r="E8" s="334" t="s">
        <v>27</v>
      </c>
      <c r="F8" s="347" t="s">
        <v>27</v>
      </c>
      <c r="G8" s="347" t="s">
        <v>27</v>
      </c>
      <c r="H8" s="341" t="s">
        <v>28</v>
      </c>
      <c r="I8" s="342"/>
      <c r="J8" s="343" t="s">
        <v>28</v>
      </c>
      <c r="K8" s="344" t="s">
        <v>29</v>
      </c>
      <c r="L8" s="344" t="s">
        <v>30</v>
      </c>
      <c r="M8" s="342" t="s">
        <v>30</v>
      </c>
      <c r="N8" s="344" t="s">
        <v>31</v>
      </c>
      <c r="O8" s="588" t="s">
        <v>31</v>
      </c>
    </row>
    <row r="9" spans="1:15">
      <c r="A9" s="589">
        <v>1</v>
      </c>
      <c r="B9" s="350" t="s">
        <v>32</v>
      </c>
      <c r="C9" s="351">
        <v>19400</v>
      </c>
      <c r="D9" s="352">
        <v>0</v>
      </c>
      <c r="E9" s="351">
        <v>28000</v>
      </c>
      <c r="F9" s="590">
        <v>3250</v>
      </c>
      <c r="G9" s="362">
        <f>'07-07-26'!G9+'08-07-26'!F9</f>
        <v>25250</v>
      </c>
      <c r="H9" s="591">
        <f>F9/E4</f>
        <v>22.108843537414966</v>
      </c>
      <c r="I9" s="362">
        <f>(C9-F9)+D9</f>
        <v>16150</v>
      </c>
      <c r="J9" s="355">
        <f>G9/F4</f>
        <v>25.30060120240481</v>
      </c>
      <c r="K9" s="353">
        <v>28500</v>
      </c>
      <c r="L9" s="592">
        <f t="shared" ref="L9:L32" si="0">(F9/1000)*K9</f>
        <v>92625</v>
      </c>
      <c r="M9" s="593">
        <f t="shared" ref="M9:M32" si="1">(G9/1000)*K9</f>
        <v>719625</v>
      </c>
      <c r="N9" s="594">
        <f>L9/E4</f>
        <v>630.10204081632651</v>
      </c>
      <c r="O9" s="595">
        <f>M9/F4</f>
        <v>721.06713426853707</v>
      </c>
    </row>
    <row r="10" spans="1:15">
      <c r="A10" s="596">
        <v>2</v>
      </c>
      <c r="B10" s="361" t="s">
        <v>33</v>
      </c>
      <c r="C10" s="362">
        <v>7745</v>
      </c>
      <c r="D10" s="363"/>
      <c r="E10" s="362"/>
      <c r="F10" s="597">
        <v>225</v>
      </c>
      <c r="G10" s="362">
        <f>'07-07-26'!G10+'08-07-26'!F10</f>
        <v>1480</v>
      </c>
      <c r="H10" s="598">
        <f>F10/E4</f>
        <v>1.5306122448979591</v>
      </c>
      <c r="I10" s="362">
        <f t="shared" ref="I10:I32" si="2">(C10-F10)+D10</f>
        <v>7520</v>
      </c>
      <c r="J10" s="365">
        <f>G32/F4</f>
        <v>1.4829659318637274</v>
      </c>
      <c r="K10" s="366">
        <v>35500</v>
      </c>
      <c r="L10" s="599">
        <f t="shared" si="0"/>
        <v>7987.5</v>
      </c>
      <c r="M10" s="599">
        <f t="shared" si="1"/>
        <v>52540</v>
      </c>
      <c r="N10" s="600">
        <f>L10/E4</f>
        <v>54.336734693877553</v>
      </c>
      <c r="O10" s="601">
        <f>M10/F4</f>
        <v>52.645290581162328</v>
      </c>
    </row>
    <row r="11" spans="1:15">
      <c r="A11" s="596">
        <v>3</v>
      </c>
      <c r="B11" s="361" t="s">
        <v>34</v>
      </c>
      <c r="C11" s="362">
        <v>6449</v>
      </c>
      <c r="D11" s="363"/>
      <c r="E11" s="362"/>
      <c r="F11" s="597">
        <v>66</v>
      </c>
      <c r="G11" s="362">
        <f>'07-07-26'!G11+'08-07-26'!F11</f>
        <v>437</v>
      </c>
      <c r="H11" s="598">
        <f>F11/E4</f>
        <v>0.44897959183673469</v>
      </c>
      <c r="I11" s="362">
        <f t="shared" si="2"/>
        <v>6383</v>
      </c>
      <c r="J11" s="365">
        <f>G11/F4</f>
        <v>0.43787575150300601</v>
      </c>
      <c r="K11" s="366">
        <v>98000</v>
      </c>
      <c r="L11" s="599">
        <f t="shared" si="0"/>
        <v>6468</v>
      </c>
      <c r="M11" s="599">
        <f t="shared" si="1"/>
        <v>42826</v>
      </c>
      <c r="N11" s="600">
        <f>L11/E4</f>
        <v>44</v>
      </c>
      <c r="O11" s="601">
        <f>M11/F4</f>
        <v>42.91182364729459</v>
      </c>
    </row>
    <row r="12" spans="1:15">
      <c r="A12" s="596">
        <v>4</v>
      </c>
      <c r="B12" s="361" t="s">
        <v>35</v>
      </c>
      <c r="C12" s="362">
        <v>20.440000000000001</v>
      </c>
      <c r="D12" s="363"/>
      <c r="E12" s="362"/>
      <c r="F12" s="597">
        <v>0.08</v>
      </c>
      <c r="G12" s="362">
        <f>'07-07-26'!G12+'08-07-26'!F12</f>
        <v>0.64</v>
      </c>
      <c r="H12" s="602">
        <f>F12/E4</f>
        <v>5.4421768707482992E-4</v>
      </c>
      <c r="I12" s="362">
        <f t="shared" si="2"/>
        <v>20.360000000000003</v>
      </c>
      <c r="J12" s="371">
        <f>G12/F4</f>
        <v>6.4128256513026059E-4</v>
      </c>
      <c r="K12" s="366">
        <v>750000</v>
      </c>
      <c r="L12" s="599">
        <f t="shared" si="0"/>
        <v>60.000000000000007</v>
      </c>
      <c r="M12" s="599">
        <f t="shared" si="1"/>
        <v>480.00000000000006</v>
      </c>
      <c r="N12" s="600">
        <f>L12/E4</f>
        <v>0.40816326530612251</v>
      </c>
      <c r="O12" s="601">
        <f>M12/F4</f>
        <v>0.48096192384769543</v>
      </c>
    </row>
    <row r="13" spans="1:15">
      <c r="A13" s="596">
        <v>5</v>
      </c>
      <c r="B13" s="361" t="s">
        <v>36</v>
      </c>
      <c r="C13" s="362">
        <v>373</v>
      </c>
      <c r="D13" s="363"/>
      <c r="E13" s="362"/>
      <c r="F13" s="603">
        <v>24</v>
      </c>
      <c r="G13" s="362">
        <f>'07-07-26'!G13+'08-07-26'!F13</f>
        <v>151</v>
      </c>
      <c r="H13" s="598">
        <f>F13/E4</f>
        <v>0.16326530612244897</v>
      </c>
      <c r="I13" s="362">
        <f t="shared" si="2"/>
        <v>349</v>
      </c>
      <c r="J13" s="365">
        <f>G13/F4</f>
        <v>0.15130260521042085</v>
      </c>
      <c r="K13" s="366">
        <v>350000</v>
      </c>
      <c r="L13" s="599">
        <f t="shared" si="0"/>
        <v>8400</v>
      </c>
      <c r="M13" s="599">
        <f t="shared" si="1"/>
        <v>52850</v>
      </c>
      <c r="N13" s="600">
        <f>L13/E4</f>
        <v>57.142857142857146</v>
      </c>
      <c r="O13" s="601">
        <f>M13/F4</f>
        <v>52.955911823647291</v>
      </c>
    </row>
    <row r="14" spans="1:15">
      <c r="A14" s="596">
        <v>6</v>
      </c>
      <c r="B14" s="361" t="s">
        <v>37</v>
      </c>
      <c r="C14" s="362">
        <v>2090</v>
      </c>
      <c r="D14" s="363"/>
      <c r="E14" s="597"/>
      <c r="F14" s="362">
        <v>50</v>
      </c>
      <c r="G14" s="362">
        <f>'07-07-26'!G14+'08-07-26'!F14</f>
        <v>360</v>
      </c>
      <c r="H14" s="598">
        <f>F14/E4</f>
        <v>0.3401360544217687</v>
      </c>
      <c r="I14" s="362">
        <f t="shared" si="2"/>
        <v>2040</v>
      </c>
      <c r="J14" s="365">
        <f>G14/F4</f>
        <v>0.36072144288577157</v>
      </c>
      <c r="K14" s="366">
        <v>204500</v>
      </c>
      <c r="L14" s="599">
        <f t="shared" si="0"/>
        <v>10225</v>
      </c>
      <c r="M14" s="599">
        <f t="shared" si="1"/>
        <v>73620</v>
      </c>
      <c r="N14" s="600">
        <f>L14/E4</f>
        <v>69.557823129251702</v>
      </c>
      <c r="O14" s="601">
        <f>M14/F4</f>
        <v>73.767535070140283</v>
      </c>
    </row>
    <row r="15" spans="1:15">
      <c r="A15" s="596">
        <v>7</v>
      </c>
      <c r="B15" s="361" t="s">
        <v>38</v>
      </c>
      <c r="C15" s="362">
        <v>1455</v>
      </c>
      <c r="D15" s="363"/>
      <c r="E15" s="604"/>
      <c r="F15" s="605">
        <v>54</v>
      </c>
      <c r="G15" s="362">
        <f>'07-07-26'!G15+'08-07-26'!F15</f>
        <v>349</v>
      </c>
      <c r="H15" s="598">
        <f>F15/E4</f>
        <v>0.36734693877551022</v>
      </c>
      <c r="I15" s="362">
        <f t="shared" si="2"/>
        <v>1401</v>
      </c>
      <c r="J15" s="365">
        <f>G15/F4</f>
        <v>0.34969939879759521</v>
      </c>
      <c r="K15" s="366">
        <v>129500</v>
      </c>
      <c r="L15" s="599">
        <f t="shared" si="0"/>
        <v>6993</v>
      </c>
      <c r="M15" s="599">
        <f t="shared" si="1"/>
        <v>45195.5</v>
      </c>
      <c r="N15" s="600">
        <f>L15/E4</f>
        <v>47.571428571428569</v>
      </c>
      <c r="O15" s="601">
        <f>M15/F4</f>
        <v>45.286072144288575</v>
      </c>
    </row>
    <row r="16" spans="1:15">
      <c r="A16" s="596">
        <v>8</v>
      </c>
      <c r="B16" s="361" t="s">
        <v>39</v>
      </c>
      <c r="C16" s="362">
        <v>875</v>
      </c>
      <c r="D16" s="597"/>
      <c r="E16" s="362"/>
      <c r="F16" s="606">
        <v>20</v>
      </c>
      <c r="G16" s="362">
        <f>'07-07-26'!G16+'08-07-26'!F16</f>
        <v>130</v>
      </c>
      <c r="H16" s="598">
        <f>F16/E4</f>
        <v>0.1360544217687075</v>
      </c>
      <c r="I16" s="362">
        <f t="shared" si="2"/>
        <v>855</v>
      </c>
      <c r="J16" s="365">
        <f>G16/F4</f>
        <v>0.13026052104208416</v>
      </c>
      <c r="K16" s="366">
        <v>219500</v>
      </c>
      <c r="L16" s="599">
        <f t="shared" si="0"/>
        <v>4390</v>
      </c>
      <c r="M16" s="599">
        <f t="shared" si="1"/>
        <v>28535</v>
      </c>
      <c r="N16" s="600">
        <f>L16/E4</f>
        <v>29.863945578231291</v>
      </c>
      <c r="O16" s="601">
        <f>M16/F4</f>
        <v>28.592184368737474</v>
      </c>
    </row>
    <row r="17" spans="1:15">
      <c r="A17" s="596">
        <v>9</v>
      </c>
      <c r="B17" s="361" t="s">
        <v>40</v>
      </c>
      <c r="C17" s="362">
        <v>21</v>
      </c>
      <c r="D17" s="363"/>
      <c r="E17" s="608"/>
      <c r="F17" s="597">
        <v>0</v>
      </c>
      <c r="G17" s="362">
        <f>'07-07-26'!G17+'08-07-26'!F17</f>
        <v>0</v>
      </c>
      <c r="H17" s="598">
        <f>F17/E4</f>
        <v>0</v>
      </c>
      <c r="I17" s="362">
        <f t="shared" si="2"/>
        <v>21</v>
      </c>
      <c r="J17" s="365">
        <f>G17/F4</f>
        <v>0</v>
      </c>
      <c r="K17" s="366">
        <v>348200</v>
      </c>
      <c r="L17" s="599">
        <f t="shared" si="0"/>
        <v>0</v>
      </c>
      <c r="M17" s="609">
        <f t="shared" si="1"/>
        <v>0</v>
      </c>
      <c r="N17" s="600">
        <f>L17/E4</f>
        <v>0</v>
      </c>
      <c r="O17" s="601">
        <f>M17/F4</f>
        <v>0</v>
      </c>
    </row>
    <row r="18" spans="1:15">
      <c r="A18" s="611">
        <v>10</v>
      </c>
      <c r="B18" s="374" t="s">
        <v>41</v>
      </c>
      <c r="C18" s="375">
        <v>3950</v>
      </c>
      <c r="D18" s="375"/>
      <c r="E18" s="375"/>
      <c r="F18" s="612">
        <v>0</v>
      </c>
      <c r="G18" s="362">
        <f>'07-07-26'!G18+'08-07-26'!F18</f>
        <v>0</v>
      </c>
      <c r="H18" s="613">
        <f>F18/E4</f>
        <v>0</v>
      </c>
      <c r="I18" s="375">
        <f t="shared" si="2"/>
        <v>3950</v>
      </c>
      <c r="J18" s="376">
        <f>G18/F4</f>
        <v>0</v>
      </c>
      <c r="K18" s="377">
        <v>172000</v>
      </c>
      <c r="L18" s="614">
        <f t="shared" si="0"/>
        <v>0</v>
      </c>
      <c r="M18" s="614">
        <f t="shared" si="1"/>
        <v>0</v>
      </c>
      <c r="N18" s="614">
        <f>L18/E4</f>
        <v>0</v>
      </c>
      <c r="O18" s="615">
        <f>M18/F4</f>
        <v>0</v>
      </c>
    </row>
    <row r="19" spans="1:15">
      <c r="A19" s="616">
        <v>11</v>
      </c>
      <c r="B19" s="381" t="s">
        <v>42</v>
      </c>
      <c r="C19" s="382">
        <v>48</v>
      </c>
      <c r="D19" s="382"/>
      <c r="E19" s="382"/>
      <c r="F19" s="617">
        <v>0</v>
      </c>
      <c r="G19" s="362">
        <f>'07-07-26'!G19+'08-07-26'!F19</f>
        <v>0</v>
      </c>
      <c r="H19" s="613">
        <f>F19/E4</f>
        <v>0</v>
      </c>
      <c r="I19" s="382">
        <f t="shared" si="2"/>
        <v>48</v>
      </c>
      <c r="J19" s="383">
        <f>G19/F4</f>
        <v>0</v>
      </c>
      <c r="K19" s="382">
        <v>200000</v>
      </c>
      <c r="L19" s="618">
        <f t="shared" si="0"/>
        <v>0</v>
      </c>
      <c r="M19" s="618">
        <f t="shared" si="1"/>
        <v>0</v>
      </c>
      <c r="N19" s="618">
        <f>L19/E4</f>
        <v>0</v>
      </c>
      <c r="O19" s="619">
        <f>M19/F4</f>
        <v>0</v>
      </c>
    </row>
    <row r="20" spans="1:15">
      <c r="A20" s="620">
        <v>12</v>
      </c>
      <c r="B20" s="387" t="s">
        <v>43</v>
      </c>
      <c r="C20" s="388">
        <v>125.9</v>
      </c>
      <c r="D20" s="389"/>
      <c r="E20" s="389"/>
      <c r="F20" s="621">
        <v>6.6</v>
      </c>
      <c r="G20" s="362">
        <f>'07-07-26'!G20+'08-07-26'!F20</f>
        <v>43.900000000000006</v>
      </c>
      <c r="H20" s="622">
        <f>F20/E4</f>
        <v>4.4897959183673466E-2</v>
      </c>
      <c r="I20" s="392">
        <f t="shared" si="2"/>
        <v>119.30000000000001</v>
      </c>
      <c r="J20" s="393">
        <f>G20/F4</f>
        <v>4.3987975951903811E-2</v>
      </c>
      <c r="K20" s="388">
        <v>377600</v>
      </c>
      <c r="L20" s="623">
        <f t="shared" si="0"/>
        <v>2492.16</v>
      </c>
      <c r="M20" s="623">
        <f t="shared" si="1"/>
        <v>16576.640000000003</v>
      </c>
      <c r="N20" s="623">
        <f>L20/E4</f>
        <v>16.953469387755103</v>
      </c>
      <c r="O20" s="624">
        <f>M20/F4</f>
        <v>16.60985971943888</v>
      </c>
    </row>
    <row r="21" spans="1:15">
      <c r="A21" s="620">
        <v>13</v>
      </c>
      <c r="B21" s="387" t="s">
        <v>44</v>
      </c>
      <c r="C21" s="388">
        <v>112.3</v>
      </c>
      <c r="D21" s="389"/>
      <c r="E21" s="389"/>
      <c r="F21" s="621">
        <v>3.9</v>
      </c>
      <c r="G21" s="362">
        <f>'07-07-26'!G21+'08-07-26'!F21</f>
        <v>26.099999999999998</v>
      </c>
      <c r="H21" s="625">
        <f>F21/E4</f>
        <v>2.6530612244897958E-2</v>
      </c>
      <c r="I21" s="388">
        <f t="shared" si="2"/>
        <v>108.39999999999999</v>
      </c>
      <c r="J21" s="393">
        <f>G21/F4</f>
        <v>2.6152304609218434E-2</v>
      </c>
      <c r="K21" s="388">
        <v>271400</v>
      </c>
      <c r="L21" s="623">
        <f t="shared" si="0"/>
        <v>1058.46</v>
      </c>
      <c r="M21" s="623">
        <f t="shared" si="1"/>
        <v>7083.54</v>
      </c>
      <c r="N21" s="623">
        <f>L21/E4</f>
        <v>7.2004081632653065</v>
      </c>
      <c r="O21" s="624">
        <f>M21/F4</f>
        <v>7.0977354709418838</v>
      </c>
    </row>
    <row r="22" spans="1:15">
      <c r="A22" s="620">
        <v>14</v>
      </c>
      <c r="B22" s="387" t="s">
        <v>45</v>
      </c>
      <c r="C22" s="388">
        <v>1618.5</v>
      </c>
      <c r="D22" s="389"/>
      <c r="E22" s="389"/>
      <c r="F22" s="621">
        <v>56.7</v>
      </c>
      <c r="G22" s="362">
        <f>'07-07-26'!G22+'08-07-26'!F22</f>
        <v>377.4</v>
      </c>
      <c r="H22" s="625">
        <f>F22/E4</f>
        <v>0.38571428571428573</v>
      </c>
      <c r="I22" s="389">
        <f t="shared" si="2"/>
        <v>1561.8</v>
      </c>
      <c r="J22" s="393">
        <f>G22/F4</f>
        <v>0.37815631262525046</v>
      </c>
      <c r="K22" s="388">
        <v>271400</v>
      </c>
      <c r="L22" s="623">
        <f t="shared" si="0"/>
        <v>15388.38</v>
      </c>
      <c r="M22" s="623">
        <f t="shared" si="1"/>
        <v>102426.35999999999</v>
      </c>
      <c r="N22" s="623">
        <f>L22/E4</f>
        <v>104.68285714285713</v>
      </c>
      <c r="O22" s="624">
        <f>M22/F4</f>
        <v>102.63162324649298</v>
      </c>
    </row>
    <row r="23" spans="1:15">
      <c r="A23" s="626">
        <v>15</v>
      </c>
      <c r="B23" s="397" t="s">
        <v>46</v>
      </c>
      <c r="C23" s="363">
        <v>100</v>
      </c>
      <c r="D23" s="399"/>
      <c r="E23" s="399"/>
      <c r="F23" s="627">
        <v>0</v>
      </c>
      <c r="G23" s="362">
        <f>'07-07-26'!G23+'08-07-26'!F23</f>
        <v>0</v>
      </c>
      <c r="H23" s="628">
        <f>F23/E4</f>
        <v>0</v>
      </c>
      <c r="I23" s="363">
        <f t="shared" si="2"/>
        <v>100</v>
      </c>
      <c r="J23" s="400">
        <f>G23/F4</f>
        <v>0</v>
      </c>
      <c r="K23" s="363">
        <v>41000</v>
      </c>
      <c r="L23" s="609">
        <f t="shared" si="0"/>
        <v>0</v>
      </c>
      <c r="M23" s="609">
        <f t="shared" si="1"/>
        <v>0</v>
      </c>
      <c r="N23" s="609">
        <f>L23/E4</f>
        <v>0</v>
      </c>
      <c r="O23" s="629">
        <f>M23/F4</f>
        <v>0</v>
      </c>
    </row>
    <row r="24" spans="1:15">
      <c r="A24" s="626">
        <v>16</v>
      </c>
      <c r="B24" s="397" t="s">
        <v>47</v>
      </c>
      <c r="C24" s="363">
        <v>349.6</v>
      </c>
      <c r="D24" s="399"/>
      <c r="E24" s="399"/>
      <c r="F24" s="627">
        <v>6</v>
      </c>
      <c r="G24" s="362">
        <f>'07-07-26'!G24+'08-07-26'!F24</f>
        <v>48</v>
      </c>
      <c r="H24" s="628">
        <f>F24/E4</f>
        <v>4.0816326530612242E-2</v>
      </c>
      <c r="I24" s="363">
        <f t="shared" si="2"/>
        <v>343.6</v>
      </c>
      <c r="J24" s="400">
        <f>G24/F4</f>
        <v>4.8096192384769539E-2</v>
      </c>
      <c r="K24" s="363">
        <v>24000</v>
      </c>
      <c r="L24" s="609">
        <f t="shared" si="0"/>
        <v>144</v>
      </c>
      <c r="M24" s="609">
        <f t="shared" si="1"/>
        <v>1152</v>
      </c>
      <c r="N24" s="609">
        <f>L24/E4</f>
        <v>0.97959183673469385</v>
      </c>
      <c r="O24" s="629">
        <f>M24/F4</f>
        <v>1.154308617234469</v>
      </c>
    </row>
    <row r="25" spans="1:15">
      <c r="A25" s="626">
        <v>17</v>
      </c>
      <c r="B25" s="397" t="s">
        <v>48</v>
      </c>
      <c r="C25" s="363">
        <v>380</v>
      </c>
      <c r="D25" s="399"/>
      <c r="E25" s="399"/>
      <c r="F25" s="627">
        <v>0</v>
      </c>
      <c r="G25" s="362">
        <f>'07-07-26'!G25+'08-07-26'!F25</f>
        <v>0</v>
      </c>
      <c r="H25" s="628">
        <f>F25/E4</f>
        <v>0</v>
      </c>
      <c r="I25" s="363">
        <f t="shared" si="2"/>
        <v>380</v>
      </c>
      <c r="J25" s="400">
        <f>G25/F4</f>
        <v>0</v>
      </c>
      <c r="K25" s="363">
        <v>13210</v>
      </c>
      <c r="L25" s="609">
        <f t="shared" si="0"/>
        <v>0</v>
      </c>
      <c r="M25" s="609">
        <f t="shared" si="1"/>
        <v>0</v>
      </c>
      <c r="N25" s="609">
        <f>L25/E4</f>
        <v>0</v>
      </c>
      <c r="O25" s="629">
        <f>M25/F4</f>
        <v>0</v>
      </c>
    </row>
    <row r="26" spans="1:15">
      <c r="A26" s="626">
        <v>18</v>
      </c>
      <c r="B26" s="397" t="s">
        <v>49</v>
      </c>
      <c r="C26" s="363">
        <v>195</v>
      </c>
      <c r="D26" s="399"/>
      <c r="E26" s="363"/>
      <c r="F26" s="627">
        <v>5</v>
      </c>
      <c r="G26" s="362">
        <f>'07-07-26'!G26+'08-07-26'!F26</f>
        <v>55</v>
      </c>
      <c r="H26" s="628">
        <f>F26/E4</f>
        <v>3.4013605442176874E-2</v>
      </c>
      <c r="I26" s="363">
        <f t="shared" si="2"/>
        <v>190</v>
      </c>
      <c r="J26" s="400">
        <f>G26/F4</f>
        <v>5.5110220440881763E-2</v>
      </c>
      <c r="K26" s="363">
        <v>14400</v>
      </c>
      <c r="L26" s="609">
        <f t="shared" si="0"/>
        <v>72</v>
      </c>
      <c r="M26" s="609">
        <f t="shared" si="1"/>
        <v>792</v>
      </c>
      <c r="N26" s="609">
        <f>L26/E4</f>
        <v>0.48979591836734693</v>
      </c>
      <c r="O26" s="629">
        <f>M26/F4</f>
        <v>0.79358717434869741</v>
      </c>
    </row>
    <row r="27" spans="1:15">
      <c r="A27" s="626">
        <v>19</v>
      </c>
      <c r="B27" s="397" t="s">
        <v>50</v>
      </c>
      <c r="C27" s="363">
        <v>180</v>
      </c>
      <c r="D27" s="363"/>
      <c r="E27" s="399"/>
      <c r="F27" s="627">
        <v>4</v>
      </c>
      <c r="G27" s="362">
        <f>'07-07-26'!G27+'08-07-26'!F27</f>
        <v>29</v>
      </c>
      <c r="H27" s="628">
        <f>F27/E4</f>
        <v>2.7210884353741496E-2</v>
      </c>
      <c r="I27" s="363">
        <f t="shared" si="2"/>
        <v>176</v>
      </c>
      <c r="J27" s="400">
        <f>G27/F4</f>
        <v>2.9058116232464931E-2</v>
      </c>
      <c r="K27" s="363">
        <v>102000</v>
      </c>
      <c r="L27" s="609">
        <f t="shared" si="0"/>
        <v>408</v>
      </c>
      <c r="M27" s="609">
        <f t="shared" si="1"/>
        <v>2958</v>
      </c>
      <c r="N27" s="609">
        <f>L27/E4</f>
        <v>2.7755102040816326</v>
      </c>
      <c r="O27" s="629">
        <f>M27/F4</f>
        <v>2.963927855711423</v>
      </c>
    </row>
    <row r="28" spans="1:15">
      <c r="A28" s="626">
        <v>20</v>
      </c>
      <c r="B28" s="397" t="s">
        <v>51</v>
      </c>
      <c r="C28" s="363">
        <v>145</v>
      </c>
      <c r="D28" s="399"/>
      <c r="E28" s="399"/>
      <c r="F28" s="627">
        <v>5</v>
      </c>
      <c r="G28" s="362">
        <f>'07-07-26'!G28+'08-07-26'!F28</f>
        <v>40</v>
      </c>
      <c r="H28" s="628">
        <f>F28/E4</f>
        <v>3.4013605442176874E-2</v>
      </c>
      <c r="I28" s="363">
        <f t="shared" si="2"/>
        <v>140</v>
      </c>
      <c r="J28" s="400">
        <f>G28/F4</f>
        <v>4.0080160320641281E-2</v>
      </c>
      <c r="K28" s="363">
        <v>107000</v>
      </c>
      <c r="L28" s="609">
        <f t="shared" si="0"/>
        <v>535</v>
      </c>
      <c r="M28" s="609">
        <f t="shared" si="1"/>
        <v>4280</v>
      </c>
      <c r="N28" s="609">
        <f>L28/E4</f>
        <v>3.639455782312925</v>
      </c>
      <c r="O28" s="629">
        <f>M28/F4</f>
        <v>4.2885771543086175</v>
      </c>
    </row>
    <row r="29" spans="1:15">
      <c r="A29" s="626">
        <v>21</v>
      </c>
      <c r="B29" s="397" t="s">
        <v>52</v>
      </c>
      <c r="C29" s="363">
        <v>148</v>
      </c>
      <c r="D29" s="399"/>
      <c r="E29" s="399"/>
      <c r="F29" s="627">
        <v>3</v>
      </c>
      <c r="G29" s="362">
        <f>'07-07-26'!G29+'08-07-26'!F29</f>
        <v>24</v>
      </c>
      <c r="H29" s="628">
        <f>F29/E4</f>
        <v>2.0408163265306121E-2</v>
      </c>
      <c r="I29" s="363">
        <f t="shared" si="2"/>
        <v>145</v>
      </c>
      <c r="J29" s="400">
        <f>G29/F4</f>
        <v>2.4048096192384769E-2</v>
      </c>
      <c r="K29" s="363">
        <v>100000</v>
      </c>
      <c r="L29" s="609">
        <f t="shared" si="0"/>
        <v>300</v>
      </c>
      <c r="M29" s="609">
        <f t="shared" si="1"/>
        <v>2400</v>
      </c>
      <c r="N29" s="609">
        <f>L29/E4</f>
        <v>2.0408163265306123</v>
      </c>
      <c r="O29" s="630">
        <f>M29/F4</f>
        <v>2.4048096192384771</v>
      </c>
    </row>
    <row r="30" spans="1:15">
      <c r="A30" s="626">
        <v>22</v>
      </c>
      <c r="B30" s="397" t="s">
        <v>53</v>
      </c>
      <c r="C30" s="363">
        <v>57</v>
      </c>
      <c r="D30" s="399"/>
      <c r="E30" s="399"/>
      <c r="F30" s="627">
        <v>1</v>
      </c>
      <c r="G30" s="362">
        <f>'07-07-26'!G30+'08-07-26'!F30</f>
        <v>8</v>
      </c>
      <c r="H30" s="628">
        <f>F30/E4</f>
        <v>6.8027210884353739E-3</v>
      </c>
      <c r="I30" s="363">
        <f t="shared" si="2"/>
        <v>56</v>
      </c>
      <c r="J30" s="400">
        <f>G30/F4</f>
        <v>8.0160320641282558E-3</v>
      </c>
      <c r="K30" s="363">
        <v>255000</v>
      </c>
      <c r="L30" s="609">
        <f t="shared" si="0"/>
        <v>255</v>
      </c>
      <c r="M30" s="609">
        <f t="shared" si="1"/>
        <v>2040</v>
      </c>
      <c r="N30" s="631">
        <f>L30/E4</f>
        <v>1.7346938775510203</v>
      </c>
      <c r="O30" s="632">
        <f>M30/F4</f>
        <v>2.0440881763527052</v>
      </c>
    </row>
    <row r="31" spans="1:15">
      <c r="A31" s="626">
        <v>23</v>
      </c>
      <c r="B31" s="397" t="s">
        <v>54</v>
      </c>
      <c r="C31" s="363">
        <v>480</v>
      </c>
      <c r="D31" s="399"/>
      <c r="E31" s="399"/>
      <c r="F31" s="627">
        <v>0</v>
      </c>
      <c r="G31" s="362">
        <f>'07-07-26'!G31+'08-07-26'!F31</f>
        <v>0</v>
      </c>
      <c r="H31" s="628">
        <f>F31/E4</f>
        <v>0</v>
      </c>
      <c r="I31" s="363">
        <f t="shared" si="2"/>
        <v>480</v>
      </c>
      <c r="J31" s="400">
        <f>G31/F4</f>
        <v>0</v>
      </c>
      <c r="K31" s="363">
        <v>56000</v>
      </c>
      <c r="L31" s="609">
        <f t="shared" si="0"/>
        <v>0</v>
      </c>
      <c r="M31" s="609">
        <f t="shared" si="1"/>
        <v>0</v>
      </c>
      <c r="N31" s="631">
        <f>M30/F4</f>
        <v>2.0440881763527052</v>
      </c>
      <c r="O31" s="632">
        <f>M31/F4</f>
        <v>0</v>
      </c>
    </row>
    <row r="32" spans="1:15">
      <c r="A32" s="633">
        <v>24</v>
      </c>
      <c r="B32" s="406" t="s">
        <v>55</v>
      </c>
      <c r="C32" s="604">
        <v>0</v>
      </c>
      <c r="D32" s="408"/>
      <c r="E32" s="408"/>
      <c r="F32" s="634">
        <v>0</v>
      </c>
      <c r="G32" s="362">
        <f>'07-07-26'!G10+'08-07-26'!F10</f>
        <v>1480</v>
      </c>
      <c r="H32" s="635">
        <f>F32/E4</f>
        <v>0</v>
      </c>
      <c r="I32" s="411">
        <f t="shared" si="2"/>
        <v>0</v>
      </c>
      <c r="J32" s="410">
        <f>G32/F4</f>
        <v>1.4829659318637274</v>
      </c>
      <c r="K32" s="411">
        <v>90000</v>
      </c>
      <c r="L32" s="636">
        <f t="shared" si="0"/>
        <v>0</v>
      </c>
      <c r="M32" s="636">
        <f t="shared" si="1"/>
        <v>133200</v>
      </c>
      <c r="N32" s="629">
        <f>M31/F4</f>
        <v>0</v>
      </c>
      <c r="O32" s="632">
        <f>M32/F4</f>
        <v>133.46693386773546</v>
      </c>
    </row>
    <row r="33" spans="1:15">
      <c r="A33" s="415" t="s">
        <v>56</v>
      </c>
      <c r="B33" s="415" t="s">
        <v>57</v>
      </c>
      <c r="C33" s="416" t="s">
        <v>58</v>
      </c>
      <c r="D33" s="1312" t="s">
        <v>59</v>
      </c>
      <c r="E33" s="1316"/>
      <c r="F33" s="1316"/>
      <c r="G33" s="1289"/>
      <c r="H33" s="1290"/>
      <c r="I33" s="1290"/>
      <c r="J33" s="1290"/>
      <c r="K33" s="1290"/>
      <c r="L33" s="1291"/>
      <c r="M33" s="637" t="s">
        <v>60</v>
      </c>
      <c r="N33" s="638">
        <f>SUM(N9:N32)</f>
        <v>1075.5236800130874</v>
      </c>
      <c r="O33" s="639">
        <f>SUM(O9:O32)</f>
        <v>1291.1623647294587</v>
      </c>
    </row>
    <row r="34" spans="1:15">
      <c r="A34" s="640">
        <v>1</v>
      </c>
      <c r="B34" s="421"/>
      <c r="C34" s="422"/>
      <c r="D34" s="1298"/>
      <c r="E34" s="1299"/>
      <c r="F34" s="553">
        <f>C34*E4/C41</f>
        <v>0</v>
      </c>
      <c r="G34" s="1292"/>
      <c r="H34" s="1293"/>
      <c r="I34" s="1293"/>
      <c r="J34" s="1293"/>
      <c r="K34" s="1293"/>
      <c r="L34" s="1294"/>
      <c r="M34" s="424"/>
      <c r="N34" s="641" t="s">
        <v>17</v>
      </c>
      <c r="O34" s="642" t="s">
        <v>17</v>
      </c>
    </row>
    <row r="35" spans="1:15">
      <c r="A35" s="640">
        <v>2</v>
      </c>
      <c r="B35" s="421"/>
      <c r="C35" s="427"/>
      <c r="D35" s="1300"/>
      <c r="E35" s="1301"/>
      <c r="F35" s="560">
        <f>C35*E4/C41</f>
        <v>0</v>
      </c>
      <c r="G35" s="1292"/>
      <c r="H35" s="1293"/>
      <c r="I35" s="1293"/>
      <c r="J35" s="1293"/>
      <c r="K35" s="1293"/>
      <c r="L35" s="1294"/>
      <c r="M35" s="429"/>
      <c r="N35" s="430" t="s">
        <v>25</v>
      </c>
      <c r="O35" s="643" t="s">
        <v>26</v>
      </c>
    </row>
    <row r="36" spans="1:15">
      <c r="A36" s="640">
        <v>3</v>
      </c>
      <c r="B36" s="421"/>
      <c r="C36" s="606">
        <v>0</v>
      </c>
      <c r="D36" s="1300"/>
      <c r="E36" s="1301"/>
      <c r="F36" s="560">
        <f>C36*E4/C41</f>
        <v>0</v>
      </c>
      <c r="G36" s="1292"/>
      <c r="H36" s="1293"/>
      <c r="I36" s="1293"/>
      <c r="J36" s="1293"/>
      <c r="K36" s="1293"/>
      <c r="L36" s="1294"/>
      <c r="M36" s="429"/>
      <c r="N36" s="430" t="s">
        <v>63</v>
      </c>
      <c r="O36" s="643" t="s">
        <v>63</v>
      </c>
    </row>
    <row r="37" spans="1:15">
      <c r="A37" s="640">
        <v>4</v>
      </c>
      <c r="B37" s="421" t="s">
        <v>73</v>
      </c>
      <c r="C37" s="432">
        <v>89</v>
      </c>
      <c r="D37" s="433"/>
      <c r="E37" s="321"/>
      <c r="F37" s="565">
        <f>C37*E4/C41</f>
        <v>147</v>
      </c>
      <c r="G37" s="1295"/>
      <c r="H37" s="1296"/>
      <c r="I37" s="1296"/>
      <c r="J37" s="1296"/>
      <c r="K37" s="1296"/>
      <c r="L37" s="1297"/>
      <c r="M37" s="644" t="s">
        <v>60</v>
      </c>
      <c r="N37" s="645">
        <f>N33/1000</f>
        <v>1.0755236800130874</v>
      </c>
      <c r="O37" s="646">
        <f>O33/1000</f>
        <v>1.2911623647294586</v>
      </c>
    </row>
    <row r="38" spans="1:15">
      <c r="A38" s="640">
        <v>5</v>
      </c>
      <c r="B38" s="421"/>
      <c r="C38" s="647"/>
      <c r="D38" s="433"/>
      <c r="E38" s="321"/>
      <c r="F38" s="746"/>
      <c r="G38" s="322"/>
      <c r="H38" s="322"/>
      <c r="I38" s="322"/>
      <c r="J38" s="322"/>
      <c r="K38" s="322"/>
      <c r="L38" s="322"/>
      <c r="M38" s="648"/>
      <c r="N38" s="649"/>
      <c r="O38" s="650"/>
    </row>
    <row r="39" spans="1:15">
      <c r="A39" s="640">
        <v>6</v>
      </c>
      <c r="B39" s="421"/>
      <c r="C39" s="432"/>
      <c r="D39" s="433"/>
      <c r="E39" s="321"/>
      <c r="F39" s="746"/>
      <c r="G39" s="322"/>
      <c r="H39" s="322"/>
      <c r="I39" s="322"/>
      <c r="J39" s="322"/>
      <c r="K39" s="322"/>
      <c r="L39" s="322"/>
      <c r="M39" s="648"/>
      <c r="N39" s="649"/>
      <c r="O39" s="650"/>
    </row>
    <row r="40" spans="1:15">
      <c r="A40" s="651">
        <v>7</v>
      </c>
      <c r="B40" s="421"/>
      <c r="C40" s="432"/>
      <c r="D40" s="433"/>
      <c r="E40" s="321"/>
      <c r="F40" s="746"/>
      <c r="G40" s="322"/>
      <c r="H40" s="322"/>
      <c r="I40" s="322"/>
      <c r="J40" s="322"/>
      <c r="K40" s="322"/>
      <c r="L40" s="322"/>
      <c r="M40" s="648"/>
      <c r="N40" s="649"/>
      <c r="O40" s="650"/>
    </row>
    <row r="41" spans="1:15">
      <c r="A41" s="652">
        <v>4</v>
      </c>
      <c r="B41" s="653" t="s">
        <v>60</v>
      </c>
      <c r="C41" s="654">
        <f>SUM(C34,C35,C36,C37,C38,C39,C40)</f>
        <v>89</v>
      </c>
      <c r="D41" s="1286">
        <f>SUM(F34,F35,F36,F37,F38,F39,F40)</f>
        <v>147</v>
      </c>
      <c r="E41" s="1287"/>
      <c r="F41" s="1288"/>
      <c r="G41" s="610"/>
      <c r="H41" s="610"/>
      <c r="I41" s="610"/>
      <c r="J41" s="610"/>
      <c r="K41" s="610"/>
      <c r="L41" s="610"/>
      <c r="M41" s="610"/>
      <c r="N41" s="610"/>
      <c r="O41" s="655"/>
    </row>
  </sheetData>
  <mergeCells count="14">
    <mergeCell ref="D41:F41"/>
    <mergeCell ref="G33:L37"/>
    <mergeCell ref="D34:E36"/>
    <mergeCell ref="A1:O2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1"/>
  <sheetViews>
    <sheetView workbookViewId="0">
      <selection activeCell="E9" sqref="E9"/>
    </sheetView>
  </sheetViews>
  <sheetFormatPr defaultColWidth="9.140625" defaultRowHeight="12.75"/>
  <cols>
    <col min="1" max="1" width="9.140625" style="160"/>
    <col min="2" max="2" width="23" style="160" customWidth="1"/>
    <col min="3" max="16384" width="9.140625" style="160"/>
  </cols>
  <sheetData>
    <row r="1" spans="1:15">
      <c r="A1" s="1169" t="s">
        <v>0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1"/>
    </row>
    <row r="2" spans="1:15">
      <c r="A2" s="1172"/>
      <c r="B2" s="1173"/>
      <c r="C2" s="1173"/>
      <c r="D2" s="1173"/>
      <c r="E2" s="1173"/>
      <c r="F2" s="1173"/>
      <c r="G2" s="1173"/>
      <c r="H2" s="1173"/>
      <c r="I2" s="1173"/>
      <c r="J2" s="1173"/>
      <c r="K2" s="1173"/>
      <c r="L2" s="1173"/>
      <c r="M2" s="1173"/>
      <c r="N2" s="1173"/>
      <c r="O2" s="1174"/>
    </row>
    <row r="3" spans="1:15" ht="15">
      <c r="A3" s="1160" t="s">
        <v>1</v>
      </c>
      <c r="B3" s="1196"/>
      <c r="C3" s="1196"/>
      <c r="D3" s="1196"/>
      <c r="E3" s="1196"/>
      <c r="F3" s="1196"/>
      <c r="G3" s="1196"/>
      <c r="H3" s="1196"/>
      <c r="I3" s="1196"/>
      <c r="J3" s="1196"/>
      <c r="K3" s="1196"/>
      <c r="L3" s="1196"/>
      <c r="M3" s="1196"/>
      <c r="N3" s="1196"/>
      <c r="O3" s="1197"/>
    </row>
    <row r="4" spans="1:15" ht="15">
      <c r="A4" s="1160" t="s">
        <v>2</v>
      </c>
      <c r="B4" s="1196"/>
      <c r="C4" s="1196"/>
      <c r="D4" s="1197"/>
      <c r="E4" s="656">
        <v>134</v>
      </c>
      <c r="F4" s="161">
        <v>1132</v>
      </c>
      <c r="G4" s="657">
        <v>125.777</v>
      </c>
      <c r="H4" s="1198" t="s">
        <v>79</v>
      </c>
      <c r="I4" s="1199"/>
      <c r="J4" s="1199"/>
      <c r="K4" s="1199"/>
      <c r="L4" s="1199"/>
      <c r="M4" s="1199"/>
      <c r="N4" s="1199"/>
      <c r="O4" s="1200"/>
    </row>
    <row r="5" spans="1:15">
      <c r="A5" s="1201" t="s">
        <v>5</v>
      </c>
      <c r="B5" s="1202"/>
      <c r="C5" s="1203" t="s">
        <v>6</v>
      </c>
      <c r="D5" s="1204"/>
      <c r="E5" s="658">
        <v>0</v>
      </c>
      <c r="F5" s="659">
        <v>0</v>
      </c>
      <c r="G5" s="660" t="s">
        <v>75</v>
      </c>
      <c r="H5" s="166"/>
      <c r="I5" s="166"/>
      <c r="J5" s="166"/>
      <c r="K5" s="167"/>
      <c r="L5" s="167"/>
      <c r="M5" s="167"/>
      <c r="N5" s="661"/>
      <c r="O5" s="662"/>
    </row>
    <row r="6" spans="1:15">
      <c r="A6" s="253" t="s">
        <v>8</v>
      </c>
      <c r="B6" s="171" t="s">
        <v>9</v>
      </c>
      <c r="C6" s="171" t="s">
        <v>10</v>
      </c>
      <c r="D6" s="1187" t="s">
        <v>11</v>
      </c>
      <c r="E6" s="1188"/>
      <c r="F6" s="1189" t="s">
        <v>12</v>
      </c>
      <c r="G6" s="1190"/>
      <c r="H6" s="172" t="s">
        <v>13</v>
      </c>
      <c r="I6" s="173" t="s">
        <v>9</v>
      </c>
      <c r="J6" s="174" t="s">
        <v>14</v>
      </c>
      <c r="K6" s="175" t="s">
        <v>15</v>
      </c>
      <c r="L6" s="1191" t="s">
        <v>16</v>
      </c>
      <c r="M6" s="1192"/>
      <c r="N6" s="1193" t="s">
        <v>17</v>
      </c>
      <c r="O6" s="1194"/>
    </row>
    <row r="7" spans="1:15">
      <c r="A7" s="253" t="s">
        <v>18</v>
      </c>
      <c r="B7" s="171" t="s">
        <v>19</v>
      </c>
      <c r="C7" s="171" t="s">
        <v>20</v>
      </c>
      <c r="D7" s="171" t="s">
        <v>21</v>
      </c>
      <c r="E7" s="176" t="s">
        <v>14</v>
      </c>
      <c r="F7" s="177" t="s">
        <v>21</v>
      </c>
      <c r="G7" s="177" t="s">
        <v>14</v>
      </c>
      <c r="H7" s="178" t="s">
        <v>22</v>
      </c>
      <c r="I7" s="179" t="s">
        <v>23</v>
      </c>
      <c r="J7" s="180" t="s">
        <v>22</v>
      </c>
      <c r="K7" s="181" t="s">
        <v>24</v>
      </c>
      <c r="L7" s="181" t="s">
        <v>25</v>
      </c>
      <c r="M7" s="179" t="s">
        <v>26</v>
      </c>
      <c r="N7" s="175" t="s">
        <v>25</v>
      </c>
      <c r="O7" s="663" t="s">
        <v>26</v>
      </c>
    </row>
    <row r="8" spans="1:15">
      <c r="A8" s="664"/>
      <c r="B8" s="171"/>
      <c r="C8" s="171" t="s">
        <v>27</v>
      </c>
      <c r="D8" s="171" t="s">
        <v>27</v>
      </c>
      <c r="E8" s="171" t="s">
        <v>27</v>
      </c>
      <c r="F8" s="184" t="s">
        <v>27</v>
      </c>
      <c r="G8" s="184" t="s">
        <v>27</v>
      </c>
      <c r="H8" s="178" t="s">
        <v>28</v>
      </c>
      <c r="I8" s="179"/>
      <c r="J8" s="180" t="s">
        <v>28</v>
      </c>
      <c r="K8" s="181" t="s">
        <v>29</v>
      </c>
      <c r="L8" s="181" t="s">
        <v>30</v>
      </c>
      <c r="M8" s="179" t="s">
        <v>30</v>
      </c>
      <c r="N8" s="181" t="s">
        <v>31</v>
      </c>
      <c r="O8" s="665" t="s">
        <v>31</v>
      </c>
    </row>
    <row r="9" spans="1:15">
      <c r="A9" s="666">
        <v>1</v>
      </c>
      <c r="B9" s="187" t="s">
        <v>32</v>
      </c>
      <c r="C9" s="188">
        <v>16150</v>
      </c>
      <c r="D9" s="189">
        <v>0</v>
      </c>
      <c r="E9" s="188">
        <v>28000</v>
      </c>
      <c r="F9" s="667">
        <v>3000</v>
      </c>
      <c r="G9" s="200">
        <f>'08-07-26'!G9+'09-07-26'!F9</f>
        <v>28250</v>
      </c>
      <c r="H9" s="668">
        <f>F9/E4</f>
        <v>22.388059701492537</v>
      </c>
      <c r="I9" s="200">
        <f>(C9-F9)+D9</f>
        <v>13150</v>
      </c>
      <c r="J9" s="192">
        <f>G9/F4</f>
        <v>24.955830388692579</v>
      </c>
      <c r="K9" s="193">
        <v>28500</v>
      </c>
      <c r="L9" s="669">
        <f t="shared" ref="L9:L32" si="0">(F9/1000)*K9</f>
        <v>85500</v>
      </c>
      <c r="M9" s="670">
        <f t="shared" ref="M9:M32" si="1">(G9/1000)*K9</f>
        <v>805125</v>
      </c>
      <c r="N9" s="671">
        <f>L9/E4</f>
        <v>638.05970149253733</v>
      </c>
      <c r="O9" s="672">
        <f>M9/F4</f>
        <v>711.24116607773851</v>
      </c>
    </row>
    <row r="10" spans="1:15">
      <c r="A10" s="673">
        <v>2</v>
      </c>
      <c r="B10" s="199" t="s">
        <v>33</v>
      </c>
      <c r="C10" s="200">
        <v>7520</v>
      </c>
      <c r="D10" s="201"/>
      <c r="E10" s="200"/>
      <c r="F10" s="674">
        <v>220</v>
      </c>
      <c r="G10" s="200">
        <f>'08-07-26'!G10+'09-07-26'!F10</f>
        <v>1700</v>
      </c>
      <c r="H10" s="675">
        <f>F10/E4</f>
        <v>1.6417910447761195</v>
      </c>
      <c r="I10" s="200">
        <f t="shared" ref="I10:I32" si="2">(C10-F10)+D10</f>
        <v>7300</v>
      </c>
      <c r="J10" s="203">
        <f>G32/F4</f>
        <v>1.3074204946996466</v>
      </c>
      <c r="K10" s="190">
        <v>35500</v>
      </c>
      <c r="L10" s="676">
        <f t="shared" si="0"/>
        <v>7810</v>
      </c>
      <c r="M10" s="676">
        <f t="shared" si="1"/>
        <v>60350</v>
      </c>
      <c r="N10" s="677">
        <f>L10/E4</f>
        <v>58.28358208955224</v>
      </c>
      <c r="O10" s="678">
        <f>M10/F4</f>
        <v>53.312720848056536</v>
      </c>
    </row>
    <row r="11" spans="1:15">
      <c r="A11" s="673">
        <v>3</v>
      </c>
      <c r="B11" s="199" t="s">
        <v>34</v>
      </c>
      <c r="C11" s="200">
        <v>6383</v>
      </c>
      <c r="D11" s="201"/>
      <c r="E11" s="200"/>
      <c r="F11" s="674">
        <v>63</v>
      </c>
      <c r="G11" s="200">
        <f>'08-07-26'!G11+'09-07-26'!F11</f>
        <v>500</v>
      </c>
      <c r="H11" s="675">
        <f>F11/E4</f>
        <v>0.47014925373134331</v>
      </c>
      <c r="I11" s="200">
        <f t="shared" si="2"/>
        <v>6320</v>
      </c>
      <c r="J11" s="203">
        <f>G11/F4</f>
        <v>0.44169611307420492</v>
      </c>
      <c r="K11" s="190">
        <v>98000</v>
      </c>
      <c r="L11" s="676">
        <f t="shared" si="0"/>
        <v>6174</v>
      </c>
      <c r="M11" s="676">
        <f t="shared" si="1"/>
        <v>49000</v>
      </c>
      <c r="N11" s="677">
        <f>L11/E4</f>
        <v>46.07462686567164</v>
      </c>
      <c r="O11" s="678">
        <f>M11/F4</f>
        <v>43.286219081272087</v>
      </c>
    </row>
    <row r="12" spans="1:15">
      <c r="A12" s="673">
        <v>4</v>
      </c>
      <c r="B12" s="199" t="s">
        <v>35</v>
      </c>
      <c r="C12" s="200">
        <v>20.36</v>
      </c>
      <c r="D12" s="201"/>
      <c r="E12" s="200"/>
      <c r="F12" s="674">
        <v>0.08</v>
      </c>
      <c r="G12" s="200">
        <f>'08-07-26'!G12+'09-07-26'!F12</f>
        <v>0.72</v>
      </c>
      <c r="H12" s="679">
        <f>F12/E4</f>
        <v>5.9701492537313433E-4</v>
      </c>
      <c r="I12" s="200">
        <f t="shared" si="2"/>
        <v>20.28</v>
      </c>
      <c r="J12" s="208">
        <f>G12/F4</f>
        <v>6.3604240282685506E-4</v>
      </c>
      <c r="K12" s="190">
        <v>750000</v>
      </c>
      <c r="L12" s="676">
        <f t="shared" si="0"/>
        <v>60.000000000000007</v>
      </c>
      <c r="M12" s="676">
        <f t="shared" si="1"/>
        <v>540</v>
      </c>
      <c r="N12" s="677">
        <f>L12/E4</f>
        <v>0.44776119402985082</v>
      </c>
      <c r="O12" s="678">
        <f>M12/F4</f>
        <v>0.47703180212014135</v>
      </c>
    </row>
    <row r="13" spans="1:15">
      <c r="A13" s="673">
        <v>5</v>
      </c>
      <c r="B13" s="199" t="s">
        <v>36</v>
      </c>
      <c r="C13" s="200">
        <v>349</v>
      </c>
      <c r="D13" s="201"/>
      <c r="E13" s="200"/>
      <c r="F13" s="680">
        <v>20</v>
      </c>
      <c r="G13" s="200">
        <f>'08-07-26'!G13+'09-07-26'!F13</f>
        <v>171</v>
      </c>
      <c r="H13" s="675">
        <f>F13/E4</f>
        <v>0.14925373134328357</v>
      </c>
      <c r="I13" s="200">
        <f t="shared" si="2"/>
        <v>329</v>
      </c>
      <c r="J13" s="203">
        <f>G13/F4</f>
        <v>0.15106007067137808</v>
      </c>
      <c r="K13" s="190">
        <v>350000</v>
      </c>
      <c r="L13" s="676">
        <f t="shared" si="0"/>
        <v>7000</v>
      </c>
      <c r="M13" s="676">
        <f t="shared" si="1"/>
        <v>59850.000000000007</v>
      </c>
      <c r="N13" s="677">
        <f>L13/E4</f>
        <v>52.238805970149251</v>
      </c>
      <c r="O13" s="678">
        <f>M13/F4</f>
        <v>52.871024734982342</v>
      </c>
    </row>
    <row r="14" spans="1:15">
      <c r="A14" s="673">
        <v>6</v>
      </c>
      <c r="B14" s="199" t="s">
        <v>37</v>
      </c>
      <c r="C14" s="200">
        <v>2040</v>
      </c>
      <c r="D14" s="201"/>
      <c r="E14" s="674"/>
      <c r="F14" s="200">
        <v>45</v>
      </c>
      <c r="G14" s="200">
        <f>'08-07-26'!G14+'09-07-26'!F14</f>
        <v>405</v>
      </c>
      <c r="H14" s="675">
        <f>F14/E4</f>
        <v>0.33582089552238809</v>
      </c>
      <c r="I14" s="200">
        <f t="shared" si="2"/>
        <v>1995</v>
      </c>
      <c r="J14" s="203">
        <f>G14/F4</f>
        <v>0.357773851590106</v>
      </c>
      <c r="K14" s="190">
        <v>204500</v>
      </c>
      <c r="L14" s="676">
        <f t="shared" si="0"/>
        <v>9202.5</v>
      </c>
      <c r="M14" s="676">
        <f t="shared" si="1"/>
        <v>82822.5</v>
      </c>
      <c r="N14" s="677">
        <f>L14/E4</f>
        <v>68.675373134328353</v>
      </c>
      <c r="O14" s="678">
        <f>M14/F4</f>
        <v>73.164752650176681</v>
      </c>
    </row>
    <row r="15" spans="1:15">
      <c r="A15" s="673">
        <v>7</v>
      </c>
      <c r="B15" s="199" t="s">
        <v>38</v>
      </c>
      <c r="C15" s="200">
        <v>1401</v>
      </c>
      <c r="D15" s="201"/>
      <c r="E15" s="681"/>
      <c r="F15" s="682">
        <v>54</v>
      </c>
      <c r="G15" s="200">
        <f>'08-07-26'!G15+'09-07-26'!F15</f>
        <v>403</v>
      </c>
      <c r="H15" s="675">
        <f>F15/E4</f>
        <v>0.40298507462686567</v>
      </c>
      <c r="I15" s="200">
        <f t="shared" si="2"/>
        <v>1347</v>
      </c>
      <c r="J15" s="203">
        <f>G15/F4</f>
        <v>0.35600706713780916</v>
      </c>
      <c r="K15" s="190">
        <v>129500</v>
      </c>
      <c r="L15" s="676">
        <f t="shared" si="0"/>
        <v>6993</v>
      </c>
      <c r="M15" s="676">
        <f t="shared" si="1"/>
        <v>52188.5</v>
      </c>
      <c r="N15" s="677">
        <f>L15/E4</f>
        <v>52.186567164179102</v>
      </c>
      <c r="O15" s="678">
        <f>M15/F4</f>
        <v>46.102915194346288</v>
      </c>
    </row>
    <row r="16" spans="1:15">
      <c r="A16" s="673">
        <v>8</v>
      </c>
      <c r="B16" s="199" t="s">
        <v>39</v>
      </c>
      <c r="C16" s="200">
        <v>855</v>
      </c>
      <c r="D16" s="674"/>
      <c r="E16" s="200"/>
      <c r="F16" s="683">
        <v>20</v>
      </c>
      <c r="G16" s="200">
        <f>'08-07-26'!G16+'09-07-26'!F16</f>
        <v>150</v>
      </c>
      <c r="H16" s="675">
        <f>F16/E4</f>
        <v>0.14925373134328357</v>
      </c>
      <c r="I16" s="200">
        <f t="shared" si="2"/>
        <v>835</v>
      </c>
      <c r="J16" s="203">
        <f>G16/F4</f>
        <v>0.13250883392226148</v>
      </c>
      <c r="K16" s="190">
        <v>219500</v>
      </c>
      <c r="L16" s="676">
        <f t="shared" si="0"/>
        <v>4390</v>
      </c>
      <c r="M16" s="676">
        <f t="shared" si="1"/>
        <v>32925</v>
      </c>
      <c r="N16" s="677">
        <f>L16/E4</f>
        <v>32.761194029850749</v>
      </c>
      <c r="O16" s="678">
        <f>M16/F4</f>
        <v>29.085689045936395</v>
      </c>
    </row>
    <row r="17" spans="1:15">
      <c r="A17" s="673">
        <v>9</v>
      </c>
      <c r="B17" s="199" t="s">
        <v>40</v>
      </c>
      <c r="C17" s="200">
        <v>21</v>
      </c>
      <c r="D17" s="201"/>
      <c r="E17" s="684"/>
      <c r="F17" s="674">
        <v>0</v>
      </c>
      <c r="G17" s="200">
        <f>'08-07-26'!G17+'09-07-26'!F17</f>
        <v>0</v>
      </c>
      <c r="H17" s="675">
        <f>F17/E4</f>
        <v>0</v>
      </c>
      <c r="I17" s="200">
        <f t="shared" si="2"/>
        <v>21</v>
      </c>
      <c r="J17" s="203">
        <f>G17/F4</f>
        <v>0</v>
      </c>
      <c r="K17" s="190">
        <v>348200</v>
      </c>
      <c r="L17" s="676">
        <f t="shared" si="0"/>
        <v>0</v>
      </c>
      <c r="M17" s="685">
        <f t="shared" si="1"/>
        <v>0</v>
      </c>
      <c r="N17" s="677">
        <f>L17/E4</f>
        <v>0</v>
      </c>
      <c r="O17" s="678">
        <f>M17/F4</f>
        <v>0</v>
      </c>
    </row>
    <row r="18" spans="1:15">
      <c r="A18" s="686">
        <v>10</v>
      </c>
      <c r="B18" s="211" t="s">
        <v>41</v>
      </c>
      <c r="C18" s="212">
        <v>3950</v>
      </c>
      <c r="D18" s="212"/>
      <c r="E18" s="212"/>
      <c r="F18" s="687">
        <v>0</v>
      </c>
      <c r="G18" s="200">
        <f>'08-07-26'!G18+'09-07-26'!F18</f>
        <v>0</v>
      </c>
      <c r="H18" s="688">
        <f>F18/E4</f>
        <v>0</v>
      </c>
      <c r="I18" s="200">
        <f t="shared" si="2"/>
        <v>3950</v>
      </c>
      <c r="J18" s="213">
        <f>G18/F4</f>
        <v>0</v>
      </c>
      <c r="K18" s="214">
        <v>172000</v>
      </c>
      <c r="L18" s="689">
        <f t="shared" si="0"/>
        <v>0</v>
      </c>
      <c r="M18" s="689">
        <f t="shared" si="1"/>
        <v>0</v>
      </c>
      <c r="N18" s="689">
        <f>L18/E4</f>
        <v>0</v>
      </c>
      <c r="O18" s="690">
        <f>M18/F4</f>
        <v>0</v>
      </c>
    </row>
    <row r="19" spans="1:15">
      <c r="A19" s="691">
        <v>11</v>
      </c>
      <c r="B19" s="218" t="s">
        <v>42</v>
      </c>
      <c r="C19" s="219">
        <v>48</v>
      </c>
      <c r="D19" s="219"/>
      <c r="E19" s="219"/>
      <c r="F19" s="692">
        <v>0</v>
      </c>
      <c r="G19" s="200">
        <f>'08-07-26'!G19+'09-07-26'!F19</f>
        <v>0</v>
      </c>
      <c r="H19" s="688">
        <f>F19/E4</f>
        <v>0</v>
      </c>
      <c r="I19" s="200">
        <f t="shared" si="2"/>
        <v>48</v>
      </c>
      <c r="J19" s="220">
        <f>G19/F4</f>
        <v>0</v>
      </c>
      <c r="K19" s="219">
        <v>200000</v>
      </c>
      <c r="L19" s="693">
        <f t="shared" si="0"/>
        <v>0</v>
      </c>
      <c r="M19" s="693">
        <f t="shared" si="1"/>
        <v>0</v>
      </c>
      <c r="N19" s="693">
        <f>L19/E4</f>
        <v>0</v>
      </c>
      <c r="O19" s="694">
        <f>M19/F4</f>
        <v>0</v>
      </c>
    </row>
    <row r="20" spans="1:15">
      <c r="A20" s="695">
        <v>12</v>
      </c>
      <c r="B20" s="224" t="s">
        <v>43</v>
      </c>
      <c r="C20" s="225">
        <v>119.3</v>
      </c>
      <c r="D20" s="226"/>
      <c r="E20" s="226"/>
      <c r="F20" s="696">
        <v>7.2</v>
      </c>
      <c r="G20" s="200">
        <f>'08-07-26'!G20+'09-07-26'!F20</f>
        <v>51.100000000000009</v>
      </c>
      <c r="H20" s="697">
        <f>F20/E4</f>
        <v>5.3731343283582089E-2</v>
      </c>
      <c r="I20" s="200">
        <f t="shared" si="2"/>
        <v>112.1</v>
      </c>
      <c r="J20" s="230">
        <f>G20/F4</f>
        <v>4.5141342756183755E-2</v>
      </c>
      <c r="K20" s="225">
        <v>377600</v>
      </c>
      <c r="L20" s="698">
        <f t="shared" si="0"/>
        <v>2718.72</v>
      </c>
      <c r="M20" s="698">
        <f t="shared" si="1"/>
        <v>19295.360000000004</v>
      </c>
      <c r="N20" s="698">
        <f>L20/E4</f>
        <v>20.288955223880595</v>
      </c>
      <c r="O20" s="699">
        <f>M20/F4</f>
        <v>17.045371024734987</v>
      </c>
    </row>
    <row r="21" spans="1:15">
      <c r="A21" s="695">
        <v>13</v>
      </c>
      <c r="B21" s="224" t="s">
        <v>44</v>
      </c>
      <c r="C21" s="225">
        <v>108.4</v>
      </c>
      <c r="D21" s="226"/>
      <c r="E21" s="226"/>
      <c r="F21" s="696">
        <v>4.3</v>
      </c>
      <c r="G21" s="200">
        <f>'08-07-26'!G21+'09-07-26'!F21</f>
        <v>30.4</v>
      </c>
      <c r="H21" s="700">
        <f>F21/E4</f>
        <v>3.2089552238805968E-2</v>
      </c>
      <c r="I21" s="200">
        <f t="shared" si="2"/>
        <v>104.10000000000001</v>
      </c>
      <c r="J21" s="230">
        <f>G21/F4</f>
        <v>2.6855123674911659E-2</v>
      </c>
      <c r="K21" s="225">
        <v>271400</v>
      </c>
      <c r="L21" s="698">
        <f t="shared" si="0"/>
        <v>1167.02</v>
      </c>
      <c r="M21" s="698">
        <f t="shared" si="1"/>
        <v>8250.56</v>
      </c>
      <c r="N21" s="698">
        <f>L21/E4</f>
        <v>8.7091044776119393</v>
      </c>
      <c r="O21" s="699">
        <f>M21/F4</f>
        <v>7.2884805653710245</v>
      </c>
    </row>
    <row r="22" spans="1:15">
      <c r="A22" s="695">
        <v>14</v>
      </c>
      <c r="B22" s="224" t="s">
        <v>45</v>
      </c>
      <c r="C22" s="225">
        <v>1561.8</v>
      </c>
      <c r="D22" s="226"/>
      <c r="E22" s="226"/>
      <c r="F22" s="696">
        <v>61.9</v>
      </c>
      <c r="G22" s="200">
        <f>'08-07-26'!G22+'09-07-26'!F22</f>
        <v>439.29999999999995</v>
      </c>
      <c r="H22" s="700">
        <f>F22/E4</f>
        <v>0.46194029850746265</v>
      </c>
      <c r="I22" s="200">
        <f t="shared" si="2"/>
        <v>1499.8999999999999</v>
      </c>
      <c r="J22" s="230">
        <f>G22/F4</f>
        <v>0.3880742049469964</v>
      </c>
      <c r="K22" s="225">
        <v>271400</v>
      </c>
      <c r="L22" s="698">
        <f t="shared" si="0"/>
        <v>16799.66</v>
      </c>
      <c r="M22" s="698">
        <f t="shared" si="1"/>
        <v>119226.01999999999</v>
      </c>
      <c r="N22" s="698">
        <f>L22/E4</f>
        <v>125.37059701492537</v>
      </c>
      <c r="O22" s="699">
        <f>M22/F4</f>
        <v>105.32333922261483</v>
      </c>
    </row>
    <row r="23" spans="1:15">
      <c r="A23" s="701">
        <v>15</v>
      </c>
      <c r="B23" s="234" t="s">
        <v>46</v>
      </c>
      <c r="C23" s="201">
        <v>100</v>
      </c>
      <c r="D23" s="236"/>
      <c r="E23" s="236"/>
      <c r="F23" s="702">
        <v>0</v>
      </c>
      <c r="G23" s="200">
        <f>'08-07-26'!G23+'09-07-26'!F23</f>
        <v>0</v>
      </c>
      <c r="H23" s="703">
        <f>F23/E4</f>
        <v>0</v>
      </c>
      <c r="I23" s="200">
        <f t="shared" si="2"/>
        <v>100</v>
      </c>
      <c r="J23" s="237">
        <f>G23/F4</f>
        <v>0</v>
      </c>
      <c r="K23" s="201">
        <v>41000</v>
      </c>
      <c r="L23" s="685">
        <f t="shared" si="0"/>
        <v>0</v>
      </c>
      <c r="M23" s="685">
        <f t="shared" si="1"/>
        <v>0</v>
      </c>
      <c r="N23" s="685">
        <f>L23/E4</f>
        <v>0</v>
      </c>
      <c r="O23" s="704">
        <f>M23/F4</f>
        <v>0</v>
      </c>
    </row>
    <row r="24" spans="1:15">
      <c r="A24" s="701">
        <v>16</v>
      </c>
      <c r="B24" s="234" t="s">
        <v>47</v>
      </c>
      <c r="C24" s="201">
        <v>343.6</v>
      </c>
      <c r="D24" s="236"/>
      <c r="E24" s="236"/>
      <c r="F24" s="702">
        <v>6</v>
      </c>
      <c r="G24" s="200">
        <f>'08-07-26'!G24+'09-07-26'!F24</f>
        <v>54</v>
      </c>
      <c r="H24" s="703">
        <f>F24/E4</f>
        <v>4.4776119402985072E-2</v>
      </c>
      <c r="I24" s="200">
        <f t="shared" si="2"/>
        <v>337.6</v>
      </c>
      <c r="J24" s="237">
        <f>G24/F4</f>
        <v>4.7703180212014133E-2</v>
      </c>
      <c r="K24" s="201">
        <v>24000</v>
      </c>
      <c r="L24" s="685">
        <f t="shared" si="0"/>
        <v>144</v>
      </c>
      <c r="M24" s="685">
        <f t="shared" si="1"/>
        <v>1296</v>
      </c>
      <c r="N24" s="685">
        <f>L24/E4</f>
        <v>1.0746268656716418</v>
      </c>
      <c r="O24" s="704">
        <f>M24/F4</f>
        <v>1.1448763250883391</v>
      </c>
    </row>
    <row r="25" spans="1:15">
      <c r="A25" s="701">
        <v>17</v>
      </c>
      <c r="B25" s="234" t="s">
        <v>48</v>
      </c>
      <c r="C25" s="201">
        <v>380</v>
      </c>
      <c r="D25" s="236"/>
      <c r="E25" s="236"/>
      <c r="F25" s="702">
        <v>0</v>
      </c>
      <c r="G25" s="200">
        <f>'08-07-26'!G25+'09-07-26'!F25</f>
        <v>0</v>
      </c>
      <c r="H25" s="703">
        <f>F25/E4</f>
        <v>0</v>
      </c>
      <c r="I25" s="200">
        <f t="shared" si="2"/>
        <v>380</v>
      </c>
      <c r="J25" s="237">
        <f>G25/F4</f>
        <v>0</v>
      </c>
      <c r="K25" s="201">
        <v>13210</v>
      </c>
      <c r="L25" s="685">
        <f t="shared" si="0"/>
        <v>0</v>
      </c>
      <c r="M25" s="685">
        <f t="shared" si="1"/>
        <v>0</v>
      </c>
      <c r="N25" s="685">
        <f>L25/E4</f>
        <v>0</v>
      </c>
      <c r="O25" s="704">
        <f>M25/F4</f>
        <v>0</v>
      </c>
    </row>
    <row r="26" spans="1:15">
      <c r="A26" s="701">
        <v>18</v>
      </c>
      <c r="B26" s="234" t="s">
        <v>49</v>
      </c>
      <c r="C26" s="201">
        <v>190</v>
      </c>
      <c r="D26" s="236"/>
      <c r="E26" s="201"/>
      <c r="F26" s="702">
        <v>5</v>
      </c>
      <c r="G26" s="200">
        <f>'08-07-26'!G26+'09-07-26'!F26</f>
        <v>60</v>
      </c>
      <c r="H26" s="703">
        <f>F26/E4</f>
        <v>3.7313432835820892E-2</v>
      </c>
      <c r="I26" s="200">
        <f t="shared" si="2"/>
        <v>185</v>
      </c>
      <c r="J26" s="237">
        <f>G26/F4</f>
        <v>5.3003533568904596E-2</v>
      </c>
      <c r="K26" s="201">
        <v>14400</v>
      </c>
      <c r="L26" s="685">
        <f t="shared" si="0"/>
        <v>72</v>
      </c>
      <c r="M26" s="685">
        <f t="shared" si="1"/>
        <v>864</v>
      </c>
      <c r="N26" s="685">
        <f>L26/E4</f>
        <v>0.53731343283582089</v>
      </c>
      <c r="O26" s="704">
        <f>M26/F4</f>
        <v>0.76325088339222613</v>
      </c>
    </row>
    <row r="27" spans="1:15">
      <c r="A27" s="701">
        <v>19</v>
      </c>
      <c r="B27" s="234" t="s">
        <v>50</v>
      </c>
      <c r="C27" s="201">
        <v>176</v>
      </c>
      <c r="D27" s="201"/>
      <c r="E27" s="236"/>
      <c r="F27" s="702">
        <v>3.5</v>
      </c>
      <c r="G27" s="200">
        <f>'08-07-26'!G27+'09-07-26'!F27</f>
        <v>32.5</v>
      </c>
      <c r="H27" s="703">
        <f>F27/E4</f>
        <v>2.6119402985074626E-2</v>
      </c>
      <c r="I27" s="200">
        <f t="shared" si="2"/>
        <v>172.5</v>
      </c>
      <c r="J27" s="237">
        <f>G27/F4</f>
        <v>2.8710247349823321E-2</v>
      </c>
      <c r="K27" s="201">
        <v>102000</v>
      </c>
      <c r="L27" s="685">
        <f t="shared" si="0"/>
        <v>357</v>
      </c>
      <c r="M27" s="685">
        <f t="shared" si="1"/>
        <v>3315</v>
      </c>
      <c r="N27" s="685">
        <f>L27/E4</f>
        <v>2.6641791044776117</v>
      </c>
      <c r="O27" s="704">
        <f>M27/F4</f>
        <v>2.9284452296819787</v>
      </c>
    </row>
    <row r="28" spans="1:15">
      <c r="A28" s="701">
        <v>20</v>
      </c>
      <c r="B28" s="234" t="s">
        <v>51</v>
      </c>
      <c r="C28" s="201">
        <v>140</v>
      </c>
      <c r="D28" s="236"/>
      <c r="E28" s="236"/>
      <c r="F28" s="702">
        <v>5</v>
      </c>
      <c r="G28" s="200">
        <f>'08-07-26'!G28+'09-07-26'!F28</f>
        <v>45</v>
      </c>
      <c r="H28" s="703">
        <f>F28/E4</f>
        <v>3.7313432835820892E-2</v>
      </c>
      <c r="I28" s="200">
        <f t="shared" si="2"/>
        <v>135</v>
      </c>
      <c r="J28" s="237">
        <f>G28/F4</f>
        <v>3.9752650176678443E-2</v>
      </c>
      <c r="K28" s="201">
        <v>107000</v>
      </c>
      <c r="L28" s="685">
        <f t="shared" si="0"/>
        <v>535</v>
      </c>
      <c r="M28" s="685">
        <f t="shared" si="1"/>
        <v>4815</v>
      </c>
      <c r="N28" s="685">
        <f>L28/E4</f>
        <v>3.9925373134328357</v>
      </c>
      <c r="O28" s="704">
        <f>M28/F4</f>
        <v>4.2535335689045937</v>
      </c>
    </row>
    <row r="29" spans="1:15">
      <c r="A29" s="701">
        <v>21</v>
      </c>
      <c r="B29" s="234" t="s">
        <v>52</v>
      </c>
      <c r="C29" s="201">
        <v>145</v>
      </c>
      <c r="D29" s="236"/>
      <c r="E29" s="236"/>
      <c r="F29" s="702">
        <v>3</v>
      </c>
      <c r="G29" s="200">
        <f>'08-07-26'!G29+'09-07-26'!F29</f>
        <v>27</v>
      </c>
      <c r="H29" s="703">
        <f>F29/E4</f>
        <v>2.2388059701492536E-2</v>
      </c>
      <c r="I29" s="200">
        <f t="shared" si="2"/>
        <v>142</v>
      </c>
      <c r="J29" s="237">
        <f>G29/F4</f>
        <v>2.3851590106007067E-2</v>
      </c>
      <c r="K29" s="201">
        <v>100000</v>
      </c>
      <c r="L29" s="685">
        <f t="shared" si="0"/>
        <v>300</v>
      </c>
      <c r="M29" s="685">
        <f t="shared" si="1"/>
        <v>2700</v>
      </c>
      <c r="N29" s="685">
        <f>L29/E4</f>
        <v>2.2388059701492535</v>
      </c>
      <c r="O29" s="705">
        <f>M29/F4</f>
        <v>2.3851590106007068</v>
      </c>
    </row>
    <row r="30" spans="1:15">
      <c r="A30" s="701">
        <v>22</v>
      </c>
      <c r="B30" s="234" t="s">
        <v>53</v>
      </c>
      <c r="C30" s="201">
        <v>56</v>
      </c>
      <c r="D30" s="236"/>
      <c r="E30" s="236"/>
      <c r="F30" s="702">
        <v>1</v>
      </c>
      <c r="G30" s="200">
        <f>'08-07-26'!G30+'09-07-26'!F30</f>
        <v>9</v>
      </c>
      <c r="H30" s="703">
        <f>F30/E4</f>
        <v>7.462686567164179E-3</v>
      </c>
      <c r="I30" s="200">
        <f t="shared" si="2"/>
        <v>55</v>
      </c>
      <c r="J30" s="237">
        <f>G30/F4</f>
        <v>7.9505300353356883E-3</v>
      </c>
      <c r="K30" s="201">
        <v>255000</v>
      </c>
      <c r="L30" s="685">
        <f t="shared" si="0"/>
        <v>255</v>
      </c>
      <c r="M30" s="685">
        <f t="shared" si="1"/>
        <v>2295</v>
      </c>
      <c r="N30" s="706">
        <f>L30/E4</f>
        <v>1.9029850746268657</v>
      </c>
      <c r="O30" s="707">
        <f>M30/F4</f>
        <v>2.0273851590106009</v>
      </c>
    </row>
    <row r="31" spans="1:15">
      <c r="A31" s="701">
        <v>23</v>
      </c>
      <c r="B31" s="234" t="s">
        <v>54</v>
      </c>
      <c r="C31" s="201">
        <v>480</v>
      </c>
      <c r="D31" s="236"/>
      <c r="E31" s="236"/>
      <c r="F31" s="702">
        <v>0</v>
      </c>
      <c r="G31" s="200">
        <f>'08-07-26'!G31+'09-07-26'!F31</f>
        <v>0</v>
      </c>
      <c r="H31" s="703">
        <f>F31/E4</f>
        <v>0</v>
      </c>
      <c r="I31" s="200">
        <f t="shared" si="2"/>
        <v>480</v>
      </c>
      <c r="J31" s="237">
        <f>G31/F4</f>
        <v>0</v>
      </c>
      <c r="K31" s="201">
        <v>56000</v>
      </c>
      <c r="L31" s="685">
        <f t="shared" si="0"/>
        <v>0</v>
      </c>
      <c r="M31" s="685">
        <f t="shared" si="1"/>
        <v>0</v>
      </c>
      <c r="N31" s="706">
        <f>L30/F4</f>
        <v>0.22526501766784451</v>
      </c>
      <c r="O31" s="707">
        <f>M31/F4</f>
        <v>0</v>
      </c>
    </row>
    <row r="32" spans="1:15">
      <c r="A32" s="708">
        <v>24</v>
      </c>
      <c r="B32" s="709" t="s">
        <v>55</v>
      </c>
      <c r="C32" s="681">
        <v>0</v>
      </c>
      <c r="D32" s="710"/>
      <c r="E32" s="710"/>
      <c r="F32" s="711">
        <v>0</v>
      </c>
      <c r="G32" s="200">
        <f>'08-07-26'!G32+'09-07-26'!F32</f>
        <v>1480</v>
      </c>
      <c r="H32" s="712">
        <f>F32/E4</f>
        <v>0</v>
      </c>
      <c r="I32" s="200">
        <f t="shared" si="2"/>
        <v>0</v>
      </c>
      <c r="J32" s="248">
        <f>G32/F4</f>
        <v>1.3074204946996466</v>
      </c>
      <c r="K32" s="249">
        <v>90000</v>
      </c>
      <c r="L32" s="713">
        <f t="shared" si="0"/>
        <v>0</v>
      </c>
      <c r="M32" s="713">
        <f t="shared" si="1"/>
        <v>133200</v>
      </c>
      <c r="N32" s="704" t="s">
        <v>80</v>
      </c>
      <c r="O32" s="707">
        <f>M32/F4</f>
        <v>117.6678445229682</v>
      </c>
    </row>
    <row r="33" spans="1:15">
      <c r="A33" s="714" t="s">
        <v>56</v>
      </c>
      <c r="B33" s="714" t="s">
        <v>57</v>
      </c>
      <c r="C33" s="715" t="s">
        <v>58</v>
      </c>
      <c r="D33" s="1191" t="s">
        <v>59</v>
      </c>
      <c r="E33" s="1195"/>
      <c r="F33" s="1195"/>
      <c r="G33" s="1330"/>
      <c r="H33" s="1331"/>
      <c r="I33" s="1331"/>
      <c r="J33" s="1331"/>
      <c r="K33" s="1331"/>
      <c r="L33" s="1332"/>
      <c r="M33" s="716" t="s">
        <v>60</v>
      </c>
      <c r="N33" s="717">
        <f>SUM(N9:N32)</f>
        <v>1115.7319814355787</v>
      </c>
      <c r="O33" s="718">
        <f>SUM(O9:O32)</f>
        <v>1270.3692049469964</v>
      </c>
    </row>
    <row r="34" spans="1:15">
      <c r="A34" s="261">
        <v>1</v>
      </c>
      <c r="B34" s="719"/>
      <c r="C34" s="720"/>
      <c r="D34" s="1150"/>
      <c r="E34" s="1184"/>
      <c r="F34" s="721">
        <f>C34*E4/C41</f>
        <v>0</v>
      </c>
      <c r="G34" s="1333"/>
      <c r="H34" s="1179"/>
      <c r="I34" s="1179"/>
      <c r="J34" s="1179"/>
      <c r="K34" s="1179"/>
      <c r="L34" s="1334"/>
      <c r="M34" s="265"/>
      <c r="N34" s="723" t="s">
        <v>17</v>
      </c>
      <c r="O34" s="724" t="s">
        <v>17</v>
      </c>
    </row>
    <row r="35" spans="1:15">
      <c r="A35" s="261">
        <v>2</v>
      </c>
      <c r="B35" s="719"/>
      <c r="C35" s="725"/>
      <c r="D35" s="1185"/>
      <c r="E35" s="1186"/>
      <c r="F35" s="727">
        <f>C35*E4/C41</f>
        <v>0</v>
      </c>
      <c r="G35" s="1333"/>
      <c r="H35" s="1179"/>
      <c r="I35" s="1179"/>
      <c r="J35" s="1179"/>
      <c r="K35" s="1179"/>
      <c r="L35" s="1334"/>
      <c r="M35" s="270"/>
      <c r="N35" s="728" t="s">
        <v>25</v>
      </c>
      <c r="O35" s="729" t="s">
        <v>26</v>
      </c>
    </row>
    <row r="36" spans="1:15">
      <c r="A36" s="261">
        <v>3</v>
      </c>
      <c r="B36" s="719"/>
      <c r="C36" s="683">
        <v>0</v>
      </c>
      <c r="D36" s="1185"/>
      <c r="E36" s="1186"/>
      <c r="F36" s="727">
        <f>C36*E4/C41</f>
        <v>0</v>
      </c>
      <c r="G36" s="1333"/>
      <c r="H36" s="1179"/>
      <c r="I36" s="1179"/>
      <c r="J36" s="1179"/>
      <c r="K36" s="1179"/>
      <c r="L36" s="1334"/>
      <c r="M36" s="270"/>
      <c r="N36" s="728" t="s">
        <v>63</v>
      </c>
      <c r="O36" s="729" t="s">
        <v>63</v>
      </c>
    </row>
    <row r="37" spans="1:15">
      <c r="A37" s="261">
        <v>4</v>
      </c>
      <c r="B37" s="719" t="s">
        <v>73</v>
      </c>
      <c r="C37" s="730">
        <v>80</v>
      </c>
      <c r="D37" s="726"/>
      <c r="F37" s="731">
        <f>C37*E4/C41</f>
        <v>134</v>
      </c>
      <c r="G37" s="1335"/>
      <c r="H37" s="1336"/>
      <c r="I37" s="1336"/>
      <c r="J37" s="1336"/>
      <c r="K37" s="1336"/>
      <c r="L37" s="1337"/>
      <c r="M37" s="732" t="s">
        <v>60</v>
      </c>
      <c r="N37" s="733">
        <f>N33/1000</f>
        <v>1.1157319814355788</v>
      </c>
      <c r="O37" s="734">
        <f>O33/1000</f>
        <v>1.2703692049469963</v>
      </c>
    </row>
    <row r="38" spans="1:15">
      <c r="A38" s="261">
        <v>5</v>
      </c>
      <c r="B38" s="719"/>
      <c r="C38" s="735"/>
      <c r="D38" s="726"/>
      <c r="F38" s="736"/>
      <c r="G38" s="722"/>
      <c r="H38" s="722"/>
      <c r="I38" s="722"/>
      <c r="J38" s="722"/>
      <c r="K38" s="722"/>
      <c r="L38" s="722"/>
      <c r="M38" s="737"/>
      <c r="N38" s="738"/>
      <c r="O38" s="739"/>
    </row>
    <row r="39" spans="1:15">
      <c r="A39" s="261">
        <v>6</v>
      </c>
      <c r="B39" s="719"/>
      <c r="C39" s="730"/>
      <c r="D39" s="726"/>
      <c r="F39" s="736"/>
      <c r="G39" s="722"/>
      <c r="H39" s="722"/>
      <c r="I39" s="722"/>
      <c r="J39" s="722"/>
      <c r="K39" s="722"/>
      <c r="L39" s="722"/>
      <c r="M39" s="737"/>
      <c r="N39" s="738"/>
      <c r="O39" s="739"/>
    </row>
    <row r="40" spans="1:15">
      <c r="A40" s="740">
        <v>7</v>
      </c>
      <c r="B40" s="719"/>
      <c r="C40" s="730"/>
      <c r="D40" s="726"/>
      <c r="F40" s="736"/>
      <c r="G40" s="722"/>
      <c r="H40" s="722"/>
      <c r="I40" s="722"/>
      <c r="J40" s="722"/>
      <c r="K40" s="722"/>
      <c r="L40" s="722"/>
      <c r="M40" s="737"/>
      <c r="N40" s="738"/>
      <c r="O40" s="739"/>
    </row>
    <row r="41" spans="1:15">
      <c r="A41" s="741">
        <v>4</v>
      </c>
      <c r="B41" s="742" t="s">
        <v>60</v>
      </c>
      <c r="C41" s="743">
        <f>SUM(C34,C35,C36,C37,C38,C39,C40)</f>
        <v>80</v>
      </c>
      <c r="D41" s="1327">
        <f>SUM(F34,F35,F36,F37,F38,F39,F40)</f>
        <v>134</v>
      </c>
      <c r="E41" s="1328"/>
      <c r="F41" s="1329"/>
      <c r="G41" s="286"/>
      <c r="H41" s="286"/>
      <c r="I41" s="286"/>
      <c r="J41" s="286"/>
      <c r="K41" s="286"/>
      <c r="L41" s="286"/>
      <c r="M41" s="286"/>
      <c r="N41" s="286"/>
      <c r="O41" s="744"/>
    </row>
  </sheetData>
  <mergeCells count="14">
    <mergeCell ref="D41:F41"/>
    <mergeCell ref="A1:O2"/>
    <mergeCell ref="G33:L37"/>
    <mergeCell ref="D34:E36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1"/>
  <sheetViews>
    <sheetView topLeftCell="A7" workbookViewId="0">
      <selection activeCell="E9" sqref="E9"/>
    </sheetView>
  </sheetViews>
  <sheetFormatPr defaultColWidth="9" defaultRowHeight="15"/>
  <cols>
    <col min="2" max="2" width="23" customWidth="1"/>
    <col min="7" max="7" width="10.7109375" customWidth="1"/>
  </cols>
  <sheetData>
    <row r="1" spans="1:17">
      <c r="A1" s="1302" t="s">
        <v>0</v>
      </c>
      <c r="B1" s="1303"/>
      <c r="C1" s="1303"/>
      <c r="D1" s="1303"/>
      <c r="E1" s="1303"/>
      <c r="F1" s="1303"/>
      <c r="G1" s="1303"/>
      <c r="H1" s="1303"/>
      <c r="I1" s="1303"/>
      <c r="J1" s="1303"/>
      <c r="K1" s="1303"/>
      <c r="L1" s="1303"/>
      <c r="M1" s="1303"/>
      <c r="N1" s="1303"/>
      <c r="O1" s="1304"/>
    </row>
    <row r="2" spans="1:17">
      <c r="A2" s="1305"/>
      <c r="B2" s="1306"/>
      <c r="C2" s="1306"/>
      <c r="D2" s="1306"/>
      <c r="E2" s="1306"/>
      <c r="F2" s="1306"/>
      <c r="G2" s="1306"/>
      <c r="H2" s="1306"/>
      <c r="I2" s="1306"/>
      <c r="J2" s="1306"/>
      <c r="K2" s="1306"/>
      <c r="L2" s="1306"/>
      <c r="M2" s="1306"/>
      <c r="N2" s="1306"/>
      <c r="O2" s="1307"/>
    </row>
    <row r="3" spans="1:17">
      <c r="A3" s="1317" t="s">
        <v>1</v>
      </c>
      <c r="B3" s="1318"/>
      <c r="C3" s="1318"/>
      <c r="D3" s="1318"/>
      <c r="E3" s="1318"/>
      <c r="F3" s="1318"/>
      <c r="G3" s="1318"/>
      <c r="H3" s="1318"/>
      <c r="I3" s="1318"/>
      <c r="J3" s="1318"/>
      <c r="K3" s="1318"/>
      <c r="L3" s="1318"/>
      <c r="M3" s="1318"/>
      <c r="N3" s="1318"/>
      <c r="O3" s="1319"/>
    </row>
    <row r="4" spans="1:17">
      <c r="A4" s="1317" t="s">
        <v>2</v>
      </c>
      <c r="B4" s="1318"/>
      <c r="C4" s="1318"/>
      <c r="D4" s="1319"/>
      <c r="E4" s="324">
        <v>168</v>
      </c>
      <c r="F4" s="323">
        <v>1300</v>
      </c>
      <c r="G4" s="326">
        <v>130</v>
      </c>
      <c r="H4" s="1320" t="s">
        <v>81</v>
      </c>
      <c r="I4" s="1321"/>
      <c r="J4" s="1321"/>
      <c r="K4" s="1321"/>
      <c r="L4" s="1321"/>
      <c r="M4" s="1321"/>
      <c r="N4" s="1321"/>
      <c r="O4" s="1322"/>
    </row>
    <row r="5" spans="1:17">
      <c r="A5" s="1323" t="s">
        <v>5</v>
      </c>
      <c r="B5" s="1324"/>
      <c r="C5" s="1325" t="s">
        <v>6</v>
      </c>
      <c r="D5" s="1326"/>
      <c r="E5" s="580">
        <v>0</v>
      </c>
      <c r="F5" s="581">
        <v>0</v>
      </c>
      <c r="G5" s="582" t="s">
        <v>75</v>
      </c>
      <c r="H5" s="329"/>
      <c r="I5" s="329"/>
      <c r="J5" s="329"/>
      <c r="K5" s="330"/>
      <c r="L5" s="330"/>
      <c r="M5" s="330"/>
      <c r="N5" s="583"/>
      <c r="O5" s="584"/>
    </row>
    <row r="6" spans="1:17">
      <c r="A6" s="585" t="s">
        <v>8</v>
      </c>
      <c r="B6" s="334" t="s">
        <v>9</v>
      </c>
      <c r="C6" s="334" t="s">
        <v>10</v>
      </c>
      <c r="D6" s="1308" t="s">
        <v>11</v>
      </c>
      <c r="E6" s="1309"/>
      <c r="F6" s="1310" t="s">
        <v>12</v>
      </c>
      <c r="G6" s="1311"/>
      <c r="H6" s="335" t="s">
        <v>13</v>
      </c>
      <c r="I6" s="336" t="s">
        <v>9</v>
      </c>
      <c r="J6" s="337" t="s">
        <v>14</v>
      </c>
      <c r="K6" s="338" t="s">
        <v>15</v>
      </c>
      <c r="L6" s="1312" t="s">
        <v>16</v>
      </c>
      <c r="M6" s="1313"/>
      <c r="N6" s="1314" t="s">
        <v>17</v>
      </c>
      <c r="O6" s="1315"/>
    </row>
    <row r="7" spans="1:17">
      <c r="A7" s="585" t="s">
        <v>18</v>
      </c>
      <c r="B7" s="334" t="s">
        <v>19</v>
      </c>
      <c r="C7" s="334" t="s">
        <v>20</v>
      </c>
      <c r="D7" s="334" t="s">
        <v>21</v>
      </c>
      <c r="E7" s="339" t="s">
        <v>14</v>
      </c>
      <c r="F7" s="340" t="s">
        <v>21</v>
      </c>
      <c r="G7" s="340" t="s">
        <v>14</v>
      </c>
      <c r="H7" s="341" t="s">
        <v>22</v>
      </c>
      <c r="I7" s="342" t="s">
        <v>23</v>
      </c>
      <c r="J7" s="343" t="s">
        <v>22</v>
      </c>
      <c r="K7" s="344" t="s">
        <v>24</v>
      </c>
      <c r="L7" s="344" t="s">
        <v>25</v>
      </c>
      <c r="M7" s="342" t="s">
        <v>26</v>
      </c>
      <c r="N7" s="338" t="s">
        <v>25</v>
      </c>
      <c r="O7" s="586" t="s">
        <v>26</v>
      </c>
    </row>
    <row r="8" spans="1:17">
      <c r="A8" s="587"/>
      <c r="B8" s="334"/>
      <c r="C8" s="334" t="s">
        <v>27</v>
      </c>
      <c r="D8" s="334" t="s">
        <v>27</v>
      </c>
      <c r="E8" s="334" t="s">
        <v>27</v>
      </c>
      <c r="F8" s="347" t="s">
        <v>27</v>
      </c>
      <c r="G8" s="347" t="s">
        <v>27</v>
      </c>
      <c r="H8" s="341" t="s">
        <v>28</v>
      </c>
      <c r="I8" s="342"/>
      <c r="J8" s="343" t="s">
        <v>28</v>
      </c>
      <c r="K8" s="344" t="s">
        <v>29</v>
      </c>
      <c r="L8" s="344" t="s">
        <v>30</v>
      </c>
      <c r="M8" s="342" t="s">
        <v>30</v>
      </c>
      <c r="N8" s="344" t="s">
        <v>31</v>
      </c>
      <c r="O8" s="588" t="s">
        <v>31</v>
      </c>
    </row>
    <row r="9" spans="1:17">
      <c r="A9" s="589">
        <v>1</v>
      </c>
      <c r="B9" s="350" t="s">
        <v>32</v>
      </c>
      <c r="C9" s="351">
        <v>13150</v>
      </c>
      <c r="D9" s="352">
        <v>13000</v>
      </c>
      <c r="E9" s="351">
        <v>41000</v>
      </c>
      <c r="F9" s="590">
        <v>4250</v>
      </c>
      <c r="G9" s="366">
        <f>'09-07-26'!G9+'10-07-26'!F9</f>
        <v>32500</v>
      </c>
      <c r="H9" s="591">
        <f>F9/E4</f>
        <v>25.297619047619047</v>
      </c>
      <c r="I9" s="362">
        <f>(C9-F9)+D9</f>
        <v>21900</v>
      </c>
      <c r="J9" s="355">
        <f>G9/F4</f>
        <v>25</v>
      </c>
      <c r="K9" s="353">
        <v>28500</v>
      </c>
      <c r="L9" s="592">
        <f t="shared" ref="L9:L32" si="0">(F9/1000)*K9</f>
        <v>121125</v>
      </c>
      <c r="M9" s="593">
        <f t="shared" ref="M9:M32" si="1">(G9/1000)*K9</f>
        <v>926250</v>
      </c>
      <c r="N9" s="594">
        <f>L9/E4</f>
        <v>720.98214285714289</v>
      </c>
      <c r="O9" s="595">
        <f>M9/F4</f>
        <v>712.5</v>
      </c>
    </row>
    <row r="10" spans="1:17">
      <c r="A10" s="596">
        <v>2</v>
      </c>
      <c r="B10" s="361" t="s">
        <v>33</v>
      </c>
      <c r="C10" s="362">
        <v>7300</v>
      </c>
      <c r="D10" s="363"/>
      <c r="E10" s="362"/>
      <c r="F10" s="597">
        <v>260</v>
      </c>
      <c r="G10" s="362">
        <f>'09-07-26'!G10+'10-07-26'!F10</f>
        <v>1960</v>
      </c>
      <c r="H10" s="598">
        <f>F10/E4</f>
        <v>1.5476190476190477</v>
      </c>
      <c r="I10" s="362">
        <f t="shared" ref="I10:I32" si="2">(C10-F10)+D10</f>
        <v>7040</v>
      </c>
      <c r="J10" s="365">
        <f>G10/F4</f>
        <v>1.5076923076923077</v>
      </c>
      <c r="K10" s="366">
        <v>35500</v>
      </c>
      <c r="L10" s="599">
        <f t="shared" si="0"/>
        <v>9230</v>
      </c>
      <c r="M10" s="599">
        <f t="shared" si="1"/>
        <v>69580</v>
      </c>
      <c r="N10" s="600">
        <f>L10/E4</f>
        <v>54.94047619047619</v>
      </c>
      <c r="O10" s="601">
        <f>M10/F4</f>
        <v>53.523076923076921</v>
      </c>
    </row>
    <row r="11" spans="1:17">
      <c r="A11" s="596">
        <v>3</v>
      </c>
      <c r="B11" s="361" t="s">
        <v>34</v>
      </c>
      <c r="C11" s="362">
        <v>6320</v>
      </c>
      <c r="D11" s="363"/>
      <c r="E11" s="362"/>
      <c r="F11" s="597">
        <v>70</v>
      </c>
      <c r="G11" s="362">
        <f>'09-07-26'!G11+'10-07-26'!F11</f>
        <v>570</v>
      </c>
      <c r="H11" s="598">
        <f>F11/E4</f>
        <v>0.41666666666666669</v>
      </c>
      <c r="I11" s="362">
        <f t="shared" si="2"/>
        <v>6250</v>
      </c>
      <c r="J11" s="365">
        <f>G11/F4</f>
        <v>0.43846153846153846</v>
      </c>
      <c r="K11" s="366">
        <v>98000</v>
      </c>
      <c r="L11" s="599">
        <f t="shared" si="0"/>
        <v>6860.0000000000009</v>
      </c>
      <c r="M11" s="599">
        <f t="shared" si="1"/>
        <v>55859.999999999993</v>
      </c>
      <c r="N11" s="600">
        <f>L11/E4</f>
        <v>40.833333333333336</v>
      </c>
      <c r="O11" s="601">
        <f>M11/F4</f>
        <v>42.969230769230762</v>
      </c>
    </row>
    <row r="12" spans="1:17">
      <c r="A12" s="596">
        <v>4</v>
      </c>
      <c r="B12" s="361" t="s">
        <v>35</v>
      </c>
      <c r="C12" s="362">
        <v>20.28</v>
      </c>
      <c r="D12" s="363"/>
      <c r="E12" s="362"/>
      <c r="F12" s="597">
        <v>0.08</v>
      </c>
      <c r="G12" s="362">
        <f>'09-07-26'!G12+'10-07-26'!F12</f>
        <v>0.79999999999999993</v>
      </c>
      <c r="H12" s="602">
        <f>F12/E4</f>
        <v>4.7619047619047619E-4</v>
      </c>
      <c r="I12" s="362">
        <f t="shared" si="2"/>
        <v>20.200000000000003</v>
      </c>
      <c r="J12" s="371">
        <f>G12/F4</f>
        <v>6.153846153846153E-4</v>
      </c>
      <c r="K12" s="366">
        <v>750000</v>
      </c>
      <c r="L12" s="599">
        <f t="shared" si="0"/>
        <v>60.000000000000007</v>
      </c>
      <c r="M12" s="599">
        <f t="shared" si="1"/>
        <v>600</v>
      </c>
      <c r="N12" s="600">
        <f>L12/E4</f>
        <v>0.35714285714285721</v>
      </c>
      <c r="O12" s="601">
        <f>M12/F4</f>
        <v>0.46153846153846156</v>
      </c>
    </row>
    <row r="13" spans="1:17">
      <c r="A13" s="596">
        <v>5</v>
      </c>
      <c r="B13" s="361" t="s">
        <v>36</v>
      </c>
      <c r="C13" s="362">
        <v>329</v>
      </c>
      <c r="D13" s="363"/>
      <c r="E13" s="362"/>
      <c r="F13" s="603">
        <v>25</v>
      </c>
      <c r="G13" s="362">
        <f>'09-07-26'!G13+'10-07-26'!F13</f>
        <v>196</v>
      </c>
      <c r="H13" s="598">
        <f>F13/E4</f>
        <v>0.14880952380952381</v>
      </c>
      <c r="I13" s="362">
        <f t="shared" si="2"/>
        <v>304</v>
      </c>
      <c r="J13" s="365">
        <f>G13/F4</f>
        <v>0.15076923076923077</v>
      </c>
      <c r="K13" s="366">
        <v>350000</v>
      </c>
      <c r="L13" s="599">
        <f t="shared" si="0"/>
        <v>8750</v>
      </c>
      <c r="M13" s="599">
        <f t="shared" si="1"/>
        <v>68600</v>
      </c>
      <c r="N13" s="600">
        <f>L13/E4</f>
        <v>52.083333333333336</v>
      </c>
      <c r="O13" s="601">
        <f>M13/F4</f>
        <v>52.769230769230766</v>
      </c>
    </row>
    <row r="14" spans="1:17">
      <c r="A14" s="596">
        <v>6</v>
      </c>
      <c r="B14" s="361" t="s">
        <v>37</v>
      </c>
      <c r="C14" s="362">
        <v>1995</v>
      </c>
      <c r="D14" s="363"/>
      <c r="E14" s="597"/>
      <c r="F14" s="362">
        <v>60</v>
      </c>
      <c r="G14" s="362">
        <f>'09-07-26'!G14+'10-07-26'!F14</f>
        <v>465</v>
      </c>
      <c r="H14" s="598">
        <f>F14/E4</f>
        <v>0.35714285714285715</v>
      </c>
      <c r="I14" s="362">
        <f t="shared" si="2"/>
        <v>1935</v>
      </c>
      <c r="J14" s="365">
        <f>G14/F4</f>
        <v>0.3576923076923077</v>
      </c>
      <c r="K14" s="366">
        <v>204500</v>
      </c>
      <c r="L14" s="599">
        <f t="shared" si="0"/>
        <v>12270</v>
      </c>
      <c r="M14" s="599">
        <f t="shared" si="1"/>
        <v>95092.5</v>
      </c>
      <c r="N14" s="600">
        <f>L14/E4</f>
        <v>73.035714285714292</v>
      </c>
      <c r="O14" s="601">
        <f>M14/F4</f>
        <v>73.148076923076928</v>
      </c>
    </row>
    <row r="15" spans="1:17">
      <c r="A15" s="596">
        <v>7</v>
      </c>
      <c r="B15" s="361" t="s">
        <v>38</v>
      </c>
      <c r="C15" s="362">
        <v>1347</v>
      </c>
      <c r="D15" s="363"/>
      <c r="E15" s="604"/>
      <c r="F15" s="605">
        <v>54</v>
      </c>
      <c r="G15" s="362">
        <f>'09-07-26'!G15+'10-07-26'!F15</f>
        <v>457</v>
      </c>
      <c r="H15" s="598">
        <f>F15/E4</f>
        <v>0.32142857142857145</v>
      </c>
      <c r="I15" s="362">
        <f t="shared" si="2"/>
        <v>1293</v>
      </c>
      <c r="J15" s="365">
        <f>G15/F4</f>
        <v>0.35153846153846152</v>
      </c>
      <c r="K15" s="366">
        <v>129500</v>
      </c>
      <c r="L15" s="599">
        <f t="shared" si="0"/>
        <v>6993</v>
      </c>
      <c r="M15" s="599">
        <f t="shared" si="1"/>
        <v>59181.5</v>
      </c>
      <c r="N15" s="600">
        <f>L15/E4</f>
        <v>41.625</v>
      </c>
      <c r="O15" s="601">
        <f>M15/F4</f>
        <v>45.524230769230769</v>
      </c>
    </row>
    <row r="16" spans="1:17">
      <c r="A16" s="596">
        <v>8</v>
      </c>
      <c r="B16" s="361" t="s">
        <v>39</v>
      </c>
      <c r="C16" s="362">
        <v>835</v>
      </c>
      <c r="D16" s="597"/>
      <c r="E16" s="362"/>
      <c r="F16" s="606">
        <v>25</v>
      </c>
      <c r="G16" s="362">
        <f>'09-07-26'!G16+'10-07-26'!F16</f>
        <v>175</v>
      </c>
      <c r="H16" s="598">
        <f>F16/E4</f>
        <v>0.14880952380952381</v>
      </c>
      <c r="I16" s="362">
        <f t="shared" si="2"/>
        <v>810</v>
      </c>
      <c r="J16" s="365">
        <f>G16/F4</f>
        <v>0.13461538461538461</v>
      </c>
      <c r="K16" s="366">
        <v>219500</v>
      </c>
      <c r="L16" s="599">
        <f t="shared" si="0"/>
        <v>5487.5</v>
      </c>
      <c r="M16" s="599">
        <f t="shared" si="1"/>
        <v>38412.5</v>
      </c>
      <c r="N16" s="600">
        <f>L16/E4</f>
        <v>32.663690476190474</v>
      </c>
      <c r="O16" s="601">
        <f>M16/F4</f>
        <v>29.548076923076923</v>
      </c>
      <c r="Q16" s="607"/>
    </row>
    <row r="17" spans="1:17">
      <c r="A17" s="596">
        <v>9</v>
      </c>
      <c r="B17" s="361" t="s">
        <v>40</v>
      </c>
      <c r="C17" s="362">
        <v>21</v>
      </c>
      <c r="D17" s="363"/>
      <c r="E17" s="608"/>
      <c r="F17" s="597">
        <v>0</v>
      </c>
      <c r="G17" s="362">
        <f>'09-07-26'!G17+'10-07-26'!F17</f>
        <v>0</v>
      </c>
      <c r="H17" s="598">
        <f>F17/E4</f>
        <v>0</v>
      </c>
      <c r="I17" s="362">
        <f t="shared" si="2"/>
        <v>21</v>
      </c>
      <c r="J17" s="365">
        <f>G17/F4</f>
        <v>0</v>
      </c>
      <c r="K17" s="366">
        <v>348200</v>
      </c>
      <c r="L17" s="599">
        <f t="shared" si="0"/>
        <v>0</v>
      </c>
      <c r="M17" s="609">
        <f t="shared" si="1"/>
        <v>0</v>
      </c>
      <c r="N17" s="600">
        <f>L17/E4</f>
        <v>0</v>
      </c>
      <c r="O17" s="601">
        <f>M17/F4</f>
        <v>0</v>
      </c>
      <c r="Q17" s="610"/>
    </row>
    <row r="18" spans="1:17">
      <c r="A18" s="611">
        <v>10</v>
      </c>
      <c r="B18" s="374" t="s">
        <v>41</v>
      </c>
      <c r="C18" s="375">
        <v>3950</v>
      </c>
      <c r="D18" s="375"/>
      <c r="E18" s="375"/>
      <c r="F18" s="612">
        <v>0</v>
      </c>
      <c r="G18" s="362">
        <f>'09-07-26'!G18+'10-07-26'!F18</f>
        <v>0</v>
      </c>
      <c r="H18" s="613">
        <f>F18/E4</f>
        <v>0</v>
      </c>
      <c r="I18" s="362">
        <f t="shared" si="2"/>
        <v>3950</v>
      </c>
      <c r="J18" s="376">
        <f>G18/F4</f>
        <v>0</v>
      </c>
      <c r="K18" s="377">
        <v>172000</v>
      </c>
      <c r="L18" s="614">
        <f t="shared" si="0"/>
        <v>0</v>
      </c>
      <c r="M18" s="614">
        <f t="shared" si="1"/>
        <v>0</v>
      </c>
      <c r="N18" s="614">
        <f>L18/E4</f>
        <v>0</v>
      </c>
      <c r="O18" s="615">
        <f>M18/F4</f>
        <v>0</v>
      </c>
      <c r="Q18" s="610"/>
    </row>
    <row r="19" spans="1:17">
      <c r="A19" s="616">
        <v>11</v>
      </c>
      <c r="B19" s="381" t="s">
        <v>42</v>
      </c>
      <c r="C19" s="382">
        <v>48</v>
      </c>
      <c r="D19" s="382"/>
      <c r="E19" s="382"/>
      <c r="F19" s="617">
        <v>0</v>
      </c>
      <c r="G19" s="362">
        <f>'09-07-26'!G19+'10-07-26'!F19</f>
        <v>0</v>
      </c>
      <c r="H19" s="613">
        <f>F19/E4</f>
        <v>0</v>
      </c>
      <c r="I19" s="362">
        <f t="shared" si="2"/>
        <v>48</v>
      </c>
      <c r="J19" s="383">
        <f>G19/F4</f>
        <v>0</v>
      </c>
      <c r="K19" s="382">
        <v>200000</v>
      </c>
      <c r="L19" s="618">
        <f t="shared" si="0"/>
        <v>0</v>
      </c>
      <c r="M19" s="618">
        <f t="shared" si="1"/>
        <v>0</v>
      </c>
      <c r="N19" s="618">
        <f>L19/E4</f>
        <v>0</v>
      </c>
      <c r="O19" s="619">
        <f>M19/F4</f>
        <v>0</v>
      </c>
      <c r="Q19" s="610"/>
    </row>
    <row r="20" spans="1:17">
      <c r="A20" s="620">
        <v>12</v>
      </c>
      <c r="B20" s="387" t="s">
        <v>43</v>
      </c>
      <c r="C20" s="388">
        <v>112.1</v>
      </c>
      <c r="D20" s="389"/>
      <c r="E20" s="389"/>
      <c r="F20" s="621">
        <v>7.2</v>
      </c>
      <c r="G20" s="362">
        <f>'09-07-26'!G20+'10-07-26'!F20</f>
        <v>58.300000000000011</v>
      </c>
      <c r="H20" s="622">
        <f>F20/E4</f>
        <v>4.2857142857142858E-2</v>
      </c>
      <c r="I20" s="362">
        <f t="shared" si="2"/>
        <v>104.89999999999999</v>
      </c>
      <c r="J20" s="393">
        <f>G20/F4</f>
        <v>4.4846153846153855E-2</v>
      </c>
      <c r="K20" s="388">
        <v>377600</v>
      </c>
      <c r="L20" s="623">
        <f t="shared" si="0"/>
        <v>2718.72</v>
      </c>
      <c r="M20" s="623">
        <f t="shared" si="1"/>
        <v>22014.080000000005</v>
      </c>
      <c r="N20" s="623">
        <f>L20/E4</f>
        <v>16.182857142857141</v>
      </c>
      <c r="O20" s="624">
        <f>M20/F4</f>
        <v>16.933907692307695</v>
      </c>
      <c r="Q20" s="610"/>
    </row>
    <row r="21" spans="1:17">
      <c r="A21" s="620">
        <v>13</v>
      </c>
      <c r="B21" s="387" t="s">
        <v>44</v>
      </c>
      <c r="C21" s="388">
        <v>104.1</v>
      </c>
      <c r="D21" s="389"/>
      <c r="E21" s="389"/>
      <c r="F21" s="621">
        <v>4.3</v>
      </c>
      <c r="G21" s="362">
        <f>'09-07-26'!G21+'10-07-26'!F21</f>
        <v>34.699999999999996</v>
      </c>
      <c r="H21" s="625">
        <f>F21/E4</f>
        <v>2.5595238095238095E-2</v>
      </c>
      <c r="I21" s="362">
        <f t="shared" si="2"/>
        <v>99.8</v>
      </c>
      <c r="J21" s="393">
        <f>G21/F4</f>
        <v>2.6692307692307689E-2</v>
      </c>
      <c r="K21" s="388">
        <v>271400</v>
      </c>
      <c r="L21" s="623">
        <f t="shared" si="0"/>
        <v>1167.02</v>
      </c>
      <c r="M21" s="623">
        <f t="shared" si="1"/>
        <v>9417.5799999999981</v>
      </c>
      <c r="N21" s="623">
        <f>L21/E4</f>
        <v>6.9465476190476192</v>
      </c>
      <c r="O21" s="624">
        <f>M21/F4</f>
        <v>7.244292307692306</v>
      </c>
      <c r="Q21" s="610"/>
    </row>
    <row r="22" spans="1:17">
      <c r="A22" s="620">
        <v>14</v>
      </c>
      <c r="B22" s="387" t="s">
        <v>45</v>
      </c>
      <c r="C22" s="388">
        <v>1499.9</v>
      </c>
      <c r="D22" s="389"/>
      <c r="E22" s="389"/>
      <c r="F22" s="621">
        <v>61.9</v>
      </c>
      <c r="G22" s="362">
        <f>'09-07-26'!G22+'10-07-26'!F22</f>
        <v>501.19999999999993</v>
      </c>
      <c r="H22" s="625">
        <f>F22/E4</f>
        <v>0.36845238095238092</v>
      </c>
      <c r="I22" s="362">
        <f t="shared" si="2"/>
        <v>1438</v>
      </c>
      <c r="J22" s="393">
        <f>G22/F4</f>
        <v>0.3855384615384615</v>
      </c>
      <c r="K22" s="388">
        <v>271400</v>
      </c>
      <c r="L22" s="623">
        <f t="shared" si="0"/>
        <v>16799.66</v>
      </c>
      <c r="M22" s="623">
        <f t="shared" si="1"/>
        <v>136025.68</v>
      </c>
      <c r="N22" s="623">
        <f>L22/E4</f>
        <v>99.997976190476194</v>
      </c>
      <c r="O22" s="624">
        <f>M22/F4</f>
        <v>104.63513846153846</v>
      </c>
      <c r="Q22" s="610"/>
    </row>
    <row r="23" spans="1:17">
      <c r="A23" s="626">
        <v>15</v>
      </c>
      <c r="B23" s="397" t="s">
        <v>46</v>
      </c>
      <c r="C23" s="363">
        <v>100</v>
      </c>
      <c r="D23" s="399"/>
      <c r="E23" s="399"/>
      <c r="F23" s="627">
        <v>0</v>
      </c>
      <c r="G23" s="362">
        <f>'09-07-26'!G23+'10-07-26'!F23</f>
        <v>0</v>
      </c>
      <c r="H23" s="628">
        <f>F23/E4</f>
        <v>0</v>
      </c>
      <c r="I23" s="362">
        <f t="shared" si="2"/>
        <v>100</v>
      </c>
      <c r="J23" s="400">
        <f>G23/F4</f>
        <v>0</v>
      </c>
      <c r="K23" s="363">
        <v>41000</v>
      </c>
      <c r="L23" s="609">
        <f t="shared" si="0"/>
        <v>0</v>
      </c>
      <c r="M23" s="609">
        <f t="shared" si="1"/>
        <v>0</v>
      </c>
      <c r="N23" s="609">
        <f>L23/E4</f>
        <v>0</v>
      </c>
      <c r="O23" s="629">
        <f>M23/F4</f>
        <v>0</v>
      </c>
      <c r="Q23" s="610"/>
    </row>
    <row r="24" spans="1:17">
      <c r="A24" s="626">
        <v>16</v>
      </c>
      <c r="B24" s="397" t="s">
        <v>47</v>
      </c>
      <c r="C24" s="363">
        <v>337.6</v>
      </c>
      <c r="D24" s="399"/>
      <c r="E24" s="399"/>
      <c r="F24" s="627">
        <v>6</v>
      </c>
      <c r="G24" s="362">
        <f>'09-07-26'!G24+'10-07-26'!F24</f>
        <v>60</v>
      </c>
      <c r="H24" s="628">
        <f>F24/E4</f>
        <v>3.5714285714285712E-2</v>
      </c>
      <c r="I24" s="362">
        <f t="shared" si="2"/>
        <v>331.6</v>
      </c>
      <c r="J24" s="400">
        <f>G24/F4</f>
        <v>4.6153846153846156E-2</v>
      </c>
      <c r="K24" s="363">
        <v>24000</v>
      </c>
      <c r="L24" s="609">
        <f t="shared" si="0"/>
        <v>144</v>
      </c>
      <c r="M24" s="609">
        <f t="shared" si="1"/>
        <v>1440</v>
      </c>
      <c r="N24" s="609">
        <f>L24/E4</f>
        <v>0.8571428571428571</v>
      </c>
      <c r="O24" s="629">
        <f>M24/F4</f>
        <v>1.1076923076923078</v>
      </c>
      <c r="Q24" s="610"/>
    </row>
    <row r="25" spans="1:17">
      <c r="A25" s="626">
        <v>17</v>
      </c>
      <c r="B25" s="397" t="s">
        <v>48</v>
      </c>
      <c r="C25" s="363">
        <v>380</v>
      </c>
      <c r="D25" s="399"/>
      <c r="E25" s="399"/>
      <c r="F25" s="627">
        <v>0</v>
      </c>
      <c r="G25" s="362">
        <f>'09-07-26'!G25+'10-07-26'!F25</f>
        <v>0</v>
      </c>
      <c r="H25" s="628">
        <f>F25/E4</f>
        <v>0</v>
      </c>
      <c r="I25" s="362">
        <f t="shared" si="2"/>
        <v>380</v>
      </c>
      <c r="J25" s="400">
        <f>G25/F4</f>
        <v>0</v>
      </c>
      <c r="K25" s="363">
        <v>13210</v>
      </c>
      <c r="L25" s="609">
        <f t="shared" si="0"/>
        <v>0</v>
      </c>
      <c r="M25" s="609">
        <f t="shared" si="1"/>
        <v>0</v>
      </c>
      <c r="N25" s="609">
        <f>L25/E4</f>
        <v>0</v>
      </c>
      <c r="O25" s="629">
        <f>M25/F4</f>
        <v>0</v>
      </c>
      <c r="Q25" s="610"/>
    </row>
    <row r="26" spans="1:17">
      <c r="A26" s="626">
        <v>18</v>
      </c>
      <c r="B26" s="397" t="s">
        <v>49</v>
      </c>
      <c r="C26" s="363">
        <v>185</v>
      </c>
      <c r="D26" s="399"/>
      <c r="E26" s="363"/>
      <c r="F26" s="627">
        <v>5</v>
      </c>
      <c r="G26" s="362">
        <f>'09-07-26'!G26+'10-07-26'!F26</f>
        <v>65</v>
      </c>
      <c r="H26" s="628">
        <f>F26/E4</f>
        <v>2.976190476190476E-2</v>
      </c>
      <c r="I26" s="362">
        <f t="shared" si="2"/>
        <v>180</v>
      </c>
      <c r="J26" s="400">
        <f>G26/F4</f>
        <v>0.05</v>
      </c>
      <c r="K26" s="363">
        <v>14400</v>
      </c>
      <c r="L26" s="609">
        <f t="shared" si="0"/>
        <v>72</v>
      </c>
      <c r="M26" s="609">
        <f t="shared" si="1"/>
        <v>936</v>
      </c>
      <c r="N26" s="609">
        <f>L26/E4</f>
        <v>0.42857142857142855</v>
      </c>
      <c r="O26" s="629">
        <f>M26/F4</f>
        <v>0.72</v>
      </c>
      <c r="Q26" s="610"/>
    </row>
    <row r="27" spans="1:17">
      <c r="A27" s="626">
        <v>19</v>
      </c>
      <c r="B27" s="397" t="s">
        <v>50</v>
      </c>
      <c r="C27" s="363">
        <v>172.5</v>
      </c>
      <c r="D27" s="363"/>
      <c r="E27" s="399"/>
      <c r="F27" s="627">
        <v>3.5</v>
      </c>
      <c r="G27" s="362">
        <f>'09-07-26'!G27+'10-07-26'!F27</f>
        <v>36</v>
      </c>
      <c r="H27" s="628">
        <f>F27/E4</f>
        <v>2.0833333333333332E-2</v>
      </c>
      <c r="I27" s="362">
        <f t="shared" si="2"/>
        <v>169</v>
      </c>
      <c r="J27" s="400">
        <f>G27/F4</f>
        <v>2.7692307692307693E-2</v>
      </c>
      <c r="K27" s="363">
        <v>102000</v>
      </c>
      <c r="L27" s="609">
        <f t="shared" si="0"/>
        <v>357</v>
      </c>
      <c r="M27" s="609">
        <f t="shared" si="1"/>
        <v>3671.9999999999995</v>
      </c>
      <c r="N27" s="609">
        <f>L27/E4</f>
        <v>2.125</v>
      </c>
      <c r="O27" s="629">
        <f>M27/F4</f>
        <v>2.8246153846153841</v>
      </c>
      <c r="Q27" s="610"/>
    </row>
    <row r="28" spans="1:17">
      <c r="A28" s="626">
        <v>20</v>
      </c>
      <c r="B28" s="397" t="s">
        <v>51</v>
      </c>
      <c r="C28" s="363">
        <v>135</v>
      </c>
      <c r="D28" s="399"/>
      <c r="E28" s="399"/>
      <c r="F28" s="627">
        <v>5</v>
      </c>
      <c r="G28" s="362">
        <f>'09-07-26'!G28+'10-07-26'!F28</f>
        <v>50</v>
      </c>
      <c r="H28" s="628">
        <f>F28/E4</f>
        <v>2.976190476190476E-2</v>
      </c>
      <c r="I28" s="362">
        <f t="shared" si="2"/>
        <v>130</v>
      </c>
      <c r="J28" s="400">
        <f>G28/F4</f>
        <v>3.8461538461538464E-2</v>
      </c>
      <c r="K28" s="363">
        <v>107000</v>
      </c>
      <c r="L28" s="609">
        <f t="shared" si="0"/>
        <v>535</v>
      </c>
      <c r="M28" s="609">
        <f t="shared" si="1"/>
        <v>5350</v>
      </c>
      <c r="N28" s="609">
        <f>L28/E4</f>
        <v>3.1845238095238093</v>
      </c>
      <c r="O28" s="629">
        <f>M28/F4</f>
        <v>4.115384615384615</v>
      </c>
      <c r="Q28" s="610"/>
    </row>
    <row r="29" spans="1:17">
      <c r="A29" s="626">
        <v>21</v>
      </c>
      <c r="B29" s="397" t="s">
        <v>52</v>
      </c>
      <c r="C29" s="363">
        <v>142</v>
      </c>
      <c r="D29" s="399"/>
      <c r="E29" s="399"/>
      <c r="F29" s="627">
        <v>3</v>
      </c>
      <c r="G29" s="362">
        <f>'09-07-26'!G29+'10-07-26'!F29</f>
        <v>30</v>
      </c>
      <c r="H29" s="628">
        <f>F29/E4</f>
        <v>1.7857142857142856E-2</v>
      </c>
      <c r="I29" s="362">
        <f t="shared" si="2"/>
        <v>139</v>
      </c>
      <c r="J29" s="400">
        <f>G29/F4</f>
        <v>2.3076923076923078E-2</v>
      </c>
      <c r="K29" s="363">
        <v>100000</v>
      </c>
      <c r="L29" s="609">
        <f t="shared" si="0"/>
        <v>300</v>
      </c>
      <c r="M29" s="609">
        <f t="shared" si="1"/>
        <v>3000</v>
      </c>
      <c r="N29" s="609">
        <f>L29/E4</f>
        <v>1.7857142857142858</v>
      </c>
      <c r="O29" s="630">
        <f>M29/F4</f>
        <v>2.3076923076923075</v>
      </c>
      <c r="Q29" s="610"/>
    </row>
    <row r="30" spans="1:17">
      <c r="A30" s="626">
        <v>22</v>
      </c>
      <c r="B30" s="397" t="s">
        <v>53</v>
      </c>
      <c r="C30" s="363">
        <v>55</v>
      </c>
      <c r="D30" s="399"/>
      <c r="E30" s="399"/>
      <c r="F30" s="627">
        <v>1</v>
      </c>
      <c r="G30" s="362">
        <f>'09-07-26'!G30+'10-07-26'!F30</f>
        <v>10</v>
      </c>
      <c r="H30" s="628">
        <f>F30/E4</f>
        <v>5.9523809523809521E-3</v>
      </c>
      <c r="I30" s="362">
        <f t="shared" si="2"/>
        <v>54</v>
      </c>
      <c r="J30" s="400">
        <f>G30/F4</f>
        <v>7.6923076923076927E-3</v>
      </c>
      <c r="K30" s="363">
        <v>255000</v>
      </c>
      <c r="L30" s="609">
        <f t="shared" si="0"/>
        <v>255</v>
      </c>
      <c r="M30" s="609">
        <f t="shared" si="1"/>
        <v>2550</v>
      </c>
      <c r="N30" s="631">
        <f>L30/E4</f>
        <v>1.5178571428571428</v>
      </c>
      <c r="O30" s="632">
        <f>M30/F4</f>
        <v>1.9615384615384615</v>
      </c>
      <c r="Q30" s="610"/>
    </row>
    <row r="31" spans="1:17">
      <c r="A31" s="626">
        <v>23</v>
      </c>
      <c r="B31" s="397" t="s">
        <v>54</v>
      </c>
      <c r="C31" s="363">
        <v>480</v>
      </c>
      <c r="D31" s="399"/>
      <c r="E31" s="399"/>
      <c r="F31" s="627">
        <v>0</v>
      </c>
      <c r="G31" s="362">
        <f>'09-07-26'!G31+'10-07-26'!F31</f>
        <v>0</v>
      </c>
      <c r="H31" s="628">
        <f>F31/E4</f>
        <v>0</v>
      </c>
      <c r="I31" s="362">
        <f t="shared" si="2"/>
        <v>480</v>
      </c>
      <c r="J31" s="400">
        <f>G31/F4</f>
        <v>0</v>
      </c>
      <c r="K31" s="363">
        <v>56000</v>
      </c>
      <c r="L31" s="609">
        <f t="shared" si="0"/>
        <v>0</v>
      </c>
      <c r="M31" s="609">
        <f t="shared" si="1"/>
        <v>0</v>
      </c>
      <c r="N31" s="631">
        <f>L31/F4</f>
        <v>0</v>
      </c>
      <c r="O31" s="632">
        <f>M31/F4</f>
        <v>0</v>
      </c>
      <c r="Q31" s="610"/>
    </row>
    <row r="32" spans="1:17">
      <c r="A32" s="633">
        <v>24</v>
      </c>
      <c r="B32" s="406" t="s">
        <v>55</v>
      </c>
      <c r="C32" s="604">
        <v>0</v>
      </c>
      <c r="D32" s="408"/>
      <c r="E32" s="408"/>
      <c r="F32" s="634">
        <v>0</v>
      </c>
      <c r="G32" s="362">
        <v>0</v>
      </c>
      <c r="H32" s="635">
        <f>F32/E4</f>
        <v>0</v>
      </c>
      <c r="I32" s="362">
        <f t="shared" si="2"/>
        <v>0</v>
      </c>
      <c r="J32" s="410">
        <f>G32/F4</f>
        <v>0</v>
      </c>
      <c r="K32" s="411">
        <v>90000</v>
      </c>
      <c r="L32" s="636">
        <f t="shared" si="0"/>
        <v>0</v>
      </c>
      <c r="M32" s="636">
        <f t="shared" si="1"/>
        <v>0</v>
      </c>
      <c r="N32" s="629">
        <f>L31/F4</f>
        <v>0</v>
      </c>
      <c r="O32" s="632">
        <f>M32/F4</f>
        <v>0</v>
      </c>
      <c r="Q32" s="610"/>
    </row>
    <row r="33" spans="1:17">
      <c r="A33" s="415" t="s">
        <v>56</v>
      </c>
      <c r="B33" s="415" t="s">
        <v>57</v>
      </c>
      <c r="C33" s="416" t="s">
        <v>58</v>
      </c>
      <c r="D33" s="1312" t="s">
        <v>59</v>
      </c>
      <c r="E33" s="1316"/>
      <c r="F33" s="1316"/>
      <c r="G33" s="1289"/>
      <c r="H33" s="1290"/>
      <c r="I33" s="1290"/>
      <c r="J33" s="1290"/>
      <c r="K33" s="1290"/>
      <c r="L33" s="1291"/>
      <c r="M33" s="637" t="s">
        <v>60</v>
      </c>
      <c r="N33" s="638">
        <f>SUM(N9:N32)</f>
        <v>1149.5470238095238</v>
      </c>
      <c r="O33" s="639">
        <f>SUM(O9:O32)</f>
        <v>1152.293723076923</v>
      </c>
      <c r="Q33" s="610"/>
    </row>
    <row r="34" spans="1:17">
      <c r="A34" s="640">
        <v>1</v>
      </c>
      <c r="B34" s="421" t="s">
        <v>82</v>
      </c>
      <c r="C34" s="422">
        <v>38</v>
      </c>
      <c r="D34" s="1298"/>
      <c r="E34" s="1299"/>
      <c r="F34" s="553">
        <f>C34*E4/C41</f>
        <v>64.484848484848484</v>
      </c>
      <c r="G34" s="1292"/>
      <c r="H34" s="1293"/>
      <c r="I34" s="1293"/>
      <c r="J34" s="1293"/>
      <c r="K34" s="1293"/>
      <c r="L34" s="1294"/>
      <c r="M34" s="424"/>
      <c r="N34" s="641" t="s">
        <v>17</v>
      </c>
      <c r="O34" s="642" t="s">
        <v>17</v>
      </c>
      <c r="Q34" s="610"/>
    </row>
    <row r="35" spans="1:17">
      <c r="A35" s="640">
        <v>2</v>
      </c>
      <c r="B35" s="421" t="s">
        <v>83</v>
      </c>
      <c r="C35" s="427">
        <v>61</v>
      </c>
      <c r="D35" s="1300"/>
      <c r="E35" s="1301"/>
      <c r="F35" s="560">
        <f>C35*E4/C41</f>
        <v>103.51515151515152</v>
      </c>
      <c r="G35" s="1292"/>
      <c r="H35" s="1293"/>
      <c r="I35" s="1293"/>
      <c r="J35" s="1293"/>
      <c r="K35" s="1293"/>
      <c r="L35" s="1294"/>
      <c r="M35" s="429"/>
      <c r="N35" s="430" t="s">
        <v>25</v>
      </c>
      <c r="O35" s="643" t="s">
        <v>26</v>
      </c>
      <c r="Q35" s="610"/>
    </row>
    <row r="36" spans="1:17">
      <c r="A36" s="640">
        <v>3</v>
      </c>
      <c r="B36" s="421"/>
      <c r="C36" s="606"/>
      <c r="D36" s="1300"/>
      <c r="E36" s="1301"/>
      <c r="F36" s="560">
        <f>C36*E4/C41</f>
        <v>0</v>
      </c>
      <c r="G36" s="1292"/>
      <c r="H36" s="1293"/>
      <c r="I36" s="1293"/>
      <c r="J36" s="1293"/>
      <c r="K36" s="1293"/>
      <c r="L36" s="1294"/>
      <c r="M36" s="429"/>
      <c r="N36" s="430" t="s">
        <v>63</v>
      </c>
      <c r="O36" s="643" t="s">
        <v>63</v>
      </c>
      <c r="Q36" s="610"/>
    </row>
    <row r="37" spans="1:17">
      <c r="A37" s="640">
        <v>4</v>
      </c>
      <c r="B37" s="421"/>
      <c r="C37" s="432"/>
      <c r="D37" s="433"/>
      <c r="E37" s="321"/>
      <c r="F37" s="565">
        <f>C37*E4/C41</f>
        <v>0</v>
      </c>
      <c r="G37" s="1295"/>
      <c r="H37" s="1296"/>
      <c r="I37" s="1296"/>
      <c r="J37" s="1296"/>
      <c r="K37" s="1296"/>
      <c r="L37" s="1297"/>
      <c r="M37" s="644" t="s">
        <v>60</v>
      </c>
      <c r="N37" s="645">
        <f>N33/1000</f>
        <v>1.1495470238095238</v>
      </c>
      <c r="O37" s="646">
        <f>O33/1000</f>
        <v>1.152293723076923</v>
      </c>
      <c r="Q37" s="610"/>
    </row>
    <row r="38" spans="1:17">
      <c r="A38" s="640">
        <v>5</v>
      </c>
      <c r="B38" s="421"/>
      <c r="C38" s="647"/>
      <c r="D38" s="433"/>
      <c r="E38" s="321"/>
      <c r="F38" s="565">
        <f>C38*E4/C41</f>
        <v>0</v>
      </c>
      <c r="G38" s="322"/>
      <c r="H38" s="322"/>
      <c r="I38" s="322"/>
      <c r="J38" s="322"/>
      <c r="K38" s="322"/>
      <c r="L38" s="322"/>
      <c r="M38" s="648"/>
      <c r="N38" s="649"/>
      <c r="O38" s="650"/>
      <c r="Q38" s="610"/>
    </row>
    <row r="39" spans="1:17">
      <c r="A39" s="640">
        <v>6</v>
      </c>
      <c r="B39" s="421"/>
      <c r="C39" s="432"/>
      <c r="D39" s="433"/>
      <c r="E39" s="321"/>
      <c r="F39" s="565">
        <f>C39*E4/C41</f>
        <v>0</v>
      </c>
      <c r="G39" s="322"/>
      <c r="H39" s="322"/>
      <c r="I39" s="322"/>
      <c r="J39" s="322"/>
      <c r="K39" s="322"/>
      <c r="L39" s="322"/>
      <c r="M39" s="648"/>
      <c r="N39" s="649"/>
      <c r="O39" s="650"/>
      <c r="Q39" s="610"/>
    </row>
    <row r="40" spans="1:17">
      <c r="A40" s="651">
        <v>7</v>
      </c>
      <c r="B40" s="421"/>
      <c r="C40" s="432"/>
      <c r="D40" s="433"/>
      <c r="E40" s="321"/>
      <c r="F40" s="565">
        <f>C40*E4/C41</f>
        <v>0</v>
      </c>
      <c r="G40" s="322"/>
      <c r="H40" s="322"/>
      <c r="I40" s="322"/>
      <c r="J40" s="322"/>
      <c r="K40" s="322"/>
      <c r="L40" s="322"/>
      <c r="M40" s="648"/>
      <c r="N40" s="649"/>
      <c r="O40" s="650"/>
    </row>
    <row r="41" spans="1:17">
      <c r="A41" s="652">
        <v>4</v>
      </c>
      <c r="B41" s="653" t="s">
        <v>60</v>
      </c>
      <c r="C41" s="654">
        <f>SUM(C34,C35,C36,C37,C38,C39,C40)</f>
        <v>99</v>
      </c>
      <c r="D41" s="1286">
        <f>SUM(F34,F35,F36,F37,F38,F39,F40)</f>
        <v>168</v>
      </c>
      <c r="E41" s="1287"/>
      <c r="F41" s="1288"/>
      <c r="G41" s="610"/>
      <c r="H41" s="610"/>
      <c r="I41" s="610"/>
      <c r="J41" s="610"/>
      <c r="K41" s="610"/>
      <c r="L41" s="610"/>
      <c r="M41" s="610"/>
      <c r="N41" s="610"/>
      <c r="O41" s="655"/>
    </row>
  </sheetData>
  <mergeCells count="14">
    <mergeCell ref="D41:F41"/>
    <mergeCell ref="A1:O2"/>
    <mergeCell ref="G33:L37"/>
    <mergeCell ref="D34:E36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1"/>
  <sheetViews>
    <sheetView workbookViewId="0">
      <selection activeCell="E9" sqref="E9"/>
    </sheetView>
  </sheetViews>
  <sheetFormatPr defaultColWidth="9.140625" defaultRowHeight="12"/>
  <cols>
    <col min="1" max="1" width="9.140625" style="443"/>
    <col min="2" max="2" width="23" style="443" customWidth="1"/>
    <col min="3" max="6" width="9.140625" style="443"/>
    <col min="7" max="7" width="10.140625" style="443" customWidth="1"/>
    <col min="8" max="8" width="11.42578125" style="443" customWidth="1"/>
    <col min="9" max="9" width="9.140625" style="443"/>
    <col min="10" max="10" width="12" style="443" customWidth="1"/>
    <col min="11" max="11" width="9.140625" style="443"/>
    <col min="12" max="12" width="12" style="443" customWidth="1"/>
    <col min="13" max="13" width="11.28515625" style="443" customWidth="1"/>
    <col min="14" max="16384" width="9.140625" style="443"/>
  </cols>
  <sheetData>
    <row r="1" spans="1:15">
      <c r="A1" s="1261" t="s">
        <v>0</v>
      </c>
      <c r="B1" s="1262"/>
      <c r="C1" s="1262"/>
      <c r="D1" s="1262"/>
      <c r="E1" s="1262"/>
      <c r="F1" s="1262"/>
      <c r="G1" s="1262"/>
      <c r="H1" s="1262"/>
      <c r="I1" s="1262"/>
      <c r="J1" s="1262"/>
      <c r="K1" s="1262"/>
      <c r="L1" s="1262"/>
      <c r="M1" s="1262"/>
      <c r="N1" s="1262"/>
      <c r="O1" s="1263"/>
    </row>
    <row r="2" spans="1:15">
      <c r="A2" s="1264"/>
      <c r="B2" s="1265"/>
      <c r="C2" s="1265"/>
      <c r="D2" s="1265"/>
      <c r="E2" s="1265"/>
      <c r="F2" s="1265"/>
      <c r="G2" s="1265"/>
      <c r="H2" s="1265"/>
      <c r="I2" s="1265"/>
      <c r="J2" s="1265"/>
      <c r="K2" s="1265"/>
      <c r="L2" s="1265"/>
      <c r="M2" s="1265"/>
      <c r="N2" s="1265"/>
      <c r="O2" s="1266"/>
    </row>
    <row r="3" spans="1:15" ht="14.25">
      <c r="A3" s="1276" t="s">
        <v>1</v>
      </c>
      <c r="B3" s="1277"/>
      <c r="C3" s="1277"/>
      <c r="D3" s="1277"/>
      <c r="E3" s="1277"/>
      <c r="F3" s="1277"/>
      <c r="G3" s="1277"/>
      <c r="H3" s="1277"/>
      <c r="I3" s="1277"/>
      <c r="J3" s="1277"/>
      <c r="K3" s="1277"/>
      <c r="L3" s="1277"/>
      <c r="M3" s="1277"/>
      <c r="N3" s="1277"/>
      <c r="O3" s="1278"/>
    </row>
    <row r="4" spans="1:15" ht="14.25">
      <c r="A4" s="1276" t="s">
        <v>2</v>
      </c>
      <c r="B4" s="1277"/>
      <c r="C4" s="1277"/>
      <c r="D4" s="1278"/>
      <c r="E4" s="444">
        <v>184</v>
      </c>
      <c r="F4" s="445">
        <v>1484</v>
      </c>
      <c r="G4" s="446">
        <v>134.90899999999999</v>
      </c>
      <c r="H4" s="1279" t="s">
        <v>84</v>
      </c>
      <c r="I4" s="1280"/>
      <c r="J4" s="1280"/>
      <c r="K4" s="1280"/>
      <c r="L4" s="1280"/>
      <c r="M4" s="1280"/>
      <c r="N4" s="1280"/>
      <c r="O4" s="1281"/>
    </row>
    <row r="5" spans="1:15">
      <c r="A5" s="1282" t="s">
        <v>5</v>
      </c>
      <c r="B5" s="1283"/>
      <c r="C5" s="1284" t="s">
        <v>6</v>
      </c>
      <c r="D5" s="1285"/>
      <c r="E5" s="447">
        <v>0</v>
      </c>
      <c r="F5" s="448">
        <v>0</v>
      </c>
      <c r="G5" s="449" t="s">
        <v>75</v>
      </c>
      <c r="H5" s="450"/>
      <c r="I5" s="450"/>
      <c r="J5" s="450"/>
      <c r="K5" s="451"/>
      <c r="L5" s="451"/>
      <c r="M5" s="451"/>
      <c r="N5" s="452"/>
      <c r="O5" s="453"/>
    </row>
    <row r="6" spans="1:15">
      <c r="A6" s="454" t="s">
        <v>8</v>
      </c>
      <c r="B6" s="455" t="s">
        <v>9</v>
      </c>
      <c r="C6" s="455" t="s">
        <v>10</v>
      </c>
      <c r="D6" s="1267" t="s">
        <v>11</v>
      </c>
      <c r="E6" s="1268"/>
      <c r="F6" s="1269" t="s">
        <v>12</v>
      </c>
      <c r="G6" s="1270"/>
      <c r="H6" s="456" t="s">
        <v>13</v>
      </c>
      <c r="I6" s="457" t="s">
        <v>9</v>
      </c>
      <c r="J6" s="458" t="s">
        <v>14</v>
      </c>
      <c r="K6" s="459" t="s">
        <v>15</v>
      </c>
      <c r="L6" s="1271" t="s">
        <v>16</v>
      </c>
      <c r="M6" s="1272"/>
      <c r="N6" s="1273" t="s">
        <v>17</v>
      </c>
      <c r="O6" s="1274"/>
    </row>
    <row r="7" spans="1:15">
      <c r="A7" s="454" t="s">
        <v>18</v>
      </c>
      <c r="B7" s="455" t="s">
        <v>19</v>
      </c>
      <c r="C7" s="455" t="s">
        <v>20</v>
      </c>
      <c r="D7" s="455" t="s">
        <v>21</v>
      </c>
      <c r="E7" s="460" t="s">
        <v>14</v>
      </c>
      <c r="F7" s="461" t="s">
        <v>21</v>
      </c>
      <c r="G7" s="461" t="s">
        <v>14</v>
      </c>
      <c r="H7" s="462" t="s">
        <v>22</v>
      </c>
      <c r="I7" s="463" t="s">
        <v>23</v>
      </c>
      <c r="J7" s="464" t="s">
        <v>22</v>
      </c>
      <c r="K7" s="465" t="s">
        <v>24</v>
      </c>
      <c r="L7" s="465" t="s">
        <v>25</v>
      </c>
      <c r="M7" s="463" t="s">
        <v>26</v>
      </c>
      <c r="N7" s="459" t="s">
        <v>25</v>
      </c>
      <c r="O7" s="466" t="s">
        <v>26</v>
      </c>
    </row>
    <row r="8" spans="1:15">
      <c r="A8" s="467"/>
      <c r="B8" s="455"/>
      <c r="C8" s="455" t="s">
        <v>27</v>
      </c>
      <c r="D8" s="455" t="s">
        <v>27</v>
      </c>
      <c r="E8" s="455" t="s">
        <v>27</v>
      </c>
      <c r="F8" s="468" t="s">
        <v>27</v>
      </c>
      <c r="G8" s="468" t="s">
        <v>27</v>
      </c>
      <c r="H8" s="462" t="s">
        <v>28</v>
      </c>
      <c r="I8" s="463"/>
      <c r="J8" s="464" t="s">
        <v>28</v>
      </c>
      <c r="K8" s="465" t="s">
        <v>29</v>
      </c>
      <c r="L8" s="465" t="s">
        <v>30</v>
      </c>
      <c r="M8" s="463" t="s">
        <v>30</v>
      </c>
      <c r="N8" s="465" t="s">
        <v>31</v>
      </c>
      <c r="O8" s="469" t="s">
        <v>31</v>
      </c>
    </row>
    <row r="9" spans="1:15">
      <c r="A9" s="470">
        <v>1</v>
      </c>
      <c r="B9" s="471" t="s">
        <v>32</v>
      </c>
      <c r="C9" s="472">
        <v>21900</v>
      </c>
      <c r="D9" s="473"/>
      <c r="E9" s="472">
        <v>41000</v>
      </c>
      <c r="F9" s="474">
        <v>7000</v>
      </c>
      <c r="G9" s="475">
        <f>'10-07-26'!G9+'11-07-26'!F9</f>
        <v>39500</v>
      </c>
      <c r="H9" s="476">
        <f>F9/E4</f>
        <v>38.043478260869563</v>
      </c>
      <c r="I9" s="477">
        <f>(C9-F9)+D9</f>
        <v>14900</v>
      </c>
      <c r="J9" s="478">
        <f>G9/F4</f>
        <v>26.617250673854446</v>
      </c>
      <c r="K9" s="479">
        <v>28500</v>
      </c>
      <c r="L9" s="480">
        <f t="shared" ref="L9:L32" si="0">(F9/1000)*K9</f>
        <v>199500</v>
      </c>
      <c r="M9" s="481">
        <f t="shared" ref="M9:M32" si="1">(G9/1000)*K9</f>
        <v>1125750</v>
      </c>
      <c r="N9" s="482">
        <f>L9/E4</f>
        <v>1084.2391304347825</v>
      </c>
      <c r="O9" s="483">
        <f>M9/F4</f>
        <v>758.59164420485172</v>
      </c>
    </row>
    <row r="10" spans="1:15">
      <c r="A10" s="484">
        <v>2</v>
      </c>
      <c r="B10" s="485" t="s">
        <v>33</v>
      </c>
      <c r="C10" s="477">
        <v>7040</v>
      </c>
      <c r="D10" s="486"/>
      <c r="E10" s="477"/>
      <c r="F10" s="487">
        <v>240</v>
      </c>
      <c r="G10" s="477">
        <f>'10-07-26'!G10+'11-07-26'!F10</f>
        <v>2200</v>
      </c>
      <c r="H10" s="488">
        <f>F10/E4</f>
        <v>1.3043478260869565</v>
      </c>
      <c r="I10" s="477">
        <f t="shared" ref="I10:I32" si="2">(C10-F10)+D10</f>
        <v>6800</v>
      </c>
      <c r="J10" s="489">
        <f>G10/F4</f>
        <v>1.4824797843665769</v>
      </c>
      <c r="K10" s="475">
        <v>35500</v>
      </c>
      <c r="L10" s="490">
        <f t="shared" si="0"/>
        <v>8520</v>
      </c>
      <c r="M10" s="490">
        <f t="shared" si="1"/>
        <v>78100</v>
      </c>
      <c r="N10" s="491">
        <f>L10/E4</f>
        <v>46.304347826086953</v>
      </c>
      <c r="O10" s="492">
        <f>M10/F4</f>
        <v>52.62803234501348</v>
      </c>
    </row>
    <row r="11" spans="1:15">
      <c r="A11" s="484">
        <v>3</v>
      </c>
      <c r="B11" s="485" t="s">
        <v>34</v>
      </c>
      <c r="C11" s="477">
        <v>6250</v>
      </c>
      <c r="D11" s="486"/>
      <c r="E11" s="477"/>
      <c r="F11" s="487">
        <v>72</v>
      </c>
      <c r="G11" s="477">
        <f>'10-07-26'!G11+'11-07-26'!F11</f>
        <v>642</v>
      </c>
      <c r="H11" s="488">
        <f>F11/E4</f>
        <v>0.39130434782608697</v>
      </c>
      <c r="I11" s="477">
        <f t="shared" si="2"/>
        <v>6178</v>
      </c>
      <c r="J11" s="489">
        <f>G11/F4</f>
        <v>0.43261455525606468</v>
      </c>
      <c r="K11" s="475">
        <v>98000</v>
      </c>
      <c r="L11" s="490">
        <f t="shared" si="0"/>
        <v>7055.9999999999991</v>
      </c>
      <c r="M11" s="490">
        <f t="shared" si="1"/>
        <v>62916</v>
      </c>
      <c r="N11" s="491">
        <f>L11/E4</f>
        <v>38.347826086956516</v>
      </c>
      <c r="O11" s="492">
        <f>M11/F4</f>
        <v>42.39622641509434</v>
      </c>
    </row>
    <row r="12" spans="1:15">
      <c r="A12" s="484">
        <v>4</v>
      </c>
      <c r="B12" s="485" t="s">
        <v>35</v>
      </c>
      <c r="C12" s="477">
        <v>20.2</v>
      </c>
      <c r="D12" s="486"/>
      <c r="E12" s="477"/>
      <c r="F12" s="487">
        <v>0.08</v>
      </c>
      <c r="G12" s="477">
        <f>'10-07-26'!G12+'11-07-26'!F12</f>
        <v>0.87999999999999989</v>
      </c>
      <c r="H12" s="493">
        <f>F12/E4</f>
        <v>4.3478260869565219E-4</v>
      </c>
      <c r="I12" s="477">
        <f t="shared" si="2"/>
        <v>20.12</v>
      </c>
      <c r="J12" s="494">
        <f>G12/F4</f>
        <v>5.9299191374663062E-4</v>
      </c>
      <c r="K12" s="475">
        <v>750000</v>
      </c>
      <c r="L12" s="490">
        <f t="shared" si="0"/>
        <v>60.000000000000007</v>
      </c>
      <c r="M12" s="490">
        <f t="shared" si="1"/>
        <v>659.99999999999989</v>
      </c>
      <c r="N12" s="491">
        <f>L12/E4</f>
        <v>0.32608695652173919</v>
      </c>
      <c r="O12" s="492">
        <f>M12/F4</f>
        <v>0.44474393530997297</v>
      </c>
    </row>
    <row r="13" spans="1:15">
      <c r="A13" s="484">
        <v>5</v>
      </c>
      <c r="B13" s="485" t="s">
        <v>36</v>
      </c>
      <c r="C13" s="477">
        <v>304</v>
      </c>
      <c r="D13" s="486"/>
      <c r="E13" s="477"/>
      <c r="F13" s="495">
        <v>28</v>
      </c>
      <c r="G13" s="477">
        <f>'10-07-26'!G13+'11-07-26'!F13</f>
        <v>224</v>
      </c>
      <c r="H13" s="488">
        <f>F13/E4</f>
        <v>0.15217391304347827</v>
      </c>
      <c r="I13" s="477">
        <f t="shared" si="2"/>
        <v>276</v>
      </c>
      <c r="J13" s="489">
        <f>G13/F4</f>
        <v>0.15094339622641509</v>
      </c>
      <c r="K13" s="475">
        <v>350000</v>
      </c>
      <c r="L13" s="490">
        <f t="shared" si="0"/>
        <v>9800</v>
      </c>
      <c r="M13" s="490">
        <f t="shared" si="1"/>
        <v>78400</v>
      </c>
      <c r="N13" s="491">
        <f>L13/E4</f>
        <v>53.260869565217391</v>
      </c>
      <c r="O13" s="492">
        <f>M13/F4</f>
        <v>52.830188679245282</v>
      </c>
    </row>
    <row r="14" spans="1:15">
      <c r="A14" s="484">
        <v>6</v>
      </c>
      <c r="B14" s="485" t="s">
        <v>37</v>
      </c>
      <c r="C14" s="477">
        <v>1935</v>
      </c>
      <c r="D14" s="486"/>
      <c r="E14" s="487"/>
      <c r="F14" s="477">
        <v>50</v>
      </c>
      <c r="G14" s="477">
        <f>'10-07-26'!G14+'11-07-26'!F14</f>
        <v>515</v>
      </c>
      <c r="H14" s="488">
        <f>F14/E4</f>
        <v>0.27173913043478259</v>
      </c>
      <c r="I14" s="477">
        <f t="shared" si="2"/>
        <v>1885</v>
      </c>
      <c r="J14" s="489">
        <f>G14/F4</f>
        <v>0.34703504043126687</v>
      </c>
      <c r="K14" s="475">
        <v>204500</v>
      </c>
      <c r="L14" s="490">
        <f t="shared" si="0"/>
        <v>10225</v>
      </c>
      <c r="M14" s="490">
        <f t="shared" si="1"/>
        <v>105317.5</v>
      </c>
      <c r="N14" s="491">
        <f>L14/E4</f>
        <v>55.570652173913047</v>
      </c>
      <c r="O14" s="492">
        <f>M14/F4</f>
        <v>70.968665768194072</v>
      </c>
    </row>
    <row r="15" spans="1:15">
      <c r="A15" s="484">
        <v>7</v>
      </c>
      <c r="B15" s="485" t="s">
        <v>38</v>
      </c>
      <c r="C15" s="477">
        <v>1293</v>
      </c>
      <c r="D15" s="486"/>
      <c r="E15" s="496"/>
      <c r="F15" s="497">
        <v>54</v>
      </c>
      <c r="G15" s="477">
        <f>'10-07-26'!G15+'11-07-26'!F15</f>
        <v>511</v>
      </c>
      <c r="H15" s="488">
        <f>F15/E4</f>
        <v>0.29347826086956524</v>
      </c>
      <c r="I15" s="477">
        <f t="shared" si="2"/>
        <v>1239</v>
      </c>
      <c r="J15" s="489">
        <f>G15/F4</f>
        <v>0.34433962264150941</v>
      </c>
      <c r="K15" s="475">
        <v>129500</v>
      </c>
      <c r="L15" s="490">
        <f t="shared" si="0"/>
        <v>6993</v>
      </c>
      <c r="M15" s="490">
        <f t="shared" si="1"/>
        <v>66174.5</v>
      </c>
      <c r="N15" s="491">
        <f>L15/E4</f>
        <v>38.005434782608695</v>
      </c>
      <c r="O15" s="492">
        <f>M15/F4</f>
        <v>44.591981132075475</v>
      </c>
    </row>
    <row r="16" spans="1:15">
      <c r="A16" s="484">
        <v>8</v>
      </c>
      <c r="B16" s="485" t="s">
        <v>39</v>
      </c>
      <c r="C16" s="477">
        <v>810</v>
      </c>
      <c r="D16" s="487"/>
      <c r="E16" s="477"/>
      <c r="F16" s="498">
        <v>20</v>
      </c>
      <c r="G16" s="477">
        <f>'10-07-26'!G16+'11-07-26'!F16</f>
        <v>195</v>
      </c>
      <c r="H16" s="488">
        <f>F16/E4</f>
        <v>0.10869565217391304</v>
      </c>
      <c r="I16" s="477">
        <f t="shared" si="2"/>
        <v>790</v>
      </c>
      <c r="J16" s="489">
        <f>G16/F4</f>
        <v>0.13140161725067384</v>
      </c>
      <c r="K16" s="475">
        <v>219500</v>
      </c>
      <c r="L16" s="490">
        <f t="shared" si="0"/>
        <v>4390</v>
      </c>
      <c r="M16" s="490">
        <f t="shared" si="1"/>
        <v>42802.5</v>
      </c>
      <c r="N16" s="491">
        <f>L16/E4</f>
        <v>23.858695652173914</v>
      </c>
      <c r="O16" s="492">
        <f>M16/F4</f>
        <v>28.842654986522913</v>
      </c>
    </row>
    <row r="17" spans="1:15">
      <c r="A17" s="484">
        <v>9</v>
      </c>
      <c r="B17" s="485" t="s">
        <v>40</v>
      </c>
      <c r="C17" s="477">
        <v>21</v>
      </c>
      <c r="D17" s="486"/>
      <c r="E17" s="499"/>
      <c r="F17" s="487">
        <v>0</v>
      </c>
      <c r="G17" s="477">
        <f>'10-07-26'!G17+'11-07-26'!F17</f>
        <v>0</v>
      </c>
      <c r="H17" s="488">
        <f>F17/E4</f>
        <v>0</v>
      </c>
      <c r="I17" s="477">
        <f t="shared" si="2"/>
        <v>21</v>
      </c>
      <c r="J17" s="489">
        <f>G17/F4</f>
        <v>0</v>
      </c>
      <c r="K17" s="475">
        <v>348200</v>
      </c>
      <c r="L17" s="490">
        <f t="shared" si="0"/>
        <v>0</v>
      </c>
      <c r="M17" s="500">
        <f t="shared" si="1"/>
        <v>0</v>
      </c>
      <c r="N17" s="491">
        <f>L17/E4</f>
        <v>0</v>
      </c>
      <c r="O17" s="492">
        <f>M17/F4</f>
        <v>0</v>
      </c>
    </row>
    <row r="18" spans="1:15">
      <c r="A18" s="501">
        <v>10</v>
      </c>
      <c r="B18" s="502" t="s">
        <v>41</v>
      </c>
      <c r="C18" s="503">
        <v>3950</v>
      </c>
      <c r="D18" s="503"/>
      <c r="E18" s="503"/>
      <c r="F18" s="504">
        <v>0</v>
      </c>
      <c r="G18" s="477">
        <f>'10-07-26'!G18+'11-07-26'!F18</f>
        <v>0</v>
      </c>
      <c r="H18" s="505">
        <f>F18/E4</f>
        <v>0</v>
      </c>
      <c r="I18" s="477">
        <f t="shared" si="2"/>
        <v>3950</v>
      </c>
      <c r="J18" s="506">
        <f>G18/F4</f>
        <v>0</v>
      </c>
      <c r="K18" s="507">
        <v>172000</v>
      </c>
      <c r="L18" s="508">
        <f t="shared" si="0"/>
        <v>0</v>
      </c>
      <c r="M18" s="508">
        <f t="shared" si="1"/>
        <v>0</v>
      </c>
      <c r="N18" s="508">
        <f>L18/E4</f>
        <v>0</v>
      </c>
      <c r="O18" s="509">
        <f>M18/F4</f>
        <v>0</v>
      </c>
    </row>
    <row r="19" spans="1:15">
      <c r="A19" s="510">
        <v>11</v>
      </c>
      <c r="B19" s="511" t="s">
        <v>42</v>
      </c>
      <c r="C19" s="512">
        <v>48</v>
      </c>
      <c r="D19" s="512"/>
      <c r="E19" s="512"/>
      <c r="F19" s="513">
        <v>0</v>
      </c>
      <c r="G19" s="477">
        <f>'10-07-26'!G19+'11-07-26'!F19</f>
        <v>0</v>
      </c>
      <c r="H19" s="505">
        <f>F19/E4</f>
        <v>0</v>
      </c>
      <c r="I19" s="477">
        <f t="shared" si="2"/>
        <v>48</v>
      </c>
      <c r="J19" s="514">
        <f>G19/F4</f>
        <v>0</v>
      </c>
      <c r="K19" s="512">
        <v>200000</v>
      </c>
      <c r="L19" s="515">
        <f t="shared" si="0"/>
        <v>0</v>
      </c>
      <c r="M19" s="515">
        <f t="shared" si="1"/>
        <v>0</v>
      </c>
      <c r="N19" s="515">
        <f>L19/E4</f>
        <v>0</v>
      </c>
      <c r="O19" s="516">
        <f>M19/F4</f>
        <v>0</v>
      </c>
    </row>
    <row r="20" spans="1:15">
      <c r="A20" s="517">
        <v>12</v>
      </c>
      <c r="B20" s="518" t="s">
        <v>43</v>
      </c>
      <c r="C20" s="519">
        <v>104.9</v>
      </c>
      <c r="D20" s="520"/>
      <c r="E20" s="520"/>
      <c r="F20" s="521">
        <v>7.2</v>
      </c>
      <c r="G20" s="477">
        <f>'10-07-26'!G20+'11-07-26'!F20</f>
        <v>65.500000000000014</v>
      </c>
      <c r="H20" s="522">
        <f>F20/E4</f>
        <v>3.9130434782608699E-2</v>
      </c>
      <c r="I20" s="477">
        <f t="shared" si="2"/>
        <v>97.7</v>
      </c>
      <c r="J20" s="523">
        <f>G20/F4</f>
        <v>4.4137466307277641E-2</v>
      </c>
      <c r="K20" s="519">
        <v>377600</v>
      </c>
      <c r="L20" s="524">
        <f t="shared" si="0"/>
        <v>2718.72</v>
      </c>
      <c r="M20" s="524">
        <f t="shared" si="1"/>
        <v>24732.800000000007</v>
      </c>
      <c r="N20" s="524">
        <f>L20/E4</f>
        <v>14.775652173913043</v>
      </c>
      <c r="O20" s="525">
        <f>M20/F4</f>
        <v>16.666307277628036</v>
      </c>
    </row>
    <row r="21" spans="1:15">
      <c r="A21" s="517">
        <v>13</v>
      </c>
      <c r="B21" s="518" t="s">
        <v>44</v>
      </c>
      <c r="C21" s="519">
        <v>99.8</v>
      </c>
      <c r="D21" s="520"/>
      <c r="E21" s="520"/>
      <c r="F21" s="521">
        <v>4.3</v>
      </c>
      <c r="G21" s="477">
        <f>'10-07-26'!G21+'11-07-26'!F21</f>
        <v>38.999999999999993</v>
      </c>
      <c r="H21" s="526">
        <f>F21/E4</f>
        <v>2.3369565217391305E-2</v>
      </c>
      <c r="I21" s="477">
        <f t="shared" si="2"/>
        <v>95.5</v>
      </c>
      <c r="J21" s="523">
        <f>G21/F4</f>
        <v>2.6280323450134768E-2</v>
      </c>
      <c r="K21" s="519">
        <v>271400</v>
      </c>
      <c r="L21" s="524">
        <f t="shared" si="0"/>
        <v>1167.02</v>
      </c>
      <c r="M21" s="524">
        <f t="shared" si="1"/>
        <v>10584.599999999999</v>
      </c>
      <c r="N21" s="524">
        <f>L21/E4</f>
        <v>6.3425000000000002</v>
      </c>
      <c r="O21" s="525">
        <f>M21/F4</f>
        <v>7.1324797843665761</v>
      </c>
    </row>
    <row r="22" spans="1:15">
      <c r="A22" s="517">
        <v>14</v>
      </c>
      <c r="B22" s="518" t="s">
        <v>45</v>
      </c>
      <c r="C22" s="519">
        <v>1438</v>
      </c>
      <c r="D22" s="520"/>
      <c r="E22" s="520"/>
      <c r="F22" s="521">
        <v>61.9</v>
      </c>
      <c r="G22" s="477">
        <f>'10-07-26'!G22+'11-07-26'!F22</f>
        <v>563.09999999999991</v>
      </c>
      <c r="H22" s="526">
        <f>F22/E4</f>
        <v>0.33641304347826084</v>
      </c>
      <c r="I22" s="477">
        <f t="shared" si="2"/>
        <v>1376.1</v>
      </c>
      <c r="J22" s="523">
        <f>G22/F4</f>
        <v>0.37944743935309966</v>
      </c>
      <c r="K22" s="519">
        <v>271400</v>
      </c>
      <c r="L22" s="524">
        <f t="shared" si="0"/>
        <v>16799.66</v>
      </c>
      <c r="M22" s="524">
        <f t="shared" si="1"/>
        <v>152825.34</v>
      </c>
      <c r="N22" s="524">
        <f>L22/E4</f>
        <v>91.302499999999995</v>
      </c>
      <c r="O22" s="525">
        <f>M22/F4</f>
        <v>102.98203504043127</v>
      </c>
    </row>
    <row r="23" spans="1:15">
      <c r="A23" s="527">
        <v>15</v>
      </c>
      <c r="B23" s="528" t="s">
        <v>46</v>
      </c>
      <c r="C23" s="486">
        <v>100</v>
      </c>
      <c r="D23" s="529"/>
      <c r="E23" s="529"/>
      <c r="F23" s="530">
        <v>0</v>
      </c>
      <c r="G23" s="477">
        <f>'10-07-26'!G23+'11-07-26'!F23</f>
        <v>0</v>
      </c>
      <c r="H23" s="531">
        <f>F23/E4</f>
        <v>0</v>
      </c>
      <c r="I23" s="477">
        <f t="shared" si="2"/>
        <v>100</v>
      </c>
      <c r="J23" s="532">
        <f>G23/F4</f>
        <v>0</v>
      </c>
      <c r="K23" s="486">
        <v>41000</v>
      </c>
      <c r="L23" s="500">
        <f t="shared" si="0"/>
        <v>0</v>
      </c>
      <c r="M23" s="500">
        <f t="shared" si="1"/>
        <v>0</v>
      </c>
      <c r="N23" s="500">
        <f>L23/E4</f>
        <v>0</v>
      </c>
      <c r="O23" s="533">
        <f>M23/F4</f>
        <v>0</v>
      </c>
    </row>
    <row r="24" spans="1:15">
      <c r="A24" s="527">
        <v>16</v>
      </c>
      <c r="B24" s="528" t="s">
        <v>47</v>
      </c>
      <c r="C24" s="486">
        <v>331.6</v>
      </c>
      <c r="D24" s="529"/>
      <c r="E24" s="529"/>
      <c r="F24" s="530">
        <v>6</v>
      </c>
      <c r="G24" s="477">
        <f>'10-07-26'!G24+'11-07-26'!F24</f>
        <v>66</v>
      </c>
      <c r="H24" s="531">
        <f>F24/E4</f>
        <v>3.2608695652173912E-2</v>
      </c>
      <c r="I24" s="477">
        <f t="shared" si="2"/>
        <v>325.60000000000002</v>
      </c>
      <c r="J24" s="532">
        <f>G24/F4</f>
        <v>4.4474393530997303E-2</v>
      </c>
      <c r="K24" s="486">
        <v>24000</v>
      </c>
      <c r="L24" s="500">
        <f t="shared" si="0"/>
        <v>144</v>
      </c>
      <c r="M24" s="500">
        <f t="shared" si="1"/>
        <v>1584</v>
      </c>
      <c r="N24" s="500">
        <f>L24/E4</f>
        <v>0.78260869565217395</v>
      </c>
      <c r="O24" s="533">
        <f>M24/F4</f>
        <v>1.0673854447439353</v>
      </c>
    </row>
    <row r="25" spans="1:15">
      <c r="A25" s="527">
        <v>17</v>
      </c>
      <c r="B25" s="528" t="s">
        <v>48</v>
      </c>
      <c r="C25" s="486">
        <v>380</v>
      </c>
      <c r="D25" s="529"/>
      <c r="E25" s="529"/>
      <c r="F25" s="530">
        <v>0</v>
      </c>
      <c r="G25" s="477">
        <f>'10-07-26'!G25+'11-07-26'!F25</f>
        <v>0</v>
      </c>
      <c r="H25" s="531">
        <f>F25/E4</f>
        <v>0</v>
      </c>
      <c r="I25" s="477">
        <f t="shared" si="2"/>
        <v>380</v>
      </c>
      <c r="J25" s="532">
        <f>G25/F4</f>
        <v>0</v>
      </c>
      <c r="K25" s="486">
        <v>13210</v>
      </c>
      <c r="L25" s="500">
        <f t="shared" si="0"/>
        <v>0</v>
      </c>
      <c r="M25" s="500">
        <f t="shared" si="1"/>
        <v>0</v>
      </c>
      <c r="N25" s="500">
        <f>L25/E4</f>
        <v>0</v>
      </c>
      <c r="O25" s="533">
        <f>M25/F4</f>
        <v>0</v>
      </c>
    </row>
    <row r="26" spans="1:15">
      <c r="A26" s="527">
        <v>18</v>
      </c>
      <c r="B26" s="528" t="s">
        <v>49</v>
      </c>
      <c r="C26" s="486">
        <v>180</v>
      </c>
      <c r="D26" s="529"/>
      <c r="E26" s="486"/>
      <c r="F26" s="530">
        <v>5</v>
      </c>
      <c r="G26" s="477">
        <f>'10-07-26'!G26+'11-07-26'!F26</f>
        <v>70</v>
      </c>
      <c r="H26" s="531">
        <f>F26/E4</f>
        <v>2.717391304347826E-2</v>
      </c>
      <c r="I26" s="477">
        <f t="shared" si="2"/>
        <v>175</v>
      </c>
      <c r="J26" s="532">
        <f>G26/F4</f>
        <v>4.716981132075472E-2</v>
      </c>
      <c r="K26" s="486">
        <v>14400</v>
      </c>
      <c r="L26" s="500">
        <f t="shared" si="0"/>
        <v>72</v>
      </c>
      <c r="M26" s="500">
        <f t="shared" si="1"/>
        <v>1008.0000000000001</v>
      </c>
      <c r="N26" s="500">
        <f>L26/E4</f>
        <v>0.39130434782608697</v>
      </c>
      <c r="O26" s="533">
        <f>M26/F4</f>
        <v>0.679245283018868</v>
      </c>
    </row>
    <row r="27" spans="1:15">
      <c r="A27" s="527">
        <v>19</v>
      </c>
      <c r="B27" s="528" t="s">
        <v>50</v>
      </c>
      <c r="C27" s="486">
        <v>169</v>
      </c>
      <c r="D27" s="486"/>
      <c r="E27" s="529"/>
      <c r="F27" s="530">
        <v>3.5</v>
      </c>
      <c r="G27" s="477">
        <f>'10-07-26'!G27+'11-07-26'!F27</f>
        <v>39.5</v>
      </c>
      <c r="H27" s="531">
        <f>F27/E4</f>
        <v>1.9021739130434784E-2</v>
      </c>
      <c r="I27" s="477">
        <f t="shared" si="2"/>
        <v>165.5</v>
      </c>
      <c r="J27" s="532">
        <f>G27/F4</f>
        <v>2.6617250673854446E-2</v>
      </c>
      <c r="K27" s="486">
        <v>102000</v>
      </c>
      <c r="L27" s="500">
        <f t="shared" si="0"/>
        <v>357</v>
      </c>
      <c r="M27" s="500">
        <f t="shared" si="1"/>
        <v>4029</v>
      </c>
      <c r="N27" s="500">
        <f>L27/E4</f>
        <v>1.9402173913043479</v>
      </c>
      <c r="O27" s="533">
        <f>M27/F4</f>
        <v>2.7149595687331538</v>
      </c>
    </row>
    <row r="28" spans="1:15">
      <c r="A28" s="527">
        <v>20</v>
      </c>
      <c r="B28" s="528" t="s">
        <v>51</v>
      </c>
      <c r="C28" s="486">
        <v>130</v>
      </c>
      <c r="D28" s="529"/>
      <c r="E28" s="529"/>
      <c r="F28" s="530">
        <v>5</v>
      </c>
      <c r="G28" s="477">
        <f>'10-07-26'!G28+'11-07-26'!F28</f>
        <v>55</v>
      </c>
      <c r="H28" s="531">
        <f>F28/E4</f>
        <v>2.717391304347826E-2</v>
      </c>
      <c r="I28" s="477">
        <f t="shared" si="2"/>
        <v>125</v>
      </c>
      <c r="J28" s="532">
        <f>G28/F4</f>
        <v>3.7061994609164421E-2</v>
      </c>
      <c r="K28" s="486">
        <v>107000</v>
      </c>
      <c r="L28" s="500">
        <f t="shared" si="0"/>
        <v>535</v>
      </c>
      <c r="M28" s="500">
        <f t="shared" si="1"/>
        <v>5885</v>
      </c>
      <c r="N28" s="500">
        <f>L28/E4</f>
        <v>2.9076086956521738</v>
      </c>
      <c r="O28" s="533">
        <f>M28/F4</f>
        <v>3.9656334231805932</v>
      </c>
    </row>
    <row r="29" spans="1:15">
      <c r="A29" s="527">
        <v>21</v>
      </c>
      <c r="B29" s="528" t="s">
        <v>52</v>
      </c>
      <c r="C29" s="486">
        <v>139</v>
      </c>
      <c r="D29" s="529"/>
      <c r="E29" s="529"/>
      <c r="F29" s="530">
        <v>3</v>
      </c>
      <c r="G29" s="477">
        <f>'10-07-26'!G29+'11-07-26'!F29</f>
        <v>33</v>
      </c>
      <c r="H29" s="531">
        <f>F29/E4</f>
        <v>1.6304347826086956E-2</v>
      </c>
      <c r="I29" s="477">
        <f t="shared" si="2"/>
        <v>136</v>
      </c>
      <c r="J29" s="532">
        <f>G29/F4</f>
        <v>2.2237196765498651E-2</v>
      </c>
      <c r="K29" s="486">
        <v>100000</v>
      </c>
      <c r="L29" s="500">
        <f t="shared" si="0"/>
        <v>300</v>
      </c>
      <c r="M29" s="500">
        <f t="shared" si="1"/>
        <v>3300</v>
      </c>
      <c r="N29" s="500">
        <f>L29/E4</f>
        <v>1.6304347826086956</v>
      </c>
      <c r="O29" s="534">
        <f>M29/F4</f>
        <v>2.223719676549865</v>
      </c>
    </row>
    <row r="30" spans="1:15">
      <c r="A30" s="527">
        <v>22</v>
      </c>
      <c r="B30" s="528" t="s">
        <v>53</v>
      </c>
      <c r="C30" s="486">
        <v>54</v>
      </c>
      <c r="D30" s="529"/>
      <c r="E30" s="529"/>
      <c r="F30" s="530">
        <v>1</v>
      </c>
      <c r="G30" s="477">
        <f>'10-07-26'!G30+'11-07-26'!F30</f>
        <v>11</v>
      </c>
      <c r="H30" s="531">
        <f>F30/E4</f>
        <v>5.434782608695652E-3</v>
      </c>
      <c r="I30" s="477">
        <f t="shared" si="2"/>
        <v>53</v>
      </c>
      <c r="J30" s="532">
        <f>G30/F4</f>
        <v>7.4123989218328841E-3</v>
      </c>
      <c r="K30" s="486">
        <v>255000</v>
      </c>
      <c r="L30" s="500">
        <f t="shared" si="0"/>
        <v>255</v>
      </c>
      <c r="M30" s="500">
        <f t="shared" si="1"/>
        <v>2805</v>
      </c>
      <c r="N30" s="535">
        <f>L30/E4</f>
        <v>1.3858695652173914</v>
      </c>
      <c r="O30" s="536">
        <f>M30/F4</f>
        <v>1.8901617250673854</v>
      </c>
    </row>
    <row r="31" spans="1:15">
      <c r="A31" s="527">
        <v>23</v>
      </c>
      <c r="B31" s="528" t="s">
        <v>54</v>
      </c>
      <c r="C31" s="486">
        <v>480</v>
      </c>
      <c r="D31" s="529"/>
      <c r="E31" s="529"/>
      <c r="F31" s="530">
        <v>0</v>
      </c>
      <c r="G31" s="477">
        <f>'10-07-26'!G31+'11-07-26'!F31</f>
        <v>0</v>
      </c>
      <c r="H31" s="531">
        <f>F31/E4</f>
        <v>0</v>
      </c>
      <c r="I31" s="477">
        <f t="shared" si="2"/>
        <v>480</v>
      </c>
      <c r="J31" s="532">
        <f>G31/F4</f>
        <v>0</v>
      </c>
      <c r="K31" s="486">
        <v>56000</v>
      </c>
      <c r="L31" s="500">
        <f t="shared" si="0"/>
        <v>0</v>
      </c>
      <c r="M31" s="500">
        <f t="shared" si="1"/>
        <v>0</v>
      </c>
      <c r="N31" s="535">
        <f>M30/F4</f>
        <v>1.8901617250673854</v>
      </c>
      <c r="O31" s="536">
        <f>M31/F4</f>
        <v>0</v>
      </c>
    </row>
    <row r="32" spans="1:15">
      <c r="A32" s="537">
        <v>24</v>
      </c>
      <c r="B32" s="538" t="s">
        <v>55</v>
      </c>
      <c r="C32" s="496">
        <v>0</v>
      </c>
      <c r="D32" s="539"/>
      <c r="E32" s="539"/>
      <c r="F32" s="540">
        <v>0</v>
      </c>
      <c r="G32" s="477">
        <f>'10-07-26'!G32+'11-07-26'!F32</f>
        <v>0</v>
      </c>
      <c r="H32" s="541">
        <f>F32/E4</f>
        <v>0</v>
      </c>
      <c r="I32" s="477">
        <f t="shared" si="2"/>
        <v>0</v>
      </c>
      <c r="J32" s="542">
        <f>G32/F4</f>
        <v>0</v>
      </c>
      <c r="K32" s="543">
        <v>90000</v>
      </c>
      <c r="L32" s="544">
        <f t="shared" si="0"/>
        <v>0</v>
      </c>
      <c r="M32" s="544">
        <f t="shared" si="1"/>
        <v>0</v>
      </c>
      <c r="N32" s="533">
        <f>M31/F4</f>
        <v>0</v>
      </c>
      <c r="O32" s="536">
        <f>M32/F4</f>
        <v>0</v>
      </c>
    </row>
    <row r="33" spans="1:15">
      <c r="A33" s="545" t="s">
        <v>56</v>
      </c>
      <c r="B33" s="545" t="s">
        <v>57</v>
      </c>
      <c r="C33" s="546" t="s">
        <v>58</v>
      </c>
      <c r="D33" s="1271" t="s">
        <v>59</v>
      </c>
      <c r="E33" s="1275"/>
      <c r="F33" s="1275"/>
      <c r="G33" s="1341"/>
      <c r="H33" s="1342"/>
      <c r="I33" s="1342"/>
      <c r="J33" s="1342"/>
      <c r="K33" s="1342"/>
      <c r="L33" s="1343"/>
      <c r="M33" s="547" t="s">
        <v>60</v>
      </c>
      <c r="N33" s="548">
        <f>SUM(N9:N32)</f>
        <v>1463.2619008555023</v>
      </c>
      <c r="O33" s="549">
        <f>SUM(O9:O32)</f>
        <v>1190.6160646900266</v>
      </c>
    </row>
    <row r="34" spans="1:15">
      <c r="A34" s="550">
        <v>1</v>
      </c>
      <c r="B34" s="551" t="s">
        <v>83</v>
      </c>
      <c r="C34" s="552">
        <v>11</v>
      </c>
      <c r="D34" s="1257"/>
      <c r="E34" s="1258"/>
      <c r="F34" s="553">
        <f>C34*E4/C41</f>
        <v>18.399999999999999</v>
      </c>
      <c r="G34" s="1344"/>
      <c r="H34" s="1252"/>
      <c r="I34" s="1252"/>
      <c r="J34" s="1252"/>
      <c r="K34" s="1252"/>
      <c r="L34" s="1345"/>
      <c r="M34" s="555"/>
      <c r="N34" s="556" t="s">
        <v>17</v>
      </c>
      <c r="O34" s="557" t="s">
        <v>17</v>
      </c>
    </row>
    <row r="35" spans="1:15">
      <c r="A35" s="550">
        <v>2</v>
      </c>
      <c r="B35" s="551" t="s">
        <v>62</v>
      </c>
      <c r="C35" s="558">
        <v>5</v>
      </c>
      <c r="D35" s="1259"/>
      <c r="E35" s="1260"/>
      <c r="F35" s="560">
        <f>C35*E4/C41</f>
        <v>8.3636363636363633</v>
      </c>
      <c r="G35" s="1344"/>
      <c r="H35" s="1252"/>
      <c r="I35" s="1252"/>
      <c r="J35" s="1252"/>
      <c r="K35" s="1252"/>
      <c r="L35" s="1345"/>
      <c r="M35" s="561"/>
      <c r="N35" s="562" t="s">
        <v>25</v>
      </c>
      <c r="O35" s="563" t="s">
        <v>26</v>
      </c>
    </row>
    <row r="36" spans="1:15">
      <c r="A36" s="550">
        <v>3</v>
      </c>
      <c r="B36" s="551" t="s">
        <v>85</v>
      </c>
      <c r="C36" s="498">
        <v>24</v>
      </c>
      <c r="D36" s="1259"/>
      <c r="E36" s="1260"/>
      <c r="F36" s="560">
        <f>C36*E4/C41</f>
        <v>40.145454545454548</v>
      </c>
      <c r="G36" s="1344"/>
      <c r="H36" s="1252"/>
      <c r="I36" s="1252"/>
      <c r="J36" s="1252"/>
      <c r="K36" s="1252"/>
      <c r="L36" s="1345"/>
      <c r="M36" s="561"/>
      <c r="N36" s="562" t="s">
        <v>63</v>
      </c>
      <c r="O36" s="563" t="s">
        <v>63</v>
      </c>
    </row>
    <row r="37" spans="1:15" ht="14.25">
      <c r="A37" s="550">
        <v>4</v>
      </c>
      <c r="B37" s="551" t="s">
        <v>86</v>
      </c>
      <c r="C37" s="564">
        <v>15</v>
      </c>
      <c r="D37" s="559"/>
      <c r="F37" s="565">
        <f>C37*E4/C41</f>
        <v>25.09090909090909</v>
      </c>
      <c r="G37" s="1346"/>
      <c r="H37" s="1347"/>
      <c r="I37" s="1347"/>
      <c r="J37" s="1347"/>
      <c r="K37" s="1347"/>
      <c r="L37" s="1348"/>
      <c r="M37" s="566" t="s">
        <v>60</v>
      </c>
      <c r="N37" s="567">
        <f>N33/1000</f>
        <v>1.4632619008555023</v>
      </c>
      <c r="O37" s="568">
        <f>O33/1000</f>
        <v>1.1906160646900266</v>
      </c>
    </row>
    <row r="38" spans="1:15">
      <c r="A38" s="550">
        <v>5</v>
      </c>
      <c r="B38" s="551" t="s">
        <v>87</v>
      </c>
      <c r="C38" s="569">
        <v>5</v>
      </c>
      <c r="D38" s="559"/>
      <c r="F38" s="565">
        <f>C38*E4/C41</f>
        <v>8.3636363636363633</v>
      </c>
      <c r="G38" s="554"/>
      <c r="H38" s="554"/>
      <c r="I38" s="554"/>
      <c r="J38" s="554"/>
      <c r="K38" s="554"/>
      <c r="L38" s="554"/>
      <c r="M38" s="570"/>
      <c r="N38" s="571"/>
      <c r="O38" s="572"/>
    </row>
    <row r="39" spans="1:15">
      <c r="A39" s="550">
        <v>6</v>
      </c>
      <c r="B39" s="551" t="s">
        <v>88</v>
      </c>
      <c r="C39" s="564">
        <v>41</v>
      </c>
      <c r="D39" s="559"/>
      <c r="F39" s="565">
        <f>C39*E4/C41</f>
        <v>68.581818181818178</v>
      </c>
      <c r="G39" s="554"/>
      <c r="H39" s="554"/>
      <c r="I39" s="554"/>
      <c r="J39" s="554"/>
      <c r="K39" s="554"/>
      <c r="L39" s="554"/>
      <c r="M39" s="570"/>
      <c r="N39" s="571"/>
      <c r="O39" s="572"/>
    </row>
    <row r="40" spans="1:15">
      <c r="A40" s="573">
        <v>7</v>
      </c>
      <c r="B40" s="574" t="s">
        <v>89</v>
      </c>
      <c r="C40" s="564">
        <v>9</v>
      </c>
      <c r="D40" s="559"/>
      <c r="F40" s="565">
        <f>C40*E4/C41</f>
        <v>15.054545454545455</v>
      </c>
      <c r="G40" s="554"/>
      <c r="H40" s="554"/>
      <c r="I40" s="554"/>
      <c r="J40" s="554"/>
      <c r="K40" s="554"/>
      <c r="L40" s="554"/>
      <c r="M40" s="570"/>
      <c r="N40" s="571"/>
      <c r="O40" s="572"/>
    </row>
    <row r="41" spans="1:15" ht="22.5">
      <c r="A41" s="575">
        <v>4</v>
      </c>
      <c r="B41" s="576" t="s">
        <v>60</v>
      </c>
      <c r="C41" s="577">
        <f>SUM(C34,C35,C36,C37,C38,C39,C40)</f>
        <v>110</v>
      </c>
      <c r="D41" s="1338">
        <f>SUM(F34,F35,F36,F37,F38,F39,F40)</f>
        <v>184</v>
      </c>
      <c r="E41" s="1339"/>
      <c r="F41" s="1340"/>
      <c r="G41" s="578"/>
      <c r="H41" s="578"/>
      <c r="I41" s="578"/>
      <c r="J41" s="578"/>
      <c r="K41" s="578"/>
      <c r="L41" s="578"/>
      <c r="M41" s="578"/>
      <c r="N41" s="578"/>
      <c r="O41" s="579"/>
    </row>
  </sheetData>
  <mergeCells count="14">
    <mergeCell ref="D41:F41"/>
    <mergeCell ref="A1:O2"/>
    <mergeCell ref="G33:L37"/>
    <mergeCell ref="D34:E36"/>
    <mergeCell ref="D6:E6"/>
    <mergeCell ref="F6:G6"/>
    <mergeCell ref="L6:M6"/>
    <mergeCell ref="N6:O6"/>
    <mergeCell ref="D33:F33"/>
    <mergeCell ref="A3:O3"/>
    <mergeCell ref="A4:D4"/>
    <mergeCell ref="H4:O4"/>
    <mergeCell ref="A5:B5"/>
    <mergeCell ref="C5:D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O39"/>
  <sheetViews>
    <sheetView workbookViewId="0">
      <selection activeCell="E11" sqref="E11"/>
    </sheetView>
  </sheetViews>
  <sheetFormatPr defaultColWidth="11.28515625" defaultRowHeight="11.25"/>
  <cols>
    <col min="1" max="1" width="4.5703125" style="321" customWidth="1"/>
    <col min="2" max="2" width="23" style="321" customWidth="1"/>
    <col min="3" max="3" width="8.140625" style="321" customWidth="1"/>
    <col min="4" max="4" width="7.85546875" style="321" customWidth="1"/>
    <col min="5" max="5" width="7.28515625" style="321" customWidth="1"/>
    <col min="6" max="6" width="6.5703125" style="321" customWidth="1"/>
    <col min="7" max="7" width="10.42578125" style="322" customWidth="1"/>
    <col min="8" max="8" width="11" style="321" customWidth="1"/>
    <col min="9" max="9" width="8" style="321" customWidth="1"/>
    <col min="10" max="10" width="11" style="321" customWidth="1"/>
    <col min="11" max="11" width="6.140625" style="321" customWidth="1"/>
    <col min="12" max="12" width="8.85546875" style="321" customWidth="1"/>
    <col min="13" max="13" width="10.140625" style="321" customWidth="1"/>
    <col min="14" max="15" width="7" style="321" customWidth="1"/>
    <col min="16" max="16384" width="11.28515625" style="321"/>
  </cols>
  <sheetData>
    <row r="3" spans="1:15">
      <c r="A3" s="1356" t="s">
        <v>0</v>
      </c>
      <c r="B3" s="1357"/>
      <c r="C3" s="1357"/>
      <c r="D3" s="1357"/>
      <c r="E3" s="1357"/>
      <c r="F3" s="1357"/>
      <c r="G3" s="1357"/>
      <c r="H3" s="1357"/>
      <c r="I3" s="1357"/>
      <c r="J3" s="1357"/>
      <c r="K3" s="1357"/>
      <c r="L3" s="1357"/>
      <c r="M3" s="1357"/>
      <c r="N3" s="1357"/>
      <c r="O3" s="1358"/>
    </row>
    <row r="4" spans="1:15">
      <c r="A4" s="1359"/>
      <c r="B4" s="1360"/>
      <c r="C4" s="1360"/>
      <c r="D4" s="1360"/>
      <c r="E4" s="1360"/>
      <c r="F4" s="1360"/>
      <c r="G4" s="1360"/>
      <c r="H4" s="1360"/>
      <c r="I4" s="1360"/>
      <c r="J4" s="1360"/>
      <c r="K4" s="1360"/>
      <c r="L4" s="1360"/>
      <c r="M4" s="1360"/>
      <c r="N4" s="1360"/>
      <c r="O4" s="1361"/>
    </row>
    <row r="5" spans="1:15" ht="12.75">
      <c r="A5" s="1369" t="s">
        <v>1</v>
      </c>
      <c r="B5" s="1370"/>
      <c r="C5" s="1370"/>
      <c r="D5" s="1370"/>
      <c r="E5" s="1370"/>
      <c r="F5" s="1370"/>
      <c r="G5" s="1370"/>
      <c r="H5" s="1370"/>
      <c r="I5" s="1370"/>
      <c r="J5" s="1370"/>
      <c r="K5" s="1370"/>
      <c r="L5" s="1370"/>
      <c r="M5" s="1370"/>
      <c r="N5" s="1370"/>
      <c r="O5" s="1371"/>
    </row>
    <row r="6" spans="1:15" ht="12.75">
      <c r="A6" s="1372" t="s">
        <v>2</v>
      </c>
      <c r="B6" s="1373"/>
      <c r="C6" s="1373"/>
      <c r="D6" s="1317"/>
      <c r="E6" s="325">
        <v>165</v>
      </c>
      <c r="F6" s="323">
        <v>1649</v>
      </c>
      <c r="G6" s="326">
        <v>137.416</v>
      </c>
      <c r="H6" s="1374" t="s">
        <v>90</v>
      </c>
      <c r="I6" s="1374"/>
      <c r="J6" s="1374"/>
      <c r="K6" s="1374"/>
      <c r="L6" s="1374"/>
      <c r="M6" s="1374"/>
      <c r="N6" s="1374"/>
      <c r="O6" s="1375"/>
    </row>
    <row r="7" spans="1:15">
      <c r="A7" s="1376" t="s">
        <v>5</v>
      </c>
      <c r="B7" s="1377"/>
      <c r="C7" s="1378" t="s">
        <v>6</v>
      </c>
      <c r="D7" s="1379"/>
      <c r="E7" s="327">
        <v>0</v>
      </c>
      <c r="F7" s="328">
        <v>0</v>
      </c>
      <c r="G7" s="328" t="s">
        <v>7</v>
      </c>
      <c r="H7" s="329"/>
      <c r="I7" s="329"/>
      <c r="J7" s="329"/>
      <c r="K7" s="330"/>
      <c r="L7" s="330"/>
      <c r="M7" s="330"/>
      <c r="N7" s="331"/>
      <c r="O7" s="332"/>
    </row>
    <row r="8" spans="1:15">
      <c r="A8" s="333" t="s">
        <v>8</v>
      </c>
      <c r="B8" s="334" t="s">
        <v>9</v>
      </c>
      <c r="C8" s="334" t="s">
        <v>10</v>
      </c>
      <c r="D8" s="1362" t="s">
        <v>11</v>
      </c>
      <c r="E8" s="1362"/>
      <c r="F8" s="1363" t="s">
        <v>12</v>
      </c>
      <c r="G8" s="1363"/>
      <c r="H8" s="335" t="s">
        <v>13</v>
      </c>
      <c r="I8" s="336" t="s">
        <v>9</v>
      </c>
      <c r="J8" s="337" t="s">
        <v>14</v>
      </c>
      <c r="K8" s="338" t="s">
        <v>15</v>
      </c>
      <c r="L8" s="1364" t="s">
        <v>16</v>
      </c>
      <c r="M8" s="1364"/>
      <c r="N8" s="1365" t="s">
        <v>17</v>
      </c>
      <c r="O8" s="1366"/>
    </row>
    <row r="9" spans="1:15">
      <c r="A9" s="333" t="s">
        <v>18</v>
      </c>
      <c r="B9" s="334" t="s">
        <v>19</v>
      </c>
      <c r="C9" s="334" t="s">
        <v>20</v>
      </c>
      <c r="D9" s="334" t="s">
        <v>21</v>
      </c>
      <c r="E9" s="339" t="s">
        <v>14</v>
      </c>
      <c r="F9" s="340" t="s">
        <v>21</v>
      </c>
      <c r="G9" s="340" t="s">
        <v>14</v>
      </c>
      <c r="H9" s="341" t="s">
        <v>22</v>
      </c>
      <c r="I9" s="342" t="s">
        <v>23</v>
      </c>
      <c r="J9" s="343" t="s">
        <v>22</v>
      </c>
      <c r="K9" s="344" t="s">
        <v>24</v>
      </c>
      <c r="L9" s="344" t="s">
        <v>25</v>
      </c>
      <c r="M9" s="342" t="s">
        <v>26</v>
      </c>
      <c r="N9" s="338" t="s">
        <v>25</v>
      </c>
      <c r="O9" s="345" t="s">
        <v>26</v>
      </c>
    </row>
    <row r="10" spans="1:15">
      <c r="A10" s="346"/>
      <c r="B10" s="334"/>
      <c r="C10" s="334" t="s">
        <v>27</v>
      </c>
      <c r="D10" s="334" t="s">
        <v>27</v>
      </c>
      <c r="E10" s="334" t="s">
        <v>27</v>
      </c>
      <c r="F10" s="347" t="s">
        <v>27</v>
      </c>
      <c r="G10" s="347" t="s">
        <v>27</v>
      </c>
      <c r="H10" s="341" t="s">
        <v>28</v>
      </c>
      <c r="I10" s="342" t="s">
        <v>27</v>
      </c>
      <c r="J10" s="343" t="s">
        <v>28</v>
      </c>
      <c r="K10" s="344" t="s">
        <v>29</v>
      </c>
      <c r="L10" s="344" t="s">
        <v>30</v>
      </c>
      <c r="M10" s="342" t="s">
        <v>30</v>
      </c>
      <c r="N10" s="344" t="s">
        <v>31</v>
      </c>
      <c r="O10" s="348" t="s">
        <v>31</v>
      </c>
    </row>
    <row r="11" spans="1:15">
      <c r="A11" s="349">
        <v>1</v>
      </c>
      <c r="B11" s="350" t="s">
        <v>32</v>
      </c>
      <c r="C11" s="351">
        <v>14900</v>
      </c>
      <c r="D11" s="352"/>
      <c r="E11" s="351">
        <v>41000</v>
      </c>
      <c r="F11" s="351">
        <v>4000</v>
      </c>
      <c r="G11" s="353">
        <f>'11-07-26'!G9+'12-7-26'!F11</f>
        <v>43500</v>
      </c>
      <c r="H11" s="354">
        <f>F11/E6</f>
        <v>24.242424242424242</v>
      </c>
      <c r="I11" s="351">
        <f t="shared" ref="I11:I34" si="0">(C11-F11)+D11</f>
        <v>10900</v>
      </c>
      <c r="J11" s="355">
        <f>G11/F6</f>
        <v>26.379624014554274</v>
      </c>
      <c r="K11" s="353">
        <v>28500</v>
      </c>
      <c r="L11" s="356">
        <f t="shared" ref="L11:L34" si="1">(F11/1000)*K11</f>
        <v>114000</v>
      </c>
      <c r="M11" s="357">
        <f t="shared" ref="M11:M34" si="2">(G11/1000)*K11</f>
        <v>1239750</v>
      </c>
      <c r="N11" s="358">
        <f>L11/E6</f>
        <v>690.90909090909088</v>
      </c>
      <c r="O11" s="359">
        <f>M11/F6</f>
        <v>751.81928441479681</v>
      </c>
    </row>
    <row r="12" spans="1:15">
      <c r="A12" s="360">
        <v>2</v>
      </c>
      <c r="B12" s="361" t="s">
        <v>33</v>
      </c>
      <c r="C12" s="362">
        <v>6800</v>
      </c>
      <c r="D12" s="363"/>
      <c r="E12" s="362"/>
      <c r="F12" s="362">
        <v>230</v>
      </c>
      <c r="G12" s="353">
        <f>'11-07-26'!G10+'12-7-26'!F12</f>
        <v>2430</v>
      </c>
      <c r="H12" s="364">
        <f>F12/E6</f>
        <v>1.393939393939394</v>
      </c>
      <c r="I12" s="362">
        <f t="shared" si="0"/>
        <v>6570</v>
      </c>
      <c r="J12" s="365">
        <f>G12/F6</f>
        <v>1.4736203759854458</v>
      </c>
      <c r="K12" s="366">
        <v>33500</v>
      </c>
      <c r="L12" s="367">
        <f t="shared" si="1"/>
        <v>7705</v>
      </c>
      <c r="M12" s="367">
        <f t="shared" si="2"/>
        <v>81405</v>
      </c>
      <c r="N12" s="368">
        <f>L12/E6</f>
        <v>46.696969696969695</v>
      </c>
      <c r="O12" s="369">
        <f>M12/F6</f>
        <v>49.36628259551243</v>
      </c>
    </row>
    <row r="13" spans="1:15">
      <c r="A13" s="360">
        <v>3</v>
      </c>
      <c r="B13" s="361" t="s">
        <v>34</v>
      </c>
      <c r="C13" s="362">
        <v>6178</v>
      </c>
      <c r="D13" s="363"/>
      <c r="E13" s="362"/>
      <c r="F13" s="362">
        <v>66</v>
      </c>
      <c r="G13" s="353">
        <f>'11-07-26'!G11+'12-7-26'!F13</f>
        <v>708</v>
      </c>
      <c r="H13" s="364">
        <f>F13/E6</f>
        <v>0.4</v>
      </c>
      <c r="I13" s="362">
        <f t="shared" si="0"/>
        <v>6112</v>
      </c>
      <c r="J13" s="365">
        <f>G13/F6</f>
        <v>0.42935112189205576</v>
      </c>
      <c r="K13" s="366">
        <v>98000</v>
      </c>
      <c r="L13" s="367">
        <f t="shared" si="1"/>
        <v>6468</v>
      </c>
      <c r="M13" s="367">
        <f t="shared" si="2"/>
        <v>69384</v>
      </c>
      <c r="N13" s="368">
        <f>L13/E6</f>
        <v>39.200000000000003</v>
      </c>
      <c r="O13" s="369">
        <f>M13/F6</f>
        <v>42.076409945421467</v>
      </c>
    </row>
    <row r="14" spans="1:15">
      <c r="A14" s="360">
        <v>4</v>
      </c>
      <c r="B14" s="361" t="s">
        <v>35</v>
      </c>
      <c r="C14" s="362">
        <v>20.92</v>
      </c>
      <c r="D14" s="363"/>
      <c r="E14" s="362"/>
      <c r="F14" s="362">
        <v>0.08</v>
      </c>
      <c r="G14" s="353">
        <f>'11-07-26'!G12+'12-7-26'!F14</f>
        <v>0.95999999999999985</v>
      </c>
      <c r="H14" s="370">
        <f>F14/E6</f>
        <v>4.8484848484848484E-4</v>
      </c>
      <c r="I14" s="362">
        <f t="shared" si="0"/>
        <v>20.840000000000003</v>
      </c>
      <c r="J14" s="371">
        <f>G14/F6</f>
        <v>5.8217101273499083E-4</v>
      </c>
      <c r="K14" s="366">
        <v>750000</v>
      </c>
      <c r="L14" s="367">
        <f t="shared" si="1"/>
        <v>60.000000000000007</v>
      </c>
      <c r="M14" s="367">
        <f t="shared" si="2"/>
        <v>719.99999999999989</v>
      </c>
      <c r="N14" s="368">
        <f>L14/E6</f>
        <v>0.3636363636363637</v>
      </c>
      <c r="O14" s="369">
        <f>M14/F6</f>
        <v>0.43662825955124313</v>
      </c>
    </row>
    <row r="15" spans="1:15">
      <c r="A15" s="360">
        <v>5</v>
      </c>
      <c r="B15" s="361" t="s">
        <v>36</v>
      </c>
      <c r="C15" s="362">
        <v>276</v>
      </c>
      <c r="D15" s="363"/>
      <c r="E15" s="362"/>
      <c r="F15" s="362">
        <v>27</v>
      </c>
      <c r="G15" s="353">
        <f>'11-07-26'!G13+'12-7-26'!F15</f>
        <v>251</v>
      </c>
      <c r="H15" s="364">
        <f>F15/E6</f>
        <v>0.16363636363636364</v>
      </c>
      <c r="I15" s="362">
        <f t="shared" si="0"/>
        <v>249</v>
      </c>
      <c r="J15" s="365">
        <f>G15/F6</f>
        <v>0.15221346270466948</v>
      </c>
      <c r="K15" s="366">
        <v>350000</v>
      </c>
      <c r="L15" s="367">
        <f t="shared" si="1"/>
        <v>9450</v>
      </c>
      <c r="M15" s="367">
        <f t="shared" si="2"/>
        <v>87850</v>
      </c>
      <c r="N15" s="368">
        <f>L15/E6</f>
        <v>57.272727272727273</v>
      </c>
      <c r="O15" s="369">
        <f>M15/F6</f>
        <v>53.274711946634326</v>
      </c>
    </row>
    <row r="16" spans="1:15">
      <c r="A16" s="360">
        <v>6</v>
      </c>
      <c r="B16" s="361" t="s">
        <v>37</v>
      </c>
      <c r="C16" s="362">
        <v>1891</v>
      </c>
      <c r="D16" s="363"/>
      <c r="E16" s="362"/>
      <c r="F16" s="362">
        <v>45</v>
      </c>
      <c r="G16" s="353">
        <f>'11-07-26'!G14+'12-7-26'!F16</f>
        <v>560</v>
      </c>
      <c r="H16" s="364">
        <f>F16/E6</f>
        <v>0.27272727272727271</v>
      </c>
      <c r="I16" s="362">
        <f t="shared" si="0"/>
        <v>1846</v>
      </c>
      <c r="J16" s="365">
        <f>G16/F6</f>
        <v>0.33959975742874471</v>
      </c>
      <c r="K16" s="366">
        <v>204500</v>
      </c>
      <c r="L16" s="367">
        <f t="shared" si="1"/>
        <v>9202.5</v>
      </c>
      <c r="M16" s="367">
        <f t="shared" si="2"/>
        <v>114520.00000000001</v>
      </c>
      <c r="N16" s="368">
        <f>L16/E6</f>
        <v>55.772727272727273</v>
      </c>
      <c r="O16" s="369">
        <f>M16/F6</f>
        <v>69.448150394178299</v>
      </c>
    </row>
    <row r="17" spans="1:15">
      <c r="A17" s="360">
        <v>7</v>
      </c>
      <c r="B17" s="361" t="s">
        <v>38</v>
      </c>
      <c r="C17" s="362">
        <v>1239</v>
      </c>
      <c r="D17" s="363"/>
      <c r="E17" s="362"/>
      <c r="F17" s="362">
        <v>54</v>
      </c>
      <c r="G17" s="353">
        <f>'11-07-26'!G15+'12-7-26'!F17</f>
        <v>565</v>
      </c>
      <c r="H17" s="364">
        <f>F17/E6</f>
        <v>0.32727272727272727</v>
      </c>
      <c r="I17" s="362">
        <f t="shared" si="0"/>
        <v>1185</v>
      </c>
      <c r="J17" s="365">
        <f>G17/F6</f>
        <v>0.34263189812007278</v>
      </c>
      <c r="K17" s="366">
        <v>129500</v>
      </c>
      <c r="L17" s="367">
        <f t="shared" si="1"/>
        <v>6993</v>
      </c>
      <c r="M17" s="367">
        <f t="shared" si="2"/>
        <v>73167.5</v>
      </c>
      <c r="N17" s="368">
        <f>L17/E6</f>
        <v>42.381818181818183</v>
      </c>
      <c r="O17" s="369">
        <f>M17/F6</f>
        <v>44.370830806549421</v>
      </c>
    </row>
    <row r="18" spans="1:15">
      <c r="A18" s="360">
        <v>8</v>
      </c>
      <c r="B18" s="361" t="s">
        <v>39</v>
      </c>
      <c r="C18" s="362">
        <v>790</v>
      </c>
      <c r="D18" s="362"/>
      <c r="E18" s="362"/>
      <c r="F18" s="362">
        <v>20</v>
      </c>
      <c r="G18" s="353">
        <f>'11-07-26'!G16+'12-7-26'!F18</f>
        <v>215</v>
      </c>
      <c r="H18" s="364">
        <f>F18/E6</f>
        <v>0.12121212121212122</v>
      </c>
      <c r="I18" s="362">
        <f t="shared" si="0"/>
        <v>770</v>
      </c>
      <c r="J18" s="365">
        <f>G18/F6</f>
        <v>0.13038204972710735</v>
      </c>
      <c r="K18" s="366">
        <v>219500</v>
      </c>
      <c r="L18" s="367">
        <f t="shared" si="1"/>
        <v>4390</v>
      </c>
      <c r="M18" s="367">
        <f t="shared" si="2"/>
        <v>47192.5</v>
      </c>
      <c r="N18" s="368">
        <f>L18/E6</f>
        <v>26.606060606060606</v>
      </c>
      <c r="O18" s="369">
        <f>M18/F6</f>
        <v>28.61885991510006</v>
      </c>
    </row>
    <row r="19" spans="1:15">
      <c r="A19" s="360">
        <v>9</v>
      </c>
      <c r="B19" s="361" t="s">
        <v>40</v>
      </c>
      <c r="C19" s="362">
        <v>20</v>
      </c>
      <c r="D19" s="363"/>
      <c r="E19" s="362"/>
      <c r="F19" s="362">
        <v>0</v>
      </c>
      <c r="G19" s="353">
        <f>'11-07-26'!G17+'12-7-26'!F19</f>
        <v>0</v>
      </c>
      <c r="H19" s="364">
        <f>F19/E6</f>
        <v>0</v>
      </c>
      <c r="I19" s="362">
        <f t="shared" si="0"/>
        <v>20</v>
      </c>
      <c r="J19" s="365">
        <f>G19/F6</f>
        <v>0</v>
      </c>
      <c r="K19" s="366">
        <v>348200</v>
      </c>
      <c r="L19" s="367">
        <f t="shared" si="1"/>
        <v>0</v>
      </c>
      <c r="M19" s="372">
        <f t="shared" si="2"/>
        <v>0</v>
      </c>
      <c r="N19" s="368">
        <f>L19/E6</f>
        <v>0</v>
      </c>
      <c r="O19" s="369">
        <f>M19/F6</f>
        <v>0</v>
      </c>
    </row>
    <row r="20" spans="1:15">
      <c r="A20" s="373">
        <v>10</v>
      </c>
      <c r="B20" s="374" t="s">
        <v>41</v>
      </c>
      <c r="C20" s="375">
        <v>3950</v>
      </c>
      <c r="D20" s="375"/>
      <c r="E20" s="375"/>
      <c r="F20" s="375">
        <v>0</v>
      </c>
      <c r="G20" s="353">
        <f>'11-07-26'!G18+'12-7-26'!F20</f>
        <v>0</v>
      </c>
      <c r="H20" s="376">
        <f>F20/E6</f>
        <v>0</v>
      </c>
      <c r="I20" s="375">
        <f t="shared" si="0"/>
        <v>3950</v>
      </c>
      <c r="J20" s="376">
        <f>G20/F6</f>
        <v>0</v>
      </c>
      <c r="K20" s="377">
        <v>172000</v>
      </c>
      <c r="L20" s="378">
        <f t="shared" si="1"/>
        <v>0</v>
      </c>
      <c r="M20" s="378">
        <f t="shared" si="2"/>
        <v>0</v>
      </c>
      <c r="N20" s="378">
        <f>L20/E6</f>
        <v>0</v>
      </c>
      <c r="O20" s="379">
        <f>M20/F6</f>
        <v>0</v>
      </c>
    </row>
    <row r="21" spans="1:15">
      <c r="A21" s="380">
        <v>11</v>
      </c>
      <c r="B21" s="381" t="s">
        <v>42</v>
      </c>
      <c r="C21" s="382">
        <v>48</v>
      </c>
      <c r="D21" s="382"/>
      <c r="E21" s="382"/>
      <c r="F21" s="382">
        <v>0</v>
      </c>
      <c r="G21" s="353">
        <f>'11-07-26'!G19+'12-7-26'!F21</f>
        <v>0</v>
      </c>
      <c r="H21" s="376">
        <f>F21/E6</f>
        <v>0</v>
      </c>
      <c r="I21" s="382">
        <f t="shared" si="0"/>
        <v>48</v>
      </c>
      <c r="J21" s="383">
        <f>G21/F6</f>
        <v>0</v>
      </c>
      <c r="K21" s="382">
        <v>200000</v>
      </c>
      <c r="L21" s="384">
        <f t="shared" si="1"/>
        <v>0</v>
      </c>
      <c r="M21" s="384">
        <f t="shared" si="2"/>
        <v>0</v>
      </c>
      <c r="N21" s="384">
        <f>L21/E6</f>
        <v>0</v>
      </c>
      <c r="O21" s="385">
        <f>M21/F6</f>
        <v>0</v>
      </c>
    </row>
    <row r="22" spans="1:15">
      <c r="A22" s="386">
        <v>12</v>
      </c>
      <c r="B22" s="387" t="s">
        <v>43</v>
      </c>
      <c r="C22" s="388">
        <v>97.7</v>
      </c>
      <c r="D22" s="389"/>
      <c r="E22" s="389"/>
      <c r="F22" s="390">
        <v>7.2</v>
      </c>
      <c r="G22" s="353">
        <f>'11-07-26'!G20+'12-7-26'!F22</f>
        <v>72.700000000000017</v>
      </c>
      <c r="H22" s="391">
        <f>F22/E6</f>
        <v>4.363636363636364E-2</v>
      </c>
      <c r="I22" s="392">
        <f t="shared" si="0"/>
        <v>90.5</v>
      </c>
      <c r="J22" s="393">
        <f>G22/F6</f>
        <v>4.4087325651910259E-2</v>
      </c>
      <c r="K22" s="388">
        <v>377600</v>
      </c>
      <c r="L22" s="394">
        <f t="shared" si="1"/>
        <v>2718.72</v>
      </c>
      <c r="M22" s="394">
        <f t="shared" si="2"/>
        <v>27451.520000000004</v>
      </c>
      <c r="N22" s="394">
        <f>L22/E6</f>
        <v>16.477090909090908</v>
      </c>
      <c r="O22" s="395">
        <f>M22/F6</f>
        <v>16.647374166161313</v>
      </c>
    </row>
    <row r="23" spans="1:15">
      <c r="A23" s="386">
        <v>13</v>
      </c>
      <c r="B23" s="387" t="s">
        <v>44</v>
      </c>
      <c r="C23" s="388">
        <v>95.5</v>
      </c>
      <c r="D23" s="389"/>
      <c r="E23" s="389"/>
      <c r="F23" s="390">
        <v>3.9</v>
      </c>
      <c r="G23" s="353">
        <f>'11-07-26'!G21+'12-7-26'!F23</f>
        <v>42.899999999999991</v>
      </c>
      <c r="H23" s="393">
        <f>F23/E6</f>
        <v>2.3636363636363636E-2</v>
      </c>
      <c r="I23" s="388">
        <f t="shared" si="0"/>
        <v>91.6</v>
      </c>
      <c r="J23" s="393">
        <f>G23/F6</f>
        <v>2.60157671315949E-2</v>
      </c>
      <c r="K23" s="388">
        <v>271400</v>
      </c>
      <c r="L23" s="394">
        <f t="shared" si="1"/>
        <v>1058.46</v>
      </c>
      <c r="M23" s="394">
        <f t="shared" si="2"/>
        <v>11643.059999999998</v>
      </c>
      <c r="N23" s="394">
        <f>L23/E6</f>
        <v>6.4149090909090916</v>
      </c>
      <c r="O23" s="395">
        <f>M23/F6</f>
        <v>7.0606791995148557</v>
      </c>
    </row>
    <row r="24" spans="1:15">
      <c r="A24" s="386">
        <v>14</v>
      </c>
      <c r="B24" s="387" t="s">
        <v>45</v>
      </c>
      <c r="C24" s="388">
        <v>1376.1</v>
      </c>
      <c r="D24" s="389"/>
      <c r="E24" s="389"/>
      <c r="F24" s="390">
        <v>56.7</v>
      </c>
      <c r="G24" s="353">
        <f>'11-07-26'!G22+'12-7-26'!F24</f>
        <v>619.79999999999995</v>
      </c>
      <c r="H24" s="393">
        <f>F24/E6</f>
        <v>0.34363636363636363</v>
      </c>
      <c r="I24" s="389">
        <f t="shared" si="0"/>
        <v>1319.3999999999999</v>
      </c>
      <c r="J24" s="393">
        <f>G24/F6</f>
        <v>0.3758641600970285</v>
      </c>
      <c r="K24" s="388">
        <v>271400</v>
      </c>
      <c r="L24" s="394">
        <f t="shared" si="1"/>
        <v>15388.38</v>
      </c>
      <c r="M24" s="394">
        <f t="shared" si="2"/>
        <v>168213.71999999997</v>
      </c>
      <c r="N24" s="394">
        <f>L24/E6</f>
        <v>93.262909090909091</v>
      </c>
      <c r="O24" s="395">
        <f>M24/F6</f>
        <v>102.00953305033352</v>
      </c>
    </row>
    <row r="25" spans="1:15">
      <c r="A25" s="396">
        <v>15</v>
      </c>
      <c r="B25" s="397" t="s">
        <v>46</v>
      </c>
      <c r="C25" s="398">
        <v>97</v>
      </c>
      <c r="D25" s="399"/>
      <c r="E25" s="399"/>
      <c r="F25" s="363">
        <v>3</v>
      </c>
      <c r="G25" s="353">
        <f>'11-07-26'!G23+'12-7-26'!F25</f>
        <v>3</v>
      </c>
      <c r="H25" s="400">
        <f>F25/E6</f>
        <v>1.8181818181818181E-2</v>
      </c>
      <c r="I25" s="363">
        <f t="shared" si="0"/>
        <v>94</v>
      </c>
      <c r="J25" s="400">
        <f>G25/F6</f>
        <v>1.8192844147968466E-3</v>
      </c>
      <c r="K25" s="363">
        <v>41000</v>
      </c>
      <c r="L25" s="372">
        <f t="shared" si="1"/>
        <v>123</v>
      </c>
      <c r="M25" s="372">
        <f t="shared" si="2"/>
        <v>123</v>
      </c>
      <c r="N25" s="401">
        <f>L25/E6</f>
        <v>0.74545454545454548</v>
      </c>
      <c r="O25" s="402">
        <f>M25/F6</f>
        <v>7.4590661006670708E-2</v>
      </c>
    </row>
    <row r="26" spans="1:15">
      <c r="A26" s="396">
        <v>16</v>
      </c>
      <c r="B26" s="397" t="s">
        <v>47</v>
      </c>
      <c r="C26" s="398">
        <v>379.6</v>
      </c>
      <c r="D26" s="399"/>
      <c r="E26" s="399"/>
      <c r="F26" s="363">
        <v>6</v>
      </c>
      <c r="G26" s="353">
        <f>'11-07-26'!G24+'12-7-26'!F26</f>
        <v>72</v>
      </c>
      <c r="H26" s="400">
        <f>F26/E6</f>
        <v>3.6363636363636362E-2</v>
      </c>
      <c r="I26" s="363">
        <f t="shared" si="0"/>
        <v>373.6</v>
      </c>
      <c r="J26" s="400">
        <f>G26/F6</f>
        <v>4.3662825955124315E-2</v>
      </c>
      <c r="K26" s="363">
        <v>24000</v>
      </c>
      <c r="L26" s="372">
        <f t="shared" si="1"/>
        <v>144</v>
      </c>
      <c r="M26" s="372">
        <f t="shared" si="2"/>
        <v>1727.9999999999998</v>
      </c>
      <c r="N26" s="401">
        <f>L26/E6</f>
        <v>0.87272727272727268</v>
      </c>
      <c r="O26" s="402">
        <f>M26/F6</f>
        <v>1.0479078229229835</v>
      </c>
    </row>
    <row r="27" spans="1:15">
      <c r="A27" s="396">
        <v>17</v>
      </c>
      <c r="B27" s="397" t="s">
        <v>48</v>
      </c>
      <c r="C27" s="398">
        <v>380</v>
      </c>
      <c r="D27" s="399"/>
      <c r="E27" s="399"/>
      <c r="F27" s="363">
        <v>0</v>
      </c>
      <c r="G27" s="353">
        <f>'11-07-26'!G25+'12-7-26'!F27</f>
        <v>0</v>
      </c>
      <c r="H27" s="400">
        <f>F27/E6</f>
        <v>0</v>
      </c>
      <c r="I27" s="363">
        <f t="shared" si="0"/>
        <v>380</v>
      </c>
      <c r="J27" s="400">
        <f>G27/F6</f>
        <v>0</v>
      </c>
      <c r="K27" s="363">
        <v>13210</v>
      </c>
      <c r="L27" s="372">
        <f t="shared" si="1"/>
        <v>0</v>
      </c>
      <c r="M27" s="372">
        <f t="shared" si="2"/>
        <v>0</v>
      </c>
      <c r="N27" s="401">
        <f>L27/E6</f>
        <v>0</v>
      </c>
      <c r="O27" s="402">
        <f>M27/F6</f>
        <v>0</v>
      </c>
    </row>
    <row r="28" spans="1:15">
      <c r="A28" s="396">
        <v>18</v>
      </c>
      <c r="B28" s="397" t="s">
        <v>49</v>
      </c>
      <c r="C28" s="398">
        <v>180</v>
      </c>
      <c r="D28" s="399"/>
      <c r="E28" s="363"/>
      <c r="F28" s="363">
        <v>5</v>
      </c>
      <c r="G28" s="353">
        <f>'11-07-26'!G26+'12-7-26'!F28</f>
        <v>75</v>
      </c>
      <c r="H28" s="400">
        <f>F28/E6</f>
        <v>3.0303030303030304E-2</v>
      </c>
      <c r="I28" s="363">
        <f t="shared" si="0"/>
        <v>175</v>
      </c>
      <c r="J28" s="400">
        <f>G28/F6</f>
        <v>4.5482110369921162E-2</v>
      </c>
      <c r="K28" s="363">
        <v>14400</v>
      </c>
      <c r="L28" s="372">
        <f t="shared" si="1"/>
        <v>72</v>
      </c>
      <c r="M28" s="372">
        <f t="shared" si="2"/>
        <v>1080</v>
      </c>
      <c r="N28" s="401">
        <f>L28/E6</f>
        <v>0.43636363636363634</v>
      </c>
      <c r="O28" s="402">
        <f>M28/F6</f>
        <v>0.65494238932686477</v>
      </c>
    </row>
    <row r="29" spans="1:15">
      <c r="A29" s="396">
        <v>19</v>
      </c>
      <c r="B29" s="397" t="s">
        <v>50</v>
      </c>
      <c r="C29" s="398">
        <v>165.9</v>
      </c>
      <c r="D29" s="363"/>
      <c r="E29" s="399"/>
      <c r="F29" s="363">
        <v>3.5</v>
      </c>
      <c r="G29" s="353">
        <f>'11-07-26'!G27+'12-7-26'!F29</f>
        <v>43</v>
      </c>
      <c r="H29" s="400">
        <f>F29/E6</f>
        <v>2.1212121212121213E-2</v>
      </c>
      <c r="I29" s="363">
        <f t="shared" si="0"/>
        <v>162.4</v>
      </c>
      <c r="J29" s="400">
        <f>G29/F6</f>
        <v>2.6076409945421469E-2</v>
      </c>
      <c r="K29" s="363">
        <v>102000</v>
      </c>
      <c r="L29" s="372">
        <f t="shared" si="1"/>
        <v>357</v>
      </c>
      <c r="M29" s="372">
        <f t="shared" si="2"/>
        <v>4386</v>
      </c>
      <c r="N29" s="401">
        <f>L29/E6</f>
        <v>2.1636363636363636</v>
      </c>
      <c r="O29" s="402">
        <f>M29/F6</f>
        <v>2.6597938144329896</v>
      </c>
    </row>
    <row r="30" spans="1:15">
      <c r="A30" s="396">
        <v>20</v>
      </c>
      <c r="B30" s="397" t="s">
        <v>51</v>
      </c>
      <c r="C30" s="398">
        <v>125</v>
      </c>
      <c r="D30" s="399"/>
      <c r="E30" s="399"/>
      <c r="F30" s="363">
        <v>5</v>
      </c>
      <c r="G30" s="353">
        <f>'11-07-26'!G28+'12-7-26'!F30</f>
        <v>60</v>
      </c>
      <c r="H30" s="400">
        <f>F30/E6</f>
        <v>3.0303030303030304E-2</v>
      </c>
      <c r="I30" s="363">
        <f t="shared" si="0"/>
        <v>120</v>
      </c>
      <c r="J30" s="400">
        <f>G30/F6</f>
        <v>3.6385688295936934E-2</v>
      </c>
      <c r="K30" s="363">
        <v>107000</v>
      </c>
      <c r="L30" s="372">
        <f t="shared" si="1"/>
        <v>535</v>
      </c>
      <c r="M30" s="372">
        <f t="shared" si="2"/>
        <v>6420</v>
      </c>
      <c r="N30" s="401">
        <f>L30/E6</f>
        <v>3.2424242424242422</v>
      </c>
      <c r="O30" s="402">
        <f>M30/F6</f>
        <v>3.8932686476652516</v>
      </c>
    </row>
    <row r="31" spans="1:15">
      <c r="A31" s="396">
        <v>21</v>
      </c>
      <c r="B31" s="397" t="s">
        <v>52</v>
      </c>
      <c r="C31" s="398">
        <v>136</v>
      </c>
      <c r="D31" s="399"/>
      <c r="E31" s="399"/>
      <c r="F31" s="363">
        <v>3</v>
      </c>
      <c r="G31" s="353">
        <f>'11-07-26'!G29+'12-7-26'!F31</f>
        <v>36</v>
      </c>
      <c r="H31" s="400">
        <f>F31/E6</f>
        <v>1.8181818181818181E-2</v>
      </c>
      <c r="I31" s="363">
        <f t="shared" si="0"/>
        <v>133</v>
      </c>
      <c r="J31" s="400">
        <f>G31/F6</f>
        <v>2.1831412977562158E-2</v>
      </c>
      <c r="K31" s="363">
        <v>100000</v>
      </c>
      <c r="L31" s="372">
        <f t="shared" si="1"/>
        <v>300</v>
      </c>
      <c r="M31" s="372">
        <f t="shared" si="2"/>
        <v>3599.9999999999995</v>
      </c>
      <c r="N31" s="401">
        <f>L31/E6</f>
        <v>1.8181818181818181</v>
      </c>
      <c r="O31" s="402">
        <f>M31/F6</f>
        <v>2.1831412977562157</v>
      </c>
    </row>
    <row r="32" spans="1:15">
      <c r="A32" s="396">
        <v>22</v>
      </c>
      <c r="B32" s="397" t="s">
        <v>53</v>
      </c>
      <c r="C32" s="398">
        <v>53</v>
      </c>
      <c r="D32" s="399"/>
      <c r="E32" s="399"/>
      <c r="F32" s="363">
        <v>1</v>
      </c>
      <c r="G32" s="353">
        <f>'11-07-26'!G30+'12-7-26'!F32</f>
        <v>12</v>
      </c>
      <c r="H32" s="400">
        <f>F32/E6</f>
        <v>6.0606060606060606E-3</v>
      </c>
      <c r="I32" s="363">
        <f t="shared" si="0"/>
        <v>52</v>
      </c>
      <c r="J32" s="400">
        <f>G32/F6</f>
        <v>7.2771376591873865E-3</v>
      </c>
      <c r="K32" s="363">
        <v>255000</v>
      </c>
      <c r="L32" s="372">
        <f t="shared" si="1"/>
        <v>255</v>
      </c>
      <c r="M32" s="372">
        <f t="shared" si="2"/>
        <v>3060</v>
      </c>
      <c r="N32" s="401">
        <f>L32/E6</f>
        <v>1.5454545454545454</v>
      </c>
      <c r="O32" s="403">
        <f>M32/F6</f>
        <v>1.8556701030927836</v>
      </c>
    </row>
    <row r="33" spans="1:15">
      <c r="A33" s="396">
        <v>23</v>
      </c>
      <c r="B33" s="397" t="s">
        <v>54</v>
      </c>
      <c r="C33" s="398">
        <v>480</v>
      </c>
      <c r="D33" s="399"/>
      <c r="E33" s="399"/>
      <c r="F33" s="363">
        <v>0</v>
      </c>
      <c r="G33" s="353">
        <f>'11-07-26'!G31+'12-7-26'!F33</f>
        <v>0</v>
      </c>
      <c r="H33" s="400">
        <f>F33/E6</f>
        <v>0</v>
      </c>
      <c r="I33" s="363">
        <f t="shared" si="0"/>
        <v>480</v>
      </c>
      <c r="J33" s="400">
        <f>G33/F6</f>
        <v>0</v>
      </c>
      <c r="K33" s="363">
        <v>56000</v>
      </c>
      <c r="L33" s="372">
        <f t="shared" si="1"/>
        <v>0</v>
      </c>
      <c r="M33" s="372">
        <f t="shared" si="2"/>
        <v>0</v>
      </c>
      <c r="N33" s="404">
        <f>L32/F6</f>
        <v>0.15463917525773196</v>
      </c>
      <c r="O33" s="403">
        <f>M33/F6</f>
        <v>0</v>
      </c>
    </row>
    <row r="34" spans="1:15">
      <c r="A34" s="405">
        <v>24</v>
      </c>
      <c r="B34" s="406" t="s">
        <v>55</v>
      </c>
      <c r="C34" s="407">
        <v>0</v>
      </c>
      <c r="D34" s="408"/>
      <c r="E34" s="408"/>
      <c r="F34" s="409">
        <v>0</v>
      </c>
      <c r="G34" s="353">
        <f>'11-07-26'!G32+'12-7-26'!F34</f>
        <v>0</v>
      </c>
      <c r="H34" s="410">
        <f>F34/E6</f>
        <v>0</v>
      </c>
      <c r="I34" s="411">
        <f t="shared" si="0"/>
        <v>0</v>
      </c>
      <c r="J34" s="410">
        <f>G34/F6</f>
        <v>0</v>
      </c>
      <c r="K34" s="411">
        <v>90000</v>
      </c>
      <c r="L34" s="412">
        <f t="shared" si="1"/>
        <v>0</v>
      </c>
      <c r="M34" s="412">
        <f t="shared" si="2"/>
        <v>0</v>
      </c>
      <c r="N34" s="404">
        <f>L33/F6</f>
        <v>0</v>
      </c>
      <c r="O34" s="413">
        <f>M34/F6</f>
        <v>0</v>
      </c>
    </row>
    <row r="35" spans="1:15">
      <c r="A35" s="414" t="s">
        <v>56</v>
      </c>
      <c r="B35" s="415" t="s">
        <v>57</v>
      </c>
      <c r="C35" s="416" t="s">
        <v>58</v>
      </c>
      <c r="D35" s="1367" t="s">
        <v>59</v>
      </c>
      <c r="E35" s="1367"/>
      <c r="F35" s="1368"/>
      <c r="G35" s="1351"/>
      <c r="H35" s="1351"/>
      <c r="I35" s="1351"/>
      <c r="J35" s="1351"/>
      <c r="K35" s="1351"/>
      <c r="L35" s="1352"/>
      <c r="M35" s="417" t="s">
        <v>60</v>
      </c>
      <c r="N35" s="418">
        <f>SUM(N11,N12,N13,N14,N15,N16,N17,N18,N19,N20,N21,N22,N23,N24,N25,N26,N27,N28,N29,N30,N31,N32,N33,N34)</f>
        <v>1086.3368209934395</v>
      </c>
      <c r="O35" s="419">
        <f>SUM(O11,O12,O13,O14,O15,O16,O17,O18,O19,O20,O21,O22,O23,O24,O25,O26,O27,O28,O29,O30,O31,O32,O33,O34,)</f>
        <v>1177.4980594299573</v>
      </c>
    </row>
    <row r="36" spans="1:15">
      <c r="A36" s="420">
        <v>1</v>
      </c>
      <c r="B36" s="421" t="s">
        <v>61</v>
      </c>
      <c r="C36" s="422">
        <v>67</v>
      </c>
      <c r="D36" s="1354"/>
      <c r="E36" s="1355"/>
      <c r="F36" s="423">
        <v>111.5</v>
      </c>
      <c r="G36" s="1353"/>
      <c r="H36" s="1351"/>
      <c r="I36" s="1351"/>
      <c r="J36" s="1351"/>
      <c r="K36" s="1351"/>
      <c r="L36" s="1351"/>
      <c r="M36" s="424"/>
      <c r="N36" s="425" t="s">
        <v>17</v>
      </c>
      <c r="O36" s="426" t="s">
        <v>17</v>
      </c>
    </row>
    <row r="37" spans="1:15">
      <c r="A37" s="420">
        <v>2</v>
      </c>
      <c r="B37" s="421" t="s">
        <v>62</v>
      </c>
      <c r="C37" s="427">
        <v>29</v>
      </c>
      <c r="D37" s="1354"/>
      <c r="E37" s="1355"/>
      <c r="F37" s="428">
        <v>48.5</v>
      </c>
      <c r="G37" s="1353"/>
      <c r="H37" s="1351"/>
      <c r="I37" s="1351"/>
      <c r="J37" s="1351"/>
      <c r="K37" s="1351"/>
      <c r="L37" s="1351"/>
      <c r="M37" s="429"/>
      <c r="N37" s="430" t="s">
        <v>25</v>
      </c>
      <c r="O37" s="431" t="s">
        <v>26</v>
      </c>
    </row>
    <row r="38" spans="1:15" ht="12.75">
      <c r="A38" s="420">
        <v>4</v>
      </c>
      <c r="B38" s="421" t="s">
        <v>91</v>
      </c>
      <c r="C38" s="432">
        <v>3</v>
      </c>
      <c r="D38" s="433"/>
      <c r="F38" s="434">
        <v>5</v>
      </c>
      <c r="G38" s="1353"/>
      <c r="H38" s="1351"/>
      <c r="I38" s="1351"/>
      <c r="J38" s="1351"/>
      <c r="K38" s="1351"/>
      <c r="L38" s="1352"/>
      <c r="M38" s="435" t="s">
        <v>60</v>
      </c>
      <c r="N38" s="436">
        <f>N35/1000</f>
        <v>1.0863368209934394</v>
      </c>
      <c r="O38" s="437">
        <f>O35/1000</f>
        <v>1.1774980594299573</v>
      </c>
    </row>
    <row r="39" spans="1:15">
      <c r="A39" s="438">
        <v>4</v>
      </c>
      <c r="B39" s="439" t="s">
        <v>60</v>
      </c>
      <c r="C39" s="440">
        <f>SUM(C36,C37,C38)</f>
        <v>99</v>
      </c>
      <c r="D39" s="1349">
        <f>SUM(F36,F37,F38)</f>
        <v>165</v>
      </c>
      <c r="E39" s="1349"/>
      <c r="F39" s="1350"/>
      <c r="G39" s="441"/>
      <c r="H39" s="441"/>
      <c r="I39" s="441"/>
      <c r="J39" s="441"/>
      <c r="K39" s="441"/>
      <c r="L39" s="441"/>
      <c r="M39" s="441"/>
      <c r="N39" s="441"/>
      <c r="O39" s="442"/>
    </row>
  </sheetData>
  <mergeCells count="14">
    <mergeCell ref="D39:F39"/>
    <mergeCell ref="G35:L38"/>
    <mergeCell ref="D36:E37"/>
    <mergeCell ref="A3:O4"/>
    <mergeCell ref="D8:E8"/>
    <mergeCell ref="F8:G8"/>
    <mergeCell ref="L8:M8"/>
    <mergeCell ref="N8:O8"/>
    <mergeCell ref="D35:F35"/>
    <mergeCell ref="A5:O5"/>
    <mergeCell ref="A6:D6"/>
    <mergeCell ref="H6:O6"/>
    <mergeCell ref="A7:B7"/>
    <mergeCell ref="C7:D7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9"/>
  <sheetViews>
    <sheetView workbookViewId="0">
      <selection activeCell="E11" sqref="E11"/>
    </sheetView>
  </sheetViews>
  <sheetFormatPr defaultColWidth="9" defaultRowHeight="15"/>
  <cols>
    <col min="2" max="2" width="50.42578125" customWidth="1"/>
    <col min="3" max="3" width="16.140625" customWidth="1"/>
    <col min="5" max="5" width="11.140625" customWidth="1"/>
    <col min="6" max="6" width="12.28515625" customWidth="1"/>
    <col min="7" max="7" width="14.28515625" customWidth="1"/>
    <col min="8" max="8" width="16.5703125" customWidth="1"/>
    <col min="9" max="9" width="13.7109375" customWidth="1"/>
    <col min="10" max="10" width="16" customWidth="1"/>
    <col min="11" max="11" width="11.5703125" customWidth="1"/>
    <col min="12" max="12" width="15" customWidth="1"/>
    <col min="13" max="13" width="16.28515625" customWidth="1"/>
    <col min="14" max="15" width="12.140625" customWidth="1"/>
  </cols>
  <sheetData>
    <row r="1" spans="1:15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389" t="s">
        <v>0</v>
      </c>
      <c r="B3" s="1390"/>
      <c r="C3" s="1390"/>
      <c r="D3" s="1390"/>
      <c r="E3" s="1390"/>
      <c r="F3" s="1390"/>
      <c r="G3" s="1390"/>
      <c r="H3" s="1390"/>
      <c r="I3" s="1390"/>
      <c r="J3" s="1390"/>
      <c r="K3" s="1390"/>
      <c r="L3" s="1390"/>
      <c r="M3" s="1390"/>
      <c r="N3" s="1390"/>
      <c r="O3" s="1391"/>
    </row>
    <row r="4" spans="1:15">
      <c r="A4" s="1392"/>
      <c r="B4" s="1393"/>
      <c r="C4" s="1393"/>
      <c r="D4" s="1393"/>
      <c r="E4" s="1393"/>
      <c r="F4" s="1393"/>
      <c r="G4" s="1393"/>
      <c r="H4" s="1393"/>
      <c r="I4" s="1393"/>
      <c r="J4" s="1393"/>
      <c r="K4" s="1393"/>
      <c r="L4" s="1393"/>
      <c r="M4" s="1393"/>
      <c r="N4" s="1393"/>
      <c r="O4" s="1394"/>
    </row>
    <row r="5" spans="1:15" ht="19.5">
      <c r="A5" s="1402" t="s">
        <v>1</v>
      </c>
      <c r="B5" s="1403"/>
      <c r="C5" s="1403"/>
      <c r="D5" s="1403"/>
      <c r="E5" s="1403"/>
      <c r="F5" s="1403"/>
      <c r="G5" s="1403"/>
      <c r="H5" s="1403"/>
      <c r="I5" s="1403"/>
      <c r="J5" s="1403"/>
      <c r="K5" s="1403"/>
      <c r="L5" s="1403"/>
      <c r="M5" s="1403"/>
      <c r="N5" s="1403"/>
      <c r="O5" s="1404"/>
    </row>
    <row r="6" spans="1:15" ht="19.5">
      <c r="A6" s="1405" t="s">
        <v>2</v>
      </c>
      <c r="B6" s="1406"/>
      <c r="C6" s="1406"/>
      <c r="D6" s="1407"/>
      <c r="E6" s="290">
        <v>154</v>
      </c>
      <c r="F6" s="120">
        <v>1803</v>
      </c>
      <c r="G6" s="122">
        <v>138.69200000000001</v>
      </c>
      <c r="H6" s="1408" t="s">
        <v>92</v>
      </c>
      <c r="I6" s="1408"/>
      <c r="J6" s="1408"/>
      <c r="K6" s="1408"/>
      <c r="L6" s="1408"/>
      <c r="M6" s="1408"/>
      <c r="N6" s="1408"/>
      <c r="O6" s="1409"/>
    </row>
    <row r="7" spans="1:15" ht="15.75">
      <c r="A7" s="1410" t="s">
        <v>5</v>
      </c>
      <c r="B7" s="1411"/>
      <c r="C7" s="1412" t="s">
        <v>6</v>
      </c>
      <c r="D7" s="1413"/>
      <c r="E7" s="291">
        <v>112.5</v>
      </c>
      <c r="F7" s="292">
        <v>112.5</v>
      </c>
      <c r="G7" s="292" t="s">
        <v>93</v>
      </c>
      <c r="H7" s="124"/>
      <c r="I7" s="124"/>
      <c r="J7" s="124"/>
      <c r="K7" s="125"/>
      <c r="L7" s="125"/>
      <c r="M7" s="125"/>
      <c r="N7" s="126"/>
      <c r="O7" s="127"/>
    </row>
    <row r="8" spans="1:15" ht="15.75">
      <c r="A8" s="7" t="s">
        <v>8</v>
      </c>
      <c r="B8" s="8" t="s">
        <v>9</v>
      </c>
      <c r="C8" s="8" t="s">
        <v>10</v>
      </c>
      <c r="D8" s="1395" t="s">
        <v>11</v>
      </c>
      <c r="E8" s="1395"/>
      <c r="F8" s="1396" t="s">
        <v>12</v>
      </c>
      <c r="G8" s="1396"/>
      <c r="H8" s="128" t="s">
        <v>13</v>
      </c>
      <c r="I8" s="129" t="s">
        <v>9</v>
      </c>
      <c r="J8" s="130" t="s">
        <v>14</v>
      </c>
      <c r="K8" s="15" t="s">
        <v>15</v>
      </c>
      <c r="L8" s="1397" t="s">
        <v>16</v>
      </c>
      <c r="M8" s="1397"/>
      <c r="N8" s="1398" t="s">
        <v>17</v>
      </c>
      <c r="O8" s="1399"/>
    </row>
    <row r="9" spans="1:15" ht="15.75">
      <c r="A9" s="7" t="s">
        <v>18</v>
      </c>
      <c r="B9" s="8" t="s">
        <v>19</v>
      </c>
      <c r="C9" s="8" t="s">
        <v>20</v>
      </c>
      <c r="D9" s="8" t="s">
        <v>21</v>
      </c>
      <c r="E9" s="13" t="s">
        <v>14</v>
      </c>
      <c r="F9" s="14" t="s">
        <v>21</v>
      </c>
      <c r="G9" s="14" t="s">
        <v>14</v>
      </c>
      <c r="H9" s="9" t="s">
        <v>22</v>
      </c>
      <c r="I9" s="10" t="s">
        <v>23</v>
      </c>
      <c r="J9" s="11" t="s">
        <v>22</v>
      </c>
      <c r="K9" s="12" t="s">
        <v>24</v>
      </c>
      <c r="L9" s="12" t="s">
        <v>25</v>
      </c>
      <c r="M9" s="10" t="s">
        <v>26</v>
      </c>
      <c r="N9" s="15" t="s">
        <v>25</v>
      </c>
      <c r="O9" s="16" t="s">
        <v>26</v>
      </c>
    </row>
    <row r="10" spans="1:15" ht="15.75">
      <c r="A10" s="17"/>
      <c r="B10" s="8"/>
      <c r="C10" s="8" t="s">
        <v>27</v>
      </c>
      <c r="D10" s="8" t="s">
        <v>27</v>
      </c>
      <c r="E10" s="8" t="s">
        <v>27</v>
      </c>
      <c r="F10" s="18" t="s">
        <v>27</v>
      </c>
      <c r="G10" s="18" t="s">
        <v>27</v>
      </c>
      <c r="H10" s="9" t="s">
        <v>28</v>
      </c>
      <c r="I10" s="10" t="s">
        <v>27</v>
      </c>
      <c r="J10" s="11" t="s">
        <v>28</v>
      </c>
      <c r="K10" s="12" t="s">
        <v>29</v>
      </c>
      <c r="L10" s="12" t="s">
        <v>30</v>
      </c>
      <c r="M10" s="10" t="s">
        <v>30</v>
      </c>
      <c r="N10" s="12" t="s">
        <v>31</v>
      </c>
      <c r="O10" s="19" t="s">
        <v>31</v>
      </c>
    </row>
    <row r="11" spans="1:15" ht="15.75">
      <c r="A11" s="131">
        <v>1</v>
      </c>
      <c r="B11" s="132" t="s">
        <v>32</v>
      </c>
      <c r="C11" s="133">
        <v>10900</v>
      </c>
      <c r="D11" s="134"/>
      <c r="E11" s="133">
        <v>41000</v>
      </c>
      <c r="F11" s="133">
        <v>4350</v>
      </c>
      <c r="G11" s="137">
        <f>'12-7-26'!G11+'13-7-26'!F11</f>
        <v>47850</v>
      </c>
      <c r="H11" s="135">
        <f>F11/E6</f>
        <v>28.246753246753247</v>
      </c>
      <c r="I11" s="133">
        <f t="shared" ref="I11:I34" si="0">(C11-F11)+D11</f>
        <v>6550</v>
      </c>
      <c r="J11" s="136">
        <f>G11/F6</f>
        <v>26.539101497504159</v>
      </c>
      <c r="K11" s="137">
        <v>28500</v>
      </c>
      <c r="L11" s="293">
        <f t="shared" ref="L11:L34" si="1">(F11/1000)*K11</f>
        <v>123974.99999999999</v>
      </c>
      <c r="M11" s="294">
        <f t="shared" ref="M11:M34" si="2">(G11/1000)*K11</f>
        <v>1363725</v>
      </c>
      <c r="N11" s="140">
        <f>L11/E6</f>
        <v>805.03246753246742</v>
      </c>
      <c r="O11" s="141">
        <f>M11/F6</f>
        <v>756.36439267886851</v>
      </c>
    </row>
    <row r="12" spans="1:15" ht="15.75">
      <c r="A12" s="31">
        <v>2</v>
      </c>
      <c r="B12" s="32" t="s">
        <v>33</v>
      </c>
      <c r="C12" s="33">
        <v>6570</v>
      </c>
      <c r="D12" s="34"/>
      <c r="E12" s="33"/>
      <c r="F12" s="33">
        <v>218</v>
      </c>
      <c r="G12" s="35">
        <f>'12-7-26'!G12+'13-7-26'!F12</f>
        <v>2648</v>
      </c>
      <c r="H12" s="36">
        <f>F12/E6</f>
        <v>1.4155844155844155</v>
      </c>
      <c r="I12" s="33">
        <f t="shared" si="0"/>
        <v>6352</v>
      </c>
      <c r="J12" s="37">
        <f>G12/F6</f>
        <v>1.4686633388796451</v>
      </c>
      <c r="K12" s="35">
        <v>33500</v>
      </c>
      <c r="L12" s="295">
        <f t="shared" si="1"/>
        <v>7303</v>
      </c>
      <c r="M12" s="295">
        <f t="shared" si="2"/>
        <v>88708</v>
      </c>
      <c r="N12" s="39">
        <f>L12/E6</f>
        <v>47.422077922077925</v>
      </c>
      <c r="O12" s="40">
        <f>M12/F6</f>
        <v>49.200221852468111</v>
      </c>
    </row>
    <row r="13" spans="1:15" ht="15.75">
      <c r="A13" s="31">
        <v>3</v>
      </c>
      <c r="B13" s="32" t="s">
        <v>34</v>
      </c>
      <c r="C13" s="33">
        <v>6112</v>
      </c>
      <c r="D13" s="34"/>
      <c r="E13" s="33"/>
      <c r="F13" s="33">
        <v>63</v>
      </c>
      <c r="G13" s="35">
        <f>'12-7-26'!G13+'13-7-26'!F13</f>
        <v>771</v>
      </c>
      <c r="H13" s="36">
        <f>F13/E6</f>
        <v>0.40909090909090912</v>
      </c>
      <c r="I13" s="33">
        <f t="shared" si="0"/>
        <v>6049</v>
      </c>
      <c r="J13" s="37">
        <f>G13/F6</f>
        <v>0.42762063227953412</v>
      </c>
      <c r="K13" s="35">
        <v>98000</v>
      </c>
      <c r="L13" s="295">
        <f t="shared" si="1"/>
        <v>6174</v>
      </c>
      <c r="M13" s="295">
        <f t="shared" si="2"/>
        <v>75558</v>
      </c>
      <c r="N13" s="39">
        <f>L13/E6</f>
        <v>40.090909090909093</v>
      </c>
      <c r="O13" s="40">
        <f>M13/F6</f>
        <v>41.906821963394343</v>
      </c>
    </row>
    <row r="14" spans="1:15" ht="15.75">
      <c r="A14" s="31">
        <v>4</v>
      </c>
      <c r="B14" s="32" t="s">
        <v>35</v>
      </c>
      <c r="C14" s="33">
        <v>20.84</v>
      </c>
      <c r="D14" s="34"/>
      <c r="E14" s="33"/>
      <c r="F14" s="33">
        <v>0.08</v>
      </c>
      <c r="G14" s="35">
        <f>'12-7-26'!G14+'13-7-26'!F14</f>
        <v>1.0399999999999998</v>
      </c>
      <c r="H14" s="42">
        <f>F14/E6</f>
        <v>5.1948051948051948E-4</v>
      </c>
      <c r="I14" s="33">
        <f t="shared" si="0"/>
        <v>20.76</v>
      </c>
      <c r="J14" s="43">
        <f>G14/F6</f>
        <v>5.7681641708263998E-4</v>
      </c>
      <c r="K14" s="35">
        <v>750000</v>
      </c>
      <c r="L14" s="295">
        <f t="shared" si="1"/>
        <v>60.000000000000007</v>
      </c>
      <c r="M14" s="295">
        <f t="shared" si="2"/>
        <v>779.99999999999989</v>
      </c>
      <c r="N14" s="39">
        <f>L14/E6</f>
        <v>0.38961038961038963</v>
      </c>
      <c r="O14" s="40">
        <f>M14/F6</f>
        <v>0.43261231281197998</v>
      </c>
    </row>
    <row r="15" spans="1:15" ht="15.75">
      <c r="A15" s="31">
        <v>5</v>
      </c>
      <c r="B15" s="32" t="s">
        <v>36</v>
      </c>
      <c r="C15" s="33">
        <v>249</v>
      </c>
      <c r="D15" s="34"/>
      <c r="E15" s="33"/>
      <c r="F15" s="33">
        <v>21</v>
      </c>
      <c r="G15" s="35">
        <f>'12-7-26'!G15+'13-7-26'!F15</f>
        <v>272</v>
      </c>
      <c r="H15" s="36">
        <f>F15/E6</f>
        <v>0.13636363636363635</v>
      </c>
      <c r="I15" s="33">
        <f t="shared" si="0"/>
        <v>228</v>
      </c>
      <c r="J15" s="37">
        <f>G15/F6</f>
        <v>0.15085967831392125</v>
      </c>
      <c r="K15" s="35">
        <v>350000</v>
      </c>
      <c r="L15" s="295">
        <f t="shared" si="1"/>
        <v>7350.0000000000009</v>
      </c>
      <c r="M15" s="295">
        <f t="shared" si="2"/>
        <v>95200</v>
      </c>
      <c r="N15" s="39">
        <f>L15/E6</f>
        <v>47.727272727272734</v>
      </c>
      <c r="O15" s="40">
        <f>M15/F6</f>
        <v>52.800887409872438</v>
      </c>
    </row>
    <row r="16" spans="1:15" ht="15.75">
      <c r="A16" s="31">
        <v>6</v>
      </c>
      <c r="B16" s="32" t="s">
        <v>37</v>
      </c>
      <c r="C16" s="33">
        <v>1846</v>
      </c>
      <c r="D16" s="34"/>
      <c r="E16" s="33"/>
      <c r="F16" s="33">
        <v>50</v>
      </c>
      <c r="G16" s="35">
        <f>'12-7-26'!G16+'13-7-26'!F16</f>
        <v>610</v>
      </c>
      <c r="H16" s="36">
        <f>F16/E6</f>
        <v>0.32467532467532467</v>
      </c>
      <c r="I16" s="33">
        <f t="shared" si="0"/>
        <v>1796</v>
      </c>
      <c r="J16" s="37">
        <f>G16/F6</f>
        <v>0.33832501386577923</v>
      </c>
      <c r="K16" s="35">
        <v>204500</v>
      </c>
      <c r="L16" s="295">
        <f t="shared" si="1"/>
        <v>10225</v>
      </c>
      <c r="M16" s="295">
        <f t="shared" si="2"/>
        <v>124745</v>
      </c>
      <c r="N16" s="39">
        <f>L16/E6</f>
        <v>66.396103896103895</v>
      </c>
      <c r="O16" s="40">
        <f>M16/F6</f>
        <v>69.187465335551863</v>
      </c>
    </row>
    <row r="17" spans="1:15" ht="15.75">
      <c r="A17" s="31">
        <v>7</v>
      </c>
      <c r="B17" s="32" t="s">
        <v>38</v>
      </c>
      <c r="C17" s="33">
        <v>1185</v>
      </c>
      <c r="D17" s="34"/>
      <c r="E17" s="33"/>
      <c r="F17" s="33">
        <v>54</v>
      </c>
      <c r="G17" s="35">
        <f>'12-7-26'!G17+'13-7-26'!F17</f>
        <v>619</v>
      </c>
      <c r="H17" s="36">
        <f>F17/E6</f>
        <v>0.35064935064935066</v>
      </c>
      <c r="I17" s="33">
        <f t="shared" si="0"/>
        <v>1131</v>
      </c>
      <c r="J17" s="37">
        <f>G17/F6</f>
        <v>0.34331669439822515</v>
      </c>
      <c r="K17" s="35">
        <v>129500</v>
      </c>
      <c r="L17" s="295">
        <f t="shared" si="1"/>
        <v>6993</v>
      </c>
      <c r="M17" s="295">
        <f t="shared" si="2"/>
        <v>80160.5</v>
      </c>
      <c r="N17" s="39">
        <f>L17/E6</f>
        <v>45.409090909090907</v>
      </c>
      <c r="O17" s="40">
        <f>M17/F6</f>
        <v>44.459511924570158</v>
      </c>
    </row>
    <row r="18" spans="1:15" ht="15.75">
      <c r="A18" s="31">
        <v>8</v>
      </c>
      <c r="B18" s="32" t="s">
        <v>39</v>
      </c>
      <c r="C18" s="33">
        <v>770</v>
      </c>
      <c r="D18" s="33"/>
      <c r="E18" s="33"/>
      <c r="F18" s="33">
        <v>20</v>
      </c>
      <c r="G18" s="35">
        <f>'12-7-26'!G18+'13-7-26'!F18</f>
        <v>235</v>
      </c>
      <c r="H18" s="36">
        <f>F18/E6</f>
        <v>0.12987012987012986</v>
      </c>
      <c r="I18" s="33">
        <f t="shared" si="0"/>
        <v>750</v>
      </c>
      <c r="J18" s="37">
        <f>G18/F6</f>
        <v>0.13033832501386577</v>
      </c>
      <c r="K18" s="35">
        <v>219500</v>
      </c>
      <c r="L18" s="295">
        <f t="shared" si="1"/>
        <v>4390</v>
      </c>
      <c r="M18" s="295">
        <f t="shared" si="2"/>
        <v>51582.5</v>
      </c>
      <c r="N18" s="39">
        <f>L18/E6</f>
        <v>28.506493506493506</v>
      </c>
      <c r="O18" s="40">
        <f>M18/F6</f>
        <v>28.609262340543538</v>
      </c>
    </row>
    <row r="19" spans="1:15" ht="15.75">
      <c r="A19" s="31">
        <v>9</v>
      </c>
      <c r="B19" s="32" t="s">
        <v>40</v>
      </c>
      <c r="C19" s="33">
        <v>20</v>
      </c>
      <c r="D19" s="34"/>
      <c r="E19" s="33"/>
      <c r="F19" s="33">
        <v>0</v>
      </c>
      <c r="G19" s="35">
        <f>'12-7-26'!G19+'13-7-26'!F19</f>
        <v>0</v>
      </c>
      <c r="H19" s="36">
        <f>F19/E6</f>
        <v>0</v>
      </c>
      <c r="I19" s="33">
        <f t="shared" si="0"/>
        <v>20</v>
      </c>
      <c r="J19" s="37">
        <f>G19/F6</f>
        <v>0</v>
      </c>
      <c r="K19" s="35">
        <v>348200</v>
      </c>
      <c r="L19" s="295">
        <f t="shared" si="1"/>
        <v>0</v>
      </c>
      <c r="M19" s="296">
        <f t="shared" si="2"/>
        <v>0</v>
      </c>
      <c r="N19" s="39">
        <f>L19/E6</f>
        <v>0</v>
      </c>
      <c r="O19" s="40">
        <f>M19/F6</f>
        <v>0</v>
      </c>
    </row>
    <row r="20" spans="1:15" ht="15.75">
      <c r="A20" s="45">
        <v>10</v>
      </c>
      <c r="B20" s="46" t="s">
        <v>41</v>
      </c>
      <c r="C20" s="47">
        <v>3950</v>
      </c>
      <c r="D20" s="47"/>
      <c r="E20" s="47"/>
      <c r="F20" s="47">
        <v>400</v>
      </c>
      <c r="G20" s="35">
        <f>'12-7-26'!G20+'13-7-26'!F20</f>
        <v>400</v>
      </c>
      <c r="H20" s="48">
        <f>F20/E6</f>
        <v>2.5974025974025974</v>
      </c>
      <c r="I20" s="47">
        <f t="shared" si="0"/>
        <v>3550</v>
      </c>
      <c r="J20" s="48">
        <f>G20/F6</f>
        <v>0.22185246810870771</v>
      </c>
      <c r="K20" s="49">
        <v>172000</v>
      </c>
      <c r="L20" s="297">
        <f t="shared" si="1"/>
        <v>68800</v>
      </c>
      <c r="M20" s="297">
        <f t="shared" si="2"/>
        <v>68800</v>
      </c>
      <c r="N20" s="50">
        <f>L20/E6</f>
        <v>446.75324675324674</v>
      </c>
      <c r="O20" s="51">
        <f>M20/F6</f>
        <v>38.158624514697728</v>
      </c>
    </row>
    <row r="21" spans="1:15" ht="15.75">
      <c r="A21" s="52">
        <v>11</v>
      </c>
      <c r="B21" s="53" t="s">
        <v>42</v>
      </c>
      <c r="C21" s="54">
        <v>48</v>
      </c>
      <c r="D21" s="54"/>
      <c r="E21" s="54"/>
      <c r="F21" s="54">
        <v>0</v>
      </c>
      <c r="G21" s="35">
        <f>'12-7-26'!G21+'13-7-26'!F21</f>
        <v>0</v>
      </c>
      <c r="H21" s="48">
        <f>F21/E6</f>
        <v>0</v>
      </c>
      <c r="I21" s="54">
        <f t="shared" si="0"/>
        <v>48</v>
      </c>
      <c r="J21" s="55">
        <f>G21/F6</f>
        <v>0</v>
      </c>
      <c r="K21" s="54">
        <v>200000</v>
      </c>
      <c r="L21" s="298">
        <f t="shared" si="1"/>
        <v>0</v>
      </c>
      <c r="M21" s="298">
        <f t="shared" si="2"/>
        <v>0</v>
      </c>
      <c r="N21" s="56">
        <f>L21/E6</f>
        <v>0</v>
      </c>
      <c r="O21" s="57">
        <f>M21/F6</f>
        <v>0</v>
      </c>
    </row>
    <row r="22" spans="1:15" ht="15.75">
      <c r="A22" s="58">
        <v>12</v>
      </c>
      <c r="B22" s="59" t="s">
        <v>43</v>
      </c>
      <c r="C22" s="60">
        <v>90.5</v>
      </c>
      <c r="D22" s="61"/>
      <c r="E22" s="61"/>
      <c r="F22" s="62">
        <v>6.3</v>
      </c>
      <c r="G22" s="35">
        <f>'12-7-26'!G22+'13-7-26'!F22</f>
        <v>79.000000000000014</v>
      </c>
      <c r="H22" s="64">
        <f>F22/E6</f>
        <v>4.0909090909090909E-2</v>
      </c>
      <c r="I22" s="65">
        <f t="shared" si="0"/>
        <v>84.2</v>
      </c>
      <c r="J22" s="66">
        <f>G22/F6</f>
        <v>4.3815862451469782E-2</v>
      </c>
      <c r="K22" s="60">
        <v>377600</v>
      </c>
      <c r="L22" s="299">
        <f t="shared" si="1"/>
        <v>2378.88</v>
      </c>
      <c r="M22" s="299">
        <f t="shared" si="2"/>
        <v>29830.400000000005</v>
      </c>
      <c r="N22" s="67">
        <f>L22/E6</f>
        <v>15.447272727272727</v>
      </c>
      <c r="O22" s="68">
        <f>M22/F6</f>
        <v>16.544869661674991</v>
      </c>
    </row>
    <row r="23" spans="1:15" ht="15.75">
      <c r="A23" s="58">
        <v>13</v>
      </c>
      <c r="B23" s="59" t="s">
        <v>44</v>
      </c>
      <c r="C23" s="60">
        <v>91.6</v>
      </c>
      <c r="D23" s="61"/>
      <c r="E23" s="61"/>
      <c r="F23" s="62">
        <v>3.7</v>
      </c>
      <c r="G23" s="35">
        <f>'12-7-26'!G23+'13-7-26'!F23</f>
        <v>46.599999999999994</v>
      </c>
      <c r="H23" s="66">
        <f>F23/E6</f>
        <v>2.4025974025974027E-2</v>
      </c>
      <c r="I23" s="60">
        <f t="shared" si="0"/>
        <v>87.899999999999991</v>
      </c>
      <c r="J23" s="66">
        <f>G23/F6</f>
        <v>2.5845812534664444E-2</v>
      </c>
      <c r="K23" s="60">
        <v>271400</v>
      </c>
      <c r="L23" s="299">
        <f t="shared" si="1"/>
        <v>1004.1800000000001</v>
      </c>
      <c r="M23" s="299">
        <f t="shared" si="2"/>
        <v>12647.239999999998</v>
      </c>
      <c r="N23" s="67">
        <f>L23/E6</f>
        <v>6.520649350649351</v>
      </c>
      <c r="O23" s="68">
        <f>M23/F6</f>
        <v>7.0145535219079305</v>
      </c>
    </row>
    <row r="24" spans="1:15" ht="15.75">
      <c r="A24" s="58">
        <v>14</v>
      </c>
      <c r="B24" s="59" t="s">
        <v>45</v>
      </c>
      <c r="C24" s="60">
        <v>1319.4</v>
      </c>
      <c r="D24" s="61"/>
      <c r="E24" s="61"/>
      <c r="F24" s="62">
        <v>54.1</v>
      </c>
      <c r="G24" s="35">
        <f>'12-7-26'!G24+'13-7-26'!F24</f>
        <v>673.9</v>
      </c>
      <c r="H24" s="66">
        <f>F24/E6</f>
        <v>0.35129870129870133</v>
      </c>
      <c r="I24" s="61">
        <f t="shared" si="0"/>
        <v>1265.3000000000002</v>
      </c>
      <c r="J24" s="66">
        <f>G24/F6</f>
        <v>0.37376594564614529</v>
      </c>
      <c r="K24" s="60">
        <v>271400</v>
      </c>
      <c r="L24" s="299">
        <f t="shared" si="1"/>
        <v>14682.74</v>
      </c>
      <c r="M24" s="299">
        <f t="shared" si="2"/>
        <v>182896.46</v>
      </c>
      <c r="N24" s="67">
        <f>L24/E6</f>
        <v>95.342467532467538</v>
      </c>
      <c r="O24" s="68">
        <f>M24/F6</f>
        <v>101.44007764836384</v>
      </c>
    </row>
    <row r="25" spans="1:15" ht="15.75">
      <c r="A25" s="69">
        <v>15</v>
      </c>
      <c r="B25" s="70" t="s">
        <v>46</v>
      </c>
      <c r="C25" s="71">
        <v>94</v>
      </c>
      <c r="D25" s="72"/>
      <c r="E25" s="72"/>
      <c r="F25" s="34">
        <v>3</v>
      </c>
      <c r="G25" s="35">
        <f>'12-7-26'!G25+'13-7-26'!F25</f>
        <v>6</v>
      </c>
      <c r="H25" s="73">
        <f>F25/E6</f>
        <v>1.948051948051948E-2</v>
      </c>
      <c r="I25" s="34">
        <f t="shared" si="0"/>
        <v>91</v>
      </c>
      <c r="J25" s="73">
        <f>G25/F6</f>
        <v>3.3277870216306157E-3</v>
      </c>
      <c r="K25" s="34">
        <v>41000</v>
      </c>
      <c r="L25" s="296">
        <f t="shared" si="1"/>
        <v>123</v>
      </c>
      <c r="M25" s="296">
        <f t="shared" si="2"/>
        <v>246</v>
      </c>
      <c r="N25" s="74">
        <f>L25/E6</f>
        <v>0.79870129870129869</v>
      </c>
      <c r="O25" s="75">
        <f>M25/F6</f>
        <v>0.13643926788685523</v>
      </c>
    </row>
    <row r="26" spans="1:15" ht="15.75">
      <c r="A26" s="69">
        <v>16</v>
      </c>
      <c r="B26" s="70" t="s">
        <v>47</v>
      </c>
      <c r="C26" s="71">
        <v>373.6</v>
      </c>
      <c r="D26" s="72"/>
      <c r="E26" s="72"/>
      <c r="F26" s="34">
        <v>6</v>
      </c>
      <c r="G26" s="35">
        <f>'12-7-26'!G26+'13-7-26'!F26</f>
        <v>78</v>
      </c>
      <c r="H26" s="73">
        <f>F26/E6</f>
        <v>3.896103896103896E-2</v>
      </c>
      <c r="I26" s="34">
        <f t="shared" si="0"/>
        <v>367.6</v>
      </c>
      <c r="J26" s="73">
        <f>G26/F6</f>
        <v>4.3261231281198007E-2</v>
      </c>
      <c r="K26" s="34">
        <v>24000</v>
      </c>
      <c r="L26" s="296">
        <f t="shared" si="1"/>
        <v>144</v>
      </c>
      <c r="M26" s="296">
        <f t="shared" si="2"/>
        <v>1872</v>
      </c>
      <c r="N26" s="74">
        <f>L26/E6</f>
        <v>0.93506493506493504</v>
      </c>
      <c r="O26" s="75">
        <f>M26/F6</f>
        <v>1.038269550748752</v>
      </c>
    </row>
    <row r="27" spans="1:15" ht="15.75">
      <c r="A27" s="69">
        <v>17</v>
      </c>
      <c r="B27" s="70" t="s">
        <v>48</v>
      </c>
      <c r="C27" s="71">
        <v>380</v>
      </c>
      <c r="D27" s="72"/>
      <c r="E27" s="72"/>
      <c r="F27" s="34">
        <v>0</v>
      </c>
      <c r="G27" s="35">
        <f>'12-7-26'!G27+'13-7-26'!F27</f>
        <v>0</v>
      </c>
      <c r="H27" s="73">
        <f>F27/E6</f>
        <v>0</v>
      </c>
      <c r="I27" s="34">
        <f t="shared" si="0"/>
        <v>380</v>
      </c>
      <c r="J27" s="73">
        <f>G27/F6</f>
        <v>0</v>
      </c>
      <c r="K27" s="34">
        <v>13210</v>
      </c>
      <c r="L27" s="296">
        <f t="shared" si="1"/>
        <v>0</v>
      </c>
      <c r="M27" s="296">
        <f t="shared" si="2"/>
        <v>0</v>
      </c>
      <c r="N27" s="74">
        <f>L27/E6</f>
        <v>0</v>
      </c>
      <c r="O27" s="75">
        <f>M27/F6</f>
        <v>0</v>
      </c>
    </row>
    <row r="28" spans="1:15" ht="15.75">
      <c r="A28" s="69">
        <v>18</v>
      </c>
      <c r="B28" s="70" t="s">
        <v>49</v>
      </c>
      <c r="C28" s="71">
        <v>175</v>
      </c>
      <c r="D28" s="72"/>
      <c r="E28" s="34"/>
      <c r="F28" s="34">
        <v>5</v>
      </c>
      <c r="G28" s="35">
        <f>'12-7-26'!G28+'13-7-26'!F28</f>
        <v>80</v>
      </c>
      <c r="H28" s="73">
        <f>F28/E6</f>
        <v>3.2467532467532464E-2</v>
      </c>
      <c r="I28" s="34">
        <f t="shared" si="0"/>
        <v>170</v>
      </c>
      <c r="J28" s="73">
        <f>G28/F6</f>
        <v>4.4370493621741544E-2</v>
      </c>
      <c r="K28" s="34">
        <v>14400</v>
      </c>
      <c r="L28" s="296">
        <f t="shared" si="1"/>
        <v>72</v>
      </c>
      <c r="M28" s="296">
        <f t="shared" si="2"/>
        <v>1152</v>
      </c>
      <c r="N28" s="74">
        <f>L28/E6</f>
        <v>0.46753246753246752</v>
      </c>
      <c r="O28" s="75">
        <f>M28/F6</f>
        <v>0.63893510815307819</v>
      </c>
    </row>
    <row r="29" spans="1:15" ht="15.75">
      <c r="A29" s="69">
        <v>19</v>
      </c>
      <c r="B29" s="70" t="s">
        <v>50</v>
      </c>
      <c r="C29" s="71">
        <v>162.4</v>
      </c>
      <c r="D29" s="34"/>
      <c r="E29" s="72"/>
      <c r="F29" s="34">
        <v>3.5</v>
      </c>
      <c r="G29" s="35">
        <f>'12-7-26'!G29+'13-7-26'!F29</f>
        <v>46.5</v>
      </c>
      <c r="H29" s="73">
        <f>F29/E6</f>
        <v>2.2727272727272728E-2</v>
      </c>
      <c r="I29" s="34">
        <f t="shared" si="0"/>
        <v>158.9</v>
      </c>
      <c r="J29" s="73">
        <f>G29/F6</f>
        <v>2.5790349417637273E-2</v>
      </c>
      <c r="K29" s="34">
        <v>102000</v>
      </c>
      <c r="L29" s="296">
        <f t="shared" si="1"/>
        <v>357</v>
      </c>
      <c r="M29" s="296">
        <f t="shared" si="2"/>
        <v>4743</v>
      </c>
      <c r="N29" s="74">
        <f>L29/E6</f>
        <v>2.3181818181818183</v>
      </c>
      <c r="O29" s="75">
        <f>M29/F6</f>
        <v>2.6306156405990015</v>
      </c>
    </row>
    <row r="30" spans="1:15" ht="15.75">
      <c r="A30" s="69">
        <v>20</v>
      </c>
      <c r="B30" s="70" t="s">
        <v>51</v>
      </c>
      <c r="C30" s="71">
        <v>120</v>
      </c>
      <c r="D30" s="72"/>
      <c r="E30" s="72"/>
      <c r="F30" s="34">
        <v>5</v>
      </c>
      <c r="G30" s="35">
        <f>'12-7-26'!G30+'13-7-26'!F30</f>
        <v>65</v>
      </c>
      <c r="H30" s="73">
        <f>F30/E6</f>
        <v>3.2467532467532464E-2</v>
      </c>
      <c r="I30" s="34">
        <f t="shared" si="0"/>
        <v>115</v>
      </c>
      <c r="J30" s="73">
        <f>G30/F6</f>
        <v>3.6051026067665005E-2</v>
      </c>
      <c r="K30" s="34">
        <v>107000</v>
      </c>
      <c r="L30" s="296">
        <f t="shared" si="1"/>
        <v>535</v>
      </c>
      <c r="M30" s="296">
        <f t="shared" si="2"/>
        <v>6955</v>
      </c>
      <c r="N30" s="74">
        <f>L30/E6</f>
        <v>3.4740259740259742</v>
      </c>
      <c r="O30" s="75">
        <f>M30/F6</f>
        <v>3.8574597892401554</v>
      </c>
    </row>
    <row r="31" spans="1:15" ht="15.75">
      <c r="A31" s="69">
        <v>21</v>
      </c>
      <c r="B31" s="70" t="s">
        <v>52</v>
      </c>
      <c r="C31" s="71">
        <v>133</v>
      </c>
      <c r="D31" s="72"/>
      <c r="E31" s="72"/>
      <c r="F31" s="34">
        <v>3</v>
      </c>
      <c r="G31" s="35">
        <f>'12-7-26'!G31+'13-7-26'!F31</f>
        <v>39</v>
      </c>
      <c r="H31" s="73">
        <f>F31/E6</f>
        <v>1.948051948051948E-2</v>
      </c>
      <c r="I31" s="34">
        <f t="shared" si="0"/>
        <v>130</v>
      </c>
      <c r="J31" s="73">
        <f>G31/F6</f>
        <v>2.1630615640599003E-2</v>
      </c>
      <c r="K31" s="34">
        <v>100000</v>
      </c>
      <c r="L31" s="296">
        <f t="shared" si="1"/>
        <v>300</v>
      </c>
      <c r="M31" s="296">
        <f t="shared" si="2"/>
        <v>3900</v>
      </c>
      <c r="N31" s="74">
        <f>L31/E6</f>
        <v>1.948051948051948</v>
      </c>
      <c r="O31" s="75">
        <f>M31/F6</f>
        <v>2.1630615640599</v>
      </c>
    </row>
    <row r="32" spans="1:15" ht="15.75">
      <c r="A32" s="69">
        <v>22</v>
      </c>
      <c r="B32" s="70" t="s">
        <v>53</v>
      </c>
      <c r="C32" s="71">
        <v>52</v>
      </c>
      <c r="D32" s="72"/>
      <c r="E32" s="72"/>
      <c r="F32" s="34">
        <v>1</v>
      </c>
      <c r="G32" s="35">
        <f>'12-7-26'!G32+'13-7-26'!F32</f>
        <v>13</v>
      </c>
      <c r="H32" s="73">
        <f>F32/E6</f>
        <v>6.4935064935064939E-3</v>
      </c>
      <c r="I32" s="34">
        <f t="shared" si="0"/>
        <v>51</v>
      </c>
      <c r="J32" s="73">
        <f>G32/F6</f>
        <v>7.2102052135330002E-3</v>
      </c>
      <c r="K32" s="34">
        <v>255000</v>
      </c>
      <c r="L32" s="296">
        <f t="shared" si="1"/>
        <v>255</v>
      </c>
      <c r="M32" s="296">
        <f t="shared" si="2"/>
        <v>3315</v>
      </c>
      <c r="N32" s="74">
        <f>L32/E6</f>
        <v>1.6558441558441559</v>
      </c>
      <c r="O32" s="76">
        <f>M32/F6</f>
        <v>1.8386023294509151</v>
      </c>
    </row>
    <row r="33" spans="1:15" ht="15.75">
      <c r="A33" s="69">
        <v>23</v>
      </c>
      <c r="B33" s="70" t="s">
        <v>54</v>
      </c>
      <c r="C33" s="71">
        <v>480</v>
      </c>
      <c r="D33" s="72"/>
      <c r="E33" s="72"/>
      <c r="F33" s="34">
        <v>0</v>
      </c>
      <c r="G33" s="35">
        <f>'12-7-26'!G33+'13-7-26'!F33</f>
        <v>0</v>
      </c>
      <c r="H33" s="73">
        <f>F33/E6</f>
        <v>0</v>
      </c>
      <c r="I33" s="34">
        <f t="shared" si="0"/>
        <v>480</v>
      </c>
      <c r="J33" s="73">
        <f>G33/F6</f>
        <v>0</v>
      </c>
      <c r="K33" s="34">
        <v>56000</v>
      </c>
      <c r="L33" s="296">
        <f t="shared" si="1"/>
        <v>0</v>
      </c>
      <c r="M33" s="296">
        <f t="shared" si="2"/>
        <v>0</v>
      </c>
      <c r="N33" s="77">
        <f>L33/F6</f>
        <v>0</v>
      </c>
      <c r="O33" s="76">
        <f>M33/F6</f>
        <v>0</v>
      </c>
    </row>
    <row r="34" spans="1:15" ht="15.75">
      <c r="A34" s="78">
        <v>24</v>
      </c>
      <c r="B34" s="79" t="s">
        <v>55</v>
      </c>
      <c r="C34" s="80">
        <v>0</v>
      </c>
      <c r="D34" s="81"/>
      <c r="E34" s="81"/>
      <c r="F34" s="82">
        <v>0</v>
      </c>
      <c r="G34" s="35">
        <f>'12-7-26'!G34+'13-7-26'!F34</f>
        <v>0</v>
      </c>
      <c r="H34" s="84">
        <f>F34/E6</f>
        <v>0</v>
      </c>
      <c r="I34" s="85">
        <f t="shared" si="0"/>
        <v>0</v>
      </c>
      <c r="J34" s="84">
        <f>G34/F6</f>
        <v>0</v>
      </c>
      <c r="K34" s="85">
        <v>90000</v>
      </c>
      <c r="L34" s="300">
        <f t="shared" si="1"/>
        <v>0</v>
      </c>
      <c r="M34" s="300">
        <f t="shared" si="2"/>
        <v>0</v>
      </c>
      <c r="N34" s="87">
        <f>L34/F6</f>
        <v>0</v>
      </c>
      <c r="O34" s="88">
        <f>M34/F6</f>
        <v>0</v>
      </c>
    </row>
    <row r="35" spans="1:15" ht="15.75">
      <c r="A35" s="301" t="s">
        <v>56</v>
      </c>
      <c r="B35" s="301" t="s">
        <v>57</v>
      </c>
      <c r="C35" s="302" t="s">
        <v>58</v>
      </c>
      <c r="D35" s="1400" t="s">
        <v>59</v>
      </c>
      <c r="E35" s="1400"/>
      <c r="F35" s="1401"/>
      <c r="G35" s="1382"/>
      <c r="H35" s="1382"/>
      <c r="I35" s="1382"/>
      <c r="J35" s="1382"/>
      <c r="K35" s="1382"/>
      <c r="L35" s="1383"/>
      <c r="M35" s="303" t="s">
        <v>60</v>
      </c>
      <c r="N35" s="147">
        <f>SUM(N11,N12,N13,N14,N15,N16,N17,N18,N19,N20,N21,N22,N23,N24,N25,N26,N27,N28,N29,N30,N31,N32,N33,N34)</f>
        <v>1656.6350649350647</v>
      </c>
      <c r="O35" s="148">
        <f>SUM(O11,O12,O13,O14,O15,O16,O17,O18,O19,O20,O21,O22,O23,O24,O25,O26,O27,O28,O29,O30,O31,O32,O33,O34,)</f>
        <v>1218.4226844148641</v>
      </c>
    </row>
    <row r="36" spans="1:15" ht="15.75">
      <c r="A36" s="304">
        <v>1</v>
      </c>
      <c r="B36" s="305" t="s">
        <v>94</v>
      </c>
      <c r="C36" s="306">
        <v>46</v>
      </c>
      <c r="D36" s="1387"/>
      <c r="E36" s="1388"/>
      <c r="F36" s="307">
        <f>C36*E6/C39</f>
        <v>76.172043010752688</v>
      </c>
      <c r="G36" s="1384"/>
      <c r="H36" s="1385"/>
      <c r="I36" s="1385"/>
      <c r="J36" s="1385"/>
      <c r="K36" s="1385"/>
      <c r="L36" s="1385"/>
      <c r="M36" s="150"/>
      <c r="N36" s="151" t="s">
        <v>17</v>
      </c>
      <c r="O36" s="152" t="s">
        <v>17</v>
      </c>
    </row>
    <row r="37" spans="1:15" ht="15.75">
      <c r="A37" s="304">
        <v>2</v>
      </c>
      <c r="B37" s="305" t="s">
        <v>95</v>
      </c>
      <c r="C37" s="308">
        <v>22</v>
      </c>
      <c r="D37" s="1387"/>
      <c r="E37" s="1388"/>
      <c r="F37" s="309">
        <f>C37*E6/C39</f>
        <v>36.43010752688172</v>
      </c>
      <c r="G37" s="1384"/>
      <c r="H37" s="1385"/>
      <c r="I37" s="1385"/>
      <c r="J37" s="1385"/>
      <c r="K37" s="1385"/>
      <c r="L37" s="1385"/>
      <c r="M37" s="153"/>
      <c r="N37" s="310" t="s">
        <v>25</v>
      </c>
      <c r="O37" s="311" t="s">
        <v>26</v>
      </c>
    </row>
    <row r="38" spans="1:15" ht="15.75">
      <c r="A38" s="304">
        <v>4</v>
      </c>
      <c r="B38" s="305" t="s">
        <v>91</v>
      </c>
      <c r="C38" s="312">
        <v>25</v>
      </c>
      <c r="D38" s="313"/>
      <c r="E38" s="1"/>
      <c r="F38" s="314">
        <f>C38*E6/C39</f>
        <v>41.397849462365592</v>
      </c>
      <c r="G38" s="1384"/>
      <c r="H38" s="1385"/>
      <c r="I38" s="1385"/>
      <c r="J38" s="1385"/>
      <c r="K38" s="1385"/>
      <c r="L38" s="1386"/>
      <c r="M38" s="315" t="s">
        <v>60</v>
      </c>
      <c r="N38" s="316">
        <f>N35/1000</f>
        <v>1.6566350649350647</v>
      </c>
      <c r="O38" s="317">
        <f>O35/1000</f>
        <v>1.218422684414864</v>
      </c>
    </row>
    <row r="39" spans="1:15" ht="15.75">
      <c r="A39" s="318">
        <v>4</v>
      </c>
      <c r="B39" s="319" t="s">
        <v>60</v>
      </c>
      <c r="C39" s="320">
        <f>SUM(C36,C37,C38)</f>
        <v>93</v>
      </c>
      <c r="D39" s="1380">
        <f>SUM(F36,F37,F38)</f>
        <v>154</v>
      </c>
      <c r="E39" s="1380"/>
      <c r="F39" s="1381"/>
      <c r="G39" s="149"/>
      <c r="H39" s="149"/>
      <c r="I39" s="149"/>
      <c r="J39" s="149"/>
      <c r="K39" s="149"/>
      <c r="L39" s="149"/>
      <c r="M39" s="149"/>
      <c r="N39" s="149"/>
      <c r="O39" s="149"/>
    </row>
  </sheetData>
  <mergeCells count="14">
    <mergeCell ref="D39:F39"/>
    <mergeCell ref="G35:L38"/>
    <mergeCell ref="D36:E37"/>
    <mergeCell ref="A3:O4"/>
    <mergeCell ref="D8:E8"/>
    <mergeCell ref="F8:G8"/>
    <mergeCell ref="L8:M8"/>
    <mergeCell ref="N8:O8"/>
    <mergeCell ref="D35:F35"/>
    <mergeCell ref="A5:O5"/>
    <mergeCell ref="A6:D6"/>
    <mergeCell ref="H6:O6"/>
    <mergeCell ref="A7:B7"/>
    <mergeCell ref="C7:D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O40"/>
  <sheetViews>
    <sheetView topLeftCell="A12" workbookViewId="0">
      <selection activeCell="E11" sqref="E11"/>
    </sheetView>
  </sheetViews>
  <sheetFormatPr defaultColWidth="9.140625" defaultRowHeight="12.75"/>
  <cols>
    <col min="1" max="1" width="5" style="160" customWidth="1"/>
    <col min="2" max="2" width="34.42578125" style="160" customWidth="1"/>
    <col min="3" max="3" width="12.42578125" style="160" customWidth="1"/>
    <col min="4" max="4" width="6.42578125" style="160" customWidth="1"/>
    <col min="5" max="5" width="7.28515625" style="160" customWidth="1"/>
    <col min="6" max="6" width="8.28515625" style="160" customWidth="1"/>
    <col min="7" max="7" width="14.140625" style="160" customWidth="1"/>
    <col min="8" max="8" width="16.140625" style="160" customWidth="1"/>
    <col min="9" max="9" width="10.85546875" style="160" customWidth="1"/>
    <col min="10" max="10" width="12" style="160" customWidth="1"/>
    <col min="11" max="11" width="8.42578125" style="160" customWidth="1"/>
    <col min="12" max="12" width="8.28515625" style="160" customWidth="1"/>
    <col min="13" max="13" width="11.85546875" style="160" customWidth="1"/>
    <col min="14" max="14" width="12.42578125" style="160" customWidth="1"/>
    <col min="15" max="15" width="13.85546875" style="160" customWidth="1"/>
    <col min="16" max="16384" width="9.140625" style="160"/>
  </cols>
  <sheetData>
    <row r="3" spans="1:15">
      <c r="A3" s="1428" t="s">
        <v>0</v>
      </c>
      <c r="B3" s="1429"/>
      <c r="C3" s="1429"/>
      <c r="D3" s="1429"/>
      <c r="E3" s="1429"/>
      <c r="F3" s="1429"/>
      <c r="G3" s="1429"/>
      <c r="H3" s="1429"/>
      <c r="I3" s="1429"/>
      <c r="J3" s="1429"/>
      <c r="K3" s="1429"/>
      <c r="L3" s="1429"/>
      <c r="M3" s="1429"/>
      <c r="N3" s="1429"/>
      <c r="O3" s="1430"/>
    </row>
    <row r="4" spans="1:15">
      <c r="A4" s="1431"/>
      <c r="B4" s="1143"/>
      <c r="C4" s="1143"/>
      <c r="D4" s="1143"/>
      <c r="E4" s="1143"/>
      <c r="F4" s="1143"/>
      <c r="G4" s="1143"/>
      <c r="H4" s="1143"/>
      <c r="I4" s="1143"/>
      <c r="J4" s="1143"/>
      <c r="K4" s="1143"/>
      <c r="L4" s="1143"/>
      <c r="M4" s="1143"/>
      <c r="N4" s="1143"/>
      <c r="O4" s="1432"/>
    </row>
    <row r="5" spans="1:15" ht="15">
      <c r="A5" s="1444" t="s">
        <v>1</v>
      </c>
      <c r="B5" s="1158"/>
      <c r="C5" s="1158"/>
      <c r="D5" s="1158"/>
      <c r="E5" s="1158"/>
      <c r="F5" s="1158"/>
      <c r="G5" s="1158"/>
      <c r="H5" s="1158"/>
      <c r="I5" s="1158"/>
      <c r="J5" s="1158"/>
      <c r="K5" s="1158"/>
      <c r="L5" s="1158"/>
      <c r="M5" s="1158"/>
      <c r="N5" s="1158"/>
      <c r="O5" s="1445"/>
    </row>
    <row r="6" spans="1:15" ht="15">
      <c r="A6" s="1414" t="s">
        <v>2</v>
      </c>
      <c r="B6" s="1159"/>
      <c r="C6" s="1159"/>
      <c r="D6" s="1160"/>
      <c r="E6" s="162">
        <v>180</v>
      </c>
      <c r="F6" s="161">
        <v>1983</v>
      </c>
      <c r="G6" s="163">
        <v>141.642</v>
      </c>
      <c r="H6" s="1161" t="s">
        <v>96</v>
      </c>
      <c r="I6" s="1161"/>
      <c r="J6" s="1161"/>
      <c r="K6" s="1161"/>
      <c r="L6" s="1161"/>
      <c r="M6" s="1161"/>
      <c r="N6" s="1161"/>
      <c r="O6" s="1415"/>
    </row>
    <row r="7" spans="1:15">
      <c r="A7" s="1416" t="s">
        <v>5</v>
      </c>
      <c r="B7" s="1417"/>
      <c r="C7" s="1418" t="s">
        <v>6</v>
      </c>
      <c r="D7" s="1419"/>
      <c r="E7" s="164">
        <v>180</v>
      </c>
      <c r="F7" s="165">
        <v>292.5</v>
      </c>
      <c r="G7" s="165" t="s">
        <v>97</v>
      </c>
      <c r="H7" s="166"/>
      <c r="I7" s="166"/>
      <c r="J7" s="166"/>
      <c r="K7" s="167"/>
      <c r="L7" s="167"/>
      <c r="M7" s="167"/>
      <c r="N7" s="168"/>
      <c r="O7" s="169"/>
    </row>
    <row r="8" spans="1:15">
      <c r="A8" s="170" t="s">
        <v>8</v>
      </c>
      <c r="B8" s="171" t="s">
        <v>9</v>
      </c>
      <c r="C8" s="171" t="s">
        <v>10</v>
      </c>
      <c r="D8" s="1187" t="s">
        <v>11</v>
      </c>
      <c r="E8" s="1188"/>
      <c r="F8" s="1152" t="s">
        <v>12</v>
      </c>
      <c r="G8" s="1152"/>
      <c r="H8" s="172" t="s">
        <v>13</v>
      </c>
      <c r="I8" s="173" t="s">
        <v>9</v>
      </c>
      <c r="J8" s="174" t="s">
        <v>14</v>
      </c>
      <c r="K8" s="175" t="s">
        <v>15</v>
      </c>
      <c r="L8" s="1153" t="s">
        <v>16</v>
      </c>
      <c r="M8" s="1153"/>
      <c r="N8" s="1154" t="s">
        <v>17</v>
      </c>
      <c r="O8" s="1440"/>
    </row>
    <row r="9" spans="1:15">
      <c r="A9" s="170" t="s">
        <v>18</v>
      </c>
      <c r="B9" s="171" t="s">
        <v>19</v>
      </c>
      <c r="C9" s="171" t="s">
        <v>20</v>
      </c>
      <c r="D9" s="171" t="s">
        <v>21</v>
      </c>
      <c r="E9" s="176" t="s">
        <v>14</v>
      </c>
      <c r="F9" s="177" t="s">
        <v>21</v>
      </c>
      <c r="G9" s="177" t="s">
        <v>14</v>
      </c>
      <c r="H9" s="178" t="s">
        <v>22</v>
      </c>
      <c r="I9" s="179" t="s">
        <v>23</v>
      </c>
      <c r="J9" s="180" t="s">
        <v>22</v>
      </c>
      <c r="K9" s="181" t="s">
        <v>24</v>
      </c>
      <c r="L9" s="181" t="s">
        <v>25</v>
      </c>
      <c r="M9" s="179" t="s">
        <v>26</v>
      </c>
      <c r="N9" s="175" t="s">
        <v>25</v>
      </c>
      <c r="O9" s="182" t="s">
        <v>26</v>
      </c>
    </row>
    <row r="10" spans="1:15">
      <c r="A10" s="183"/>
      <c r="B10" s="171"/>
      <c r="C10" s="171" t="s">
        <v>27</v>
      </c>
      <c r="D10" s="171" t="s">
        <v>27</v>
      </c>
      <c r="E10" s="171" t="s">
        <v>27</v>
      </c>
      <c r="F10" s="184" t="s">
        <v>27</v>
      </c>
      <c r="G10" s="184" t="s">
        <v>27</v>
      </c>
      <c r="H10" s="178" t="s">
        <v>28</v>
      </c>
      <c r="I10" s="179" t="s">
        <v>27</v>
      </c>
      <c r="J10" s="180" t="s">
        <v>28</v>
      </c>
      <c r="K10" s="181" t="s">
        <v>29</v>
      </c>
      <c r="L10" s="181" t="s">
        <v>30</v>
      </c>
      <c r="M10" s="179" t="s">
        <v>30</v>
      </c>
      <c r="N10" s="181" t="s">
        <v>31</v>
      </c>
      <c r="O10" s="185" t="s">
        <v>31</v>
      </c>
    </row>
    <row r="11" spans="1:15">
      <c r="A11" s="186">
        <v>1</v>
      </c>
      <c r="B11" s="187" t="s">
        <v>32</v>
      </c>
      <c r="C11" s="188">
        <v>6550</v>
      </c>
      <c r="D11" s="189">
        <v>25000</v>
      </c>
      <c r="E11" s="188">
        <v>66000</v>
      </c>
      <c r="F11" s="188">
        <v>7600</v>
      </c>
      <c r="G11" s="190">
        <f>'13-7-26'!G11+'14-7-26'!F11</f>
        <v>55450</v>
      </c>
      <c r="H11" s="191">
        <f>F11/E6</f>
        <v>42.222222222222221</v>
      </c>
      <c r="I11" s="188">
        <f t="shared" ref="I11:I34" si="0">(C11-F11)+D11</f>
        <v>23950</v>
      </c>
      <c r="J11" s="192">
        <f>G11/F6</f>
        <v>27.962682803832578</v>
      </c>
      <c r="K11" s="193">
        <v>28500</v>
      </c>
      <c r="L11" s="194">
        <f t="shared" ref="L11:L34" si="1">(F11/1000)*K11</f>
        <v>216600</v>
      </c>
      <c r="M11" s="195">
        <f t="shared" ref="M11:M34" si="2">(G11/1000)*K11</f>
        <v>1580325</v>
      </c>
      <c r="N11" s="196">
        <f>L11/E6</f>
        <v>1203.3333333333333</v>
      </c>
      <c r="O11" s="197">
        <f>M11/F6</f>
        <v>796.93645990922846</v>
      </c>
    </row>
    <row r="12" spans="1:15">
      <c r="A12" s="198">
        <v>2</v>
      </c>
      <c r="B12" s="199" t="s">
        <v>33</v>
      </c>
      <c r="C12" s="200">
        <v>6352</v>
      </c>
      <c r="D12" s="201"/>
      <c r="E12" s="200"/>
      <c r="F12" s="200">
        <v>250</v>
      </c>
      <c r="G12" s="190">
        <f>'13-7-26'!G12+'14-7-26'!F12</f>
        <v>2898</v>
      </c>
      <c r="H12" s="202">
        <f>F12/E6</f>
        <v>1.3888888888888888</v>
      </c>
      <c r="I12" s="200">
        <f t="shared" si="0"/>
        <v>6102</v>
      </c>
      <c r="J12" s="203">
        <f>G12/F6</f>
        <v>1.4614220877458397</v>
      </c>
      <c r="K12" s="190">
        <v>33500</v>
      </c>
      <c r="L12" s="204">
        <f t="shared" si="1"/>
        <v>8375</v>
      </c>
      <c r="M12" s="204">
        <f t="shared" si="2"/>
        <v>97083</v>
      </c>
      <c r="N12" s="205">
        <f>L12/E6</f>
        <v>46.527777777777779</v>
      </c>
      <c r="O12" s="206">
        <f>M12/F6</f>
        <v>48.957639939485631</v>
      </c>
    </row>
    <row r="13" spans="1:15">
      <c r="A13" s="198">
        <v>3</v>
      </c>
      <c r="B13" s="199" t="s">
        <v>34</v>
      </c>
      <c r="C13" s="200">
        <v>6049</v>
      </c>
      <c r="D13" s="201"/>
      <c r="E13" s="200"/>
      <c r="F13" s="200">
        <v>70</v>
      </c>
      <c r="G13" s="190">
        <f>'13-7-26'!G13+'14-7-26'!F13</f>
        <v>841</v>
      </c>
      <c r="H13" s="202">
        <f>F13/E6</f>
        <v>0.3888888888888889</v>
      </c>
      <c r="I13" s="200">
        <f t="shared" si="0"/>
        <v>5979</v>
      </c>
      <c r="J13" s="203">
        <f>G13/F6</f>
        <v>0.42410489157841652</v>
      </c>
      <c r="K13" s="190">
        <v>98000</v>
      </c>
      <c r="L13" s="204">
        <f t="shared" si="1"/>
        <v>6860.0000000000009</v>
      </c>
      <c r="M13" s="204">
        <f t="shared" si="2"/>
        <v>82418</v>
      </c>
      <c r="N13" s="205">
        <f>L13/E6</f>
        <v>38.111111111111114</v>
      </c>
      <c r="O13" s="206">
        <f>M13/F6</f>
        <v>41.56227937468482</v>
      </c>
    </row>
    <row r="14" spans="1:15">
      <c r="A14" s="198">
        <v>4</v>
      </c>
      <c r="B14" s="199" t="s">
        <v>35</v>
      </c>
      <c r="C14" s="200">
        <v>20.76</v>
      </c>
      <c r="D14" s="201"/>
      <c r="E14" s="200"/>
      <c r="F14" s="200">
        <v>0.08</v>
      </c>
      <c r="G14" s="190">
        <f>'13-7-26'!G14+'14-7-26'!F14</f>
        <v>1.1199999999999999</v>
      </c>
      <c r="H14" s="207">
        <f>F14/E6</f>
        <v>4.4444444444444447E-4</v>
      </c>
      <c r="I14" s="200">
        <f t="shared" si="0"/>
        <v>20.680000000000003</v>
      </c>
      <c r="J14" s="208">
        <f>G14/F6</f>
        <v>5.6480080685829541E-4</v>
      </c>
      <c r="K14" s="190">
        <v>750000</v>
      </c>
      <c r="L14" s="204">
        <f t="shared" si="1"/>
        <v>60.000000000000007</v>
      </c>
      <c r="M14" s="204">
        <f t="shared" si="2"/>
        <v>839.99999999999989</v>
      </c>
      <c r="N14" s="205">
        <f>L14/E6</f>
        <v>0.33333333333333337</v>
      </c>
      <c r="O14" s="206">
        <f>M14/F6</f>
        <v>0.42360060514372155</v>
      </c>
    </row>
    <row r="15" spans="1:15">
      <c r="A15" s="198">
        <v>5</v>
      </c>
      <c r="B15" s="199" t="s">
        <v>36</v>
      </c>
      <c r="C15" s="200">
        <v>228</v>
      </c>
      <c r="D15" s="201"/>
      <c r="E15" s="200"/>
      <c r="F15" s="200">
        <v>15</v>
      </c>
      <c r="G15" s="190">
        <f>'13-7-26'!G15+'14-7-26'!F15</f>
        <v>287</v>
      </c>
      <c r="H15" s="202">
        <f>F15/E6</f>
        <v>8.3333333333333329E-2</v>
      </c>
      <c r="I15" s="200">
        <f t="shared" si="0"/>
        <v>213</v>
      </c>
      <c r="J15" s="203">
        <f>G15/F6</f>
        <v>0.14473020675743822</v>
      </c>
      <c r="K15" s="190">
        <v>350000</v>
      </c>
      <c r="L15" s="204">
        <f t="shared" si="1"/>
        <v>5250</v>
      </c>
      <c r="M15" s="204">
        <f t="shared" si="2"/>
        <v>100449.99999999999</v>
      </c>
      <c r="N15" s="205">
        <f>L15/E6</f>
        <v>29.166666666666668</v>
      </c>
      <c r="O15" s="206">
        <f>M15/F6</f>
        <v>50.655572365103374</v>
      </c>
    </row>
    <row r="16" spans="1:15">
      <c r="A16" s="198">
        <v>6</v>
      </c>
      <c r="B16" s="199" t="s">
        <v>37</v>
      </c>
      <c r="C16" s="200">
        <v>1796</v>
      </c>
      <c r="D16" s="201"/>
      <c r="E16" s="200"/>
      <c r="F16" s="200">
        <v>45</v>
      </c>
      <c r="G16" s="190">
        <f>'13-7-26'!G16+'14-7-26'!F16</f>
        <v>655</v>
      </c>
      <c r="H16" s="202">
        <f>F16/E6</f>
        <v>0.25</v>
      </c>
      <c r="I16" s="200">
        <f t="shared" si="0"/>
        <v>1751</v>
      </c>
      <c r="J16" s="203">
        <f>G16/F6</f>
        <v>0.3303076147251639</v>
      </c>
      <c r="K16" s="190">
        <v>204500</v>
      </c>
      <c r="L16" s="204">
        <f t="shared" si="1"/>
        <v>9202.5</v>
      </c>
      <c r="M16" s="204">
        <f t="shared" si="2"/>
        <v>133947.5</v>
      </c>
      <c r="N16" s="205">
        <f>L16/E6</f>
        <v>51.125</v>
      </c>
      <c r="O16" s="206">
        <f>M16/F6</f>
        <v>67.547907211296021</v>
      </c>
    </row>
    <row r="17" spans="1:15">
      <c r="A17" s="198">
        <v>7</v>
      </c>
      <c r="B17" s="199" t="s">
        <v>38</v>
      </c>
      <c r="C17" s="200">
        <v>1131</v>
      </c>
      <c r="D17" s="201"/>
      <c r="E17" s="200"/>
      <c r="F17" s="200">
        <v>54</v>
      </c>
      <c r="G17" s="190">
        <f>'13-7-26'!G17+'14-7-26'!F17</f>
        <v>673</v>
      </c>
      <c r="H17" s="202">
        <f>F17/E6</f>
        <v>0.3</v>
      </c>
      <c r="I17" s="200">
        <f t="shared" si="0"/>
        <v>1077</v>
      </c>
      <c r="J17" s="203">
        <f>G17/F6</f>
        <v>0.3393847705496722</v>
      </c>
      <c r="K17" s="190">
        <v>129500</v>
      </c>
      <c r="L17" s="204">
        <f t="shared" si="1"/>
        <v>6993</v>
      </c>
      <c r="M17" s="204">
        <f t="shared" si="2"/>
        <v>87153.5</v>
      </c>
      <c r="N17" s="205">
        <f>L17/E6</f>
        <v>38.85</v>
      </c>
      <c r="O17" s="206">
        <f>M17/F6</f>
        <v>43.950327786182555</v>
      </c>
    </row>
    <row r="18" spans="1:15">
      <c r="A18" s="198">
        <v>8</v>
      </c>
      <c r="B18" s="199" t="s">
        <v>39</v>
      </c>
      <c r="C18" s="200">
        <v>750</v>
      </c>
      <c r="D18" s="200"/>
      <c r="E18" s="200"/>
      <c r="F18" s="200">
        <v>20</v>
      </c>
      <c r="G18" s="190">
        <f>'13-7-26'!G18+'14-7-26'!F18</f>
        <v>255</v>
      </c>
      <c r="H18" s="202">
        <f>F18/E6</f>
        <v>0.1111111111111111</v>
      </c>
      <c r="I18" s="200">
        <f t="shared" si="0"/>
        <v>730</v>
      </c>
      <c r="J18" s="203">
        <f>G18/F6</f>
        <v>0.12859304084720122</v>
      </c>
      <c r="K18" s="190">
        <v>219500</v>
      </c>
      <c r="L18" s="204">
        <f t="shared" si="1"/>
        <v>4390</v>
      </c>
      <c r="M18" s="204">
        <f t="shared" si="2"/>
        <v>55972.5</v>
      </c>
      <c r="N18" s="205">
        <f>L18/E6</f>
        <v>24.388888888888889</v>
      </c>
      <c r="O18" s="206">
        <f>M18/F6</f>
        <v>28.226172465960666</v>
      </c>
    </row>
    <row r="19" spans="1:15">
      <c r="A19" s="198">
        <v>9</v>
      </c>
      <c r="B19" s="199" t="s">
        <v>40</v>
      </c>
      <c r="C19" s="200">
        <v>20</v>
      </c>
      <c r="D19" s="201"/>
      <c r="E19" s="200"/>
      <c r="F19" s="200">
        <v>0</v>
      </c>
      <c r="G19" s="190">
        <f>'13-7-26'!G19+'14-7-26'!F19</f>
        <v>0</v>
      </c>
      <c r="H19" s="202">
        <f>F19/E6</f>
        <v>0</v>
      </c>
      <c r="I19" s="200">
        <f t="shared" si="0"/>
        <v>20</v>
      </c>
      <c r="J19" s="203">
        <f>G19/F6</f>
        <v>0</v>
      </c>
      <c r="K19" s="190">
        <v>348200</v>
      </c>
      <c r="L19" s="204">
        <f t="shared" si="1"/>
        <v>0</v>
      </c>
      <c r="M19" s="209">
        <f t="shared" si="2"/>
        <v>0</v>
      </c>
      <c r="N19" s="205">
        <f>L19/E6</f>
        <v>0</v>
      </c>
      <c r="O19" s="206">
        <f>M19/F6</f>
        <v>0</v>
      </c>
    </row>
    <row r="20" spans="1:15">
      <c r="A20" s="210">
        <v>10</v>
      </c>
      <c r="B20" s="211" t="s">
        <v>41</v>
      </c>
      <c r="C20" s="212">
        <v>3550</v>
      </c>
      <c r="D20" s="212"/>
      <c r="E20" s="212"/>
      <c r="F20" s="212">
        <v>525</v>
      </c>
      <c r="G20" s="190">
        <f>'13-7-26'!G20+'14-7-26'!F20</f>
        <v>925</v>
      </c>
      <c r="H20" s="213">
        <f>F20/E6</f>
        <v>2.9166666666666665</v>
      </c>
      <c r="I20" s="212">
        <f t="shared" si="0"/>
        <v>3025</v>
      </c>
      <c r="J20" s="213">
        <f>G20/F6</f>
        <v>0.46646495209278871</v>
      </c>
      <c r="K20" s="214">
        <v>172000</v>
      </c>
      <c r="L20" s="215">
        <f t="shared" si="1"/>
        <v>90300</v>
      </c>
      <c r="M20" s="215">
        <f t="shared" si="2"/>
        <v>159100</v>
      </c>
      <c r="N20" s="215">
        <f>L20/E6</f>
        <v>501.66666666666669</v>
      </c>
      <c r="O20" s="216">
        <f>M20/F6</f>
        <v>80.231971759959663</v>
      </c>
    </row>
    <row r="21" spans="1:15">
      <c r="A21" s="217">
        <v>11</v>
      </c>
      <c r="B21" s="218" t="s">
        <v>42</v>
      </c>
      <c r="C21" s="219">
        <v>48</v>
      </c>
      <c r="D21" s="219"/>
      <c r="E21" s="219"/>
      <c r="F21" s="219">
        <v>0</v>
      </c>
      <c r="G21" s="190">
        <f>'13-7-26'!G21+'14-7-26'!F21</f>
        <v>0</v>
      </c>
      <c r="H21" s="213">
        <f>F21/E6</f>
        <v>0</v>
      </c>
      <c r="I21" s="219">
        <f t="shared" si="0"/>
        <v>48</v>
      </c>
      <c r="J21" s="220">
        <f>G21/F6</f>
        <v>0</v>
      </c>
      <c r="K21" s="219">
        <v>200000</v>
      </c>
      <c r="L21" s="221">
        <f t="shared" si="1"/>
        <v>0</v>
      </c>
      <c r="M21" s="221">
        <f t="shared" si="2"/>
        <v>0</v>
      </c>
      <c r="N21" s="221">
        <f>L21/E6</f>
        <v>0</v>
      </c>
      <c r="O21" s="222">
        <f>M21/F6</f>
        <v>0</v>
      </c>
    </row>
    <row r="22" spans="1:15">
      <c r="A22" s="223">
        <v>12</v>
      </c>
      <c r="B22" s="224" t="s">
        <v>43</v>
      </c>
      <c r="C22" s="225">
        <v>84.2</v>
      </c>
      <c r="D22" s="226"/>
      <c r="E22" s="226"/>
      <c r="F22" s="227">
        <v>6.9</v>
      </c>
      <c r="G22" s="190">
        <f>'13-7-26'!G22+'14-7-26'!F22</f>
        <v>85.90000000000002</v>
      </c>
      <c r="H22" s="228">
        <f>F22/E6</f>
        <v>3.8333333333333337E-2</v>
      </c>
      <c r="I22" s="229">
        <f t="shared" si="0"/>
        <v>77.3</v>
      </c>
      <c r="J22" s="230">
        <f>G22/F6</f>
        <v>4.3318204740292493E-2</v>
      </c>
      <c r="K22" s="225">
        <v>377600</v>
      </c>
      <c r="L22" s="231">
        <f t="shared" si="1"/>
        <v>2605.4400000000005</v>
      </c>
      <c r="M22" s="231">
        <f t="shared" si="2"/>
        <v>32435.840000000007</v>
      </c>
      <c r="N22" s="231">
        <f>L22/E6</f>
        <v>14.474666666666669</v>
      </c>
      <c r="O22" s="232">
        <f>M22/F6</f>
        <v>16.356954109934446</v>
      </c>
    </row>
    <row r="23" spans="1:15">
      <c r="A23" s="223">
        <v>13</v>
      </c>
      <c r="B23" s="224" t="s">
        <v>44</v>
      </c>
      <c r="C23" s="225">
        <v>87.9</v>
      </c>
      <c r="D23" s="226"/>
      <c r="E23" s="226"/>
      <c r="F23" s="227">
        <v>4.0999999999999996</v>
      </c>
      <c r="G23" s="190">
        <f>'13-7-26'!G23+'14-7-26'!F23</f>
        <v>50.699999999999996</v>
      </c>
      <c r="H23" s="230">
        <f>F23/E6</f>
        <v>2.2777777777777775E-2</v>
      </c>
      <c r="I23" s="225">
        <f t="shared" si="0"/>
        <v>83.800000000000011</v>
      </c>
      <c r="J23" s="230">
        <f>G23/F6</f>
        <v>2.5567322239031767E-2</v>
      </c>
      <c r="K23" s="225">
        <v>271400</v>
      </c>
      <c r="L23" s="231">
        <f t="shared" si="1"/>
        <v>1112.7399999999998</v>
      </c>
      <c r="M23" s="231">
        <f t="shared" si="2"/>
        <v>13759.98</v>
      </c>
      <c r="N23" s="231">
        <f>L23/E6</f>
        <v>6.1818888888888877</v>
      </c>
      <c r="O23" s="232">
        <f>M23/F6</f>
        <v>6.9389712556732226</v>
      </c>
    </row>
    <row r="24" spans="1:15">
      <c r="A24" s="223">
        <v>14</v>
      </c>
      <c r="B24" s="224" t="s">
        <v>45</v>
      </c>
      <c r="C24" s="225">
        <v>1265.3</v>
      </c>
      <c r="D24" s="226"/>
      <c r="E24" s="226"/>
      <c r="F24" s="227">
        <v>59.3</v>
      </c>
      <c r="G24" s="190">
        <f>'13-7-26'!G24+'14-7-26'!F24</f>
        <v>733.19999999999993</v>
      </c>
      <c r="H24" s="230">
        <f>F24/E6</f>
        <v>0.32944444444444443</v>
      </c>
      <c r="I24" s="226">
        <f t="shared" si="0"/>
        <v>1206</v>
      </c>
      <c r="J24" s="230">
        <f>G24/F6</f>
        <v>0.36974281391830555</v>
      </c>
      <c r="K24" s="225">
        <v>271400</v>
      </c>
      <c r="L24" s="231">
        <f t="shared" si="1"/>
        <v>16094.02</v>
      </c>
      <c r="M24" s="231">
        <f t="shared" si="2"/>
        <v>198990.47999999998</v>
      </c>
      <c r="N24" s="231">
        <f>L24/E6</f>
        <v>89.411222222222221</v>
      </c>
      <c r="O24" s="232">
        <f>M24/F6</f>
        <v>100.34819969742813</v>
      </c>
    </row>
    <row r="25" spans="1:15">
      <c r="A25" s="233">
        <v>15</v>
      </c>
      <c r="B25" s="234" t="s">
        <v>46</v>
      </c>
      <c r="C25" s="235">
        <v>91</v>
      </c>
      <c r="D25" s="236"/>
      <c r="E25" s="236"/>
      <c r="F25" s="201">
        <v>0</v>
      </c>
      <c r="G25" s="190">
        <f>'13-7-26'!G25+'14-7-26'!F25</f>
        <v>6</v>
      </c>
      <c r="H25" s="237">
        <f>F25/E6</f>
        <v>0</v>
      </c>
      <c r="I25" s="201">
        <f t="shared" si="0"/>
        <v>91</v>
      </c>
      <c r="J25" s="237">
        <f>G25/F6</f>
        <v>3.0257186081694403E-3</v>
      </c>
      <c r="K25" s="201">
        <v>41000</v>
      </c>
      <c r="L25" s="209">
        <f t="shared" si="1"/>
        <v>0</v>
      </c>
      <c r="M25" s="209">
        <f t="shared" si="2"/>
        <v>246</v>
      </c>
      <c r="N25" s="238">
        <f>L25/E6</f>
        <v>0</v>
      </c>
      <c r="O25" s="239">
        <f>M25/F6</f>
        <v>0.12405446293494705</v>
      </c>
    </row>
    <row r="26" spans="1:15">
      <c r="A26" s="233">
        <v>16</v>
      </c>
      <c r="B26" s="234" t="s">
        <v>47</v>
      </c>
      <c r="C26" s="235">
        <v>367.6</v>
      </c>
      <c r="D26" s="236"/>
      <c r="E26" s="236"/>
      <c r="F26" s="201">
        <v>6</v>
      </c>
      <c r="G26" s="190">
        <f>'13-7-26'!G26+'14-7-26'!F26</f>
        <v>84</v>
      </c>
      <c r="H26" s="237">
        <f>F26/E6</f>
        <v>3.3333333333333333E-2</v>
      </c>
      <c r="I26" s="201">
        <f t="shared" si="0"/>
        <v>361.6</v>
      </c>
      <c r="J26" s="237">
        <f>G26/F6</f>
        <v>4.2360060514372161E-2</v>
      </c>
      <c r="K26" s="201">
        <v>24000</v>
      </c>
      <c r="L26" s="209">
        <f t="shared" si="1"/>
        <v>144</v>
      </c>
      <c r="M26" s="209">
        <f t="shared" si="2"/>
        <v>2016.0000000000002</v>
      </c>
      <c r="N26" s="238">
        <f>L26/E6</f>
        <v>0.8</v>
      </c>
      <c r="O26" s="239">
        <f>M26/F6</f>
        <v>1.0166414523449321</v>
      </c>
    </row>
    <row r="27" spans="1:15">
      <c r="A27" s="233">
        <v>17</v>
      </c>
      <c r="B27" s="234" t="s">
        <v>48</v>
      </c>
      <c r="C27" s="235">
        <v>380</v>
      </c>
      <c r="D27" s="236"/>
      <c r="E27" s="236"/>
      <c r="F27" s="201">
        <v>0</v>
      </c>
      <c r="G27" s="190">
        <f>'13-7-26'!G27+'14-7-26'!F27</f>
        <v>0</v>
      </c>
      <c r="H27" s="237">
        <f>F27/E6</f>
        <v>0</v>
      </c>
      <c r="I27" s="201">
        <f t="shared" si="0"/>
        <v>380</v>
      </c>
      <c r="J27" s="237">
        <f>G27/F6</f>
        <v>0</v>
      </c>
      <c r="K27" s="201">
        <v>13210</v>
      </c>
      <c r="L27" s="209">
        <f t="shared" si="1"/>
        <v>0</v>
      </c>
      <c r="M27" s="209">
        <f t="shared" si="2"/>
        <v>0</v>
      </c>
      <c r="N27" s="238">
        <f>L27/E6</f>
        <v>0</v>
      </c>
      <c r="O27" s="239">
        <f>M27/F6</f>
        <v>0</v>
      </c>
    </row>
    <row r="28" spans="1:15">
      <c r="A28" s="233">
        <v>18</v>
      </c>
      <c r="B28" s="234" t="s">
        <v>49</v>
      </c>
      <c r="C28" s="235">
        <v>170</v>
      </c>
      <c r="D28" s="236"/>
      <c r="E28" s="201"/>
      <c r="F28" s="201">
        <v>10</v>
      </c>
      <c r="G28" s="190">
        <f>'13-7-26'!G28+'14-7-26'!F28</f>
        <v>90</v>
      </c>
      <c r="H28" s="237">
        <f>F28/E6</f>
        <v>5.5555555555555552E-2</v>
      </c>
      <c r="I28" s="201">
        <f t="shared" si="0"/>
        <v>160</v>
      </c>
      <c r="J28" s="237">
        <f>G28/F6</f>
        <v>4.5385779122541603E-2</v>
      </c>
      <c r="K28" s="201">
        <v>14400</v>
      </c>
      <c r="L28" s="209">
        <f t="shared" si="1"/>
        <v>144</v>
      </c>
      <c r="M28" s="209">
        <f t="shared" si="2"/>
        <v>1296</v>
      </c>
      <c r="N28" s="238">
        <f>L28/E6</f>
        <v>0.8</v>
      </c>
      <c r="O28" s="239">
        <f>M28/F6</f>
        <v>0.65355521936459904</v>
      </c>
    </row>
    <row r="29" spans="1:15">
      <c r="A29" s="233">
        <v>19</v>
      </c>
      <c r="B29" s="234" t="s">
        <v>50</v>
      </c>
      <c r="C29" s="235">
        <v>158.9</v>
      </c>
      <c r="D29" s="201"/>
      <c r="E29" s="236"/>
      <c r="F29" s="201">
        <v>3.5</v>
      </c>
      <c r="G29" s="190">
        <f>'13-7-26'!G29+'14-7-26'!F29</f>
        <v>50</v>
      </c>
      <c r="H29" s="237">
        <f>F29/E6</f>
        <v>1.9444444444444445E-2</v>
      </c>
      <c r="I29" s="201">
        <f t="shared" si="0"/>
        <v>155.4</v>
      </c>
      <c r="J29" s="237">
        <f>G29/F6</f>
        <v>2.5214321734745335E-2</v>
      </c>
      <c r="K29" s="201">
        <v>102000</v>
      </c>
      <c r="L29" s="209">
        <f t="shared" si="1"/>
        <v>357</v>
      </c>
      <c r="M29" s="209">
        <f t="shared" si="2"/>
        <v>5100</v>
      </c>
      <c r="N29" s="238">
        <f>L29/E6</f>
        <v>1.9833333333333334</v>
      </c>
      <c r="O29" s="239">
        <f>M29/F6</f>
        <v>2.571860816944024</v>
      </c>
    </row>
    <row r="30" spans="1:15">
      <c r="A30" s="233">
        <v>20</v>
      </c>
      <c r="B30" s="234" t="s">
        <v>51</v>
      </c>
      <c r="C30" s="235">
        <v>115</v>
      </c>
      <c r="D30" s="236"/>
      <c r="E30" s="236"/>
      <c r="F30" s="201">
        <v>5</v>
      </c>
      <c r="G30" s="190">
        <f>'13-7-26'!G30+'14-7-26'!F30</f>
        <v>70</v>
      </c>
      <c r="H30" s="237">
        <f>F30/E6</f>
        <v>2.7777777777777776E-2</v>
      </c>
      <c r="I30" s="201">
        <f t="shared" si="0"/>
        <v>110</v>
      </c>
      <c r="J30" s="237">
        <f>G30/F6</f>
        <v>3.5300050428643467E-2</v>
      </c>
      <c r="K30" s="201">
        <v>107000</v>
      </c>
      <c r="L30" s="209">
        <f t="shared" si="1"/>
        <v>535</v>
      </c>
      <c r="M30" s="209">
        <f t="shared" si="2"/>
        <v>7490.0000000000009</v>
      </c>
      <c r="N30" s="238">
        <f>L30/E6</f>
        <v>2.9722222222222223</v>
      </c>
      <c r="O30" s="239">
        <f>M30/F6</f>
        <v>3.7771053958648517</v>
      </c>
    </row>
    <row r="31" spans="1:15">
      <c r="A31" s="233">
        <v>21</v>
      </c>
      <c r="B31" s="234" t="s">
        <v>52</v>
      </c>
      <c r="C31" s="235">
        <v>130</v>
      </c>
      <c r="D31" s="236"/>
      <c r="E31" s="236"/>
      <c r="F31" s="201">
        <v>3</v>
      </c>
      <c r="G31" s="190">
        <f>'13-7-26'!G31+'14-7-26'!F31</f>
        <v>42</v>
      </c>
      <c r="H31" s="237">
        <f>F31/E6</f>
        <v>1.6666666666666666E-2</v>
      </c>
      <c r="I31" s="201">
        <f t="shared" si="0"/>
        <v>127</v>
      </c>
      <c r="J31" s="237">
        <f>G31/F6</f>
        <v>2.118003025718608E-2</v>
      </c>
      <c r="K31" s="201">
        <v>100000</v>
      </c>
      <c r="L31" s="209">
        <f t="shared" si="1"/>
        <v>300</v>
      </c>
      <c r="M31" s="209">
        <f t="shared" si="2"/>
        <v>4200</v>
      </c>
      <c r="N31" s="238">
        <f>L31/E6</f>
        <v>1.6666666666666667</v>
      </c>
      <c r="O31" s="239">
        <f>M31/F6</f>
        <v>2.118003025718608</v>
      </c>
    </row>
    <row r="32" spans="1:15">
      <c r="A32" s="233">
        <v>22</v>
      </c>
      <c r="B32" s="234" t="s">
        <v>53</v>
      </c>
      <c r="C32" s="235">
        <v>51</v>
      </c>
      <c r="D32" s="236"/>
      <c r="E32" s="236"/>
      <c r="F32" s="201">
        <v>1</v>
      </c>
      <c r="G32" s="190">
        <f>'13-7-26'!G32+'14-7-26'!F32</f>
        <v>14</v>
      </c>
      <c r="H32" s="237">
        <f>F32/E6</f>
        <v>5.5555555555555558E-3</v>
      </c>
      <c r="I32" s="201">
        <f t="shared" si="0"/>
        <v>50</v>
      </c>
      <c r="J32" s="237">
        <f>G32/F6</f>
        <v>7.0600100857286935E-3</v>
      </c>
      <c r="K32" s="201">
        <v>255000</v>
      </c>
      <c r="L32" s="209">
        <f t="shared" si="1"/>
        <v>255</v>
      </c>
      <c r="M32" s="209">
        <f t="shared" si="2"/>
        <v>3570</v>
      </c>
      <c r="N32" s="238">
        <f>L32/E6</f>
        <v>1.4166666666666667</v>
      </c>
      <c r="O32" s="240">
        <f>M32/F6</f>
        <v>1.800302571860817</v>
      </c>
    </row>
    <row r="33" spans="1:15">
      <c r="A33" s="233">
        <v>23</v>
      </c>
      <c r="B33" s="234" t="s">
        <v>54</v>
      </c>
      <c r="C33" s="235">
        <v>480</v>
      </c>
      <c r="D33" s="236"/>
      <c r="E33" s="236"/>
      <c r="F33" s="201">
        <v>0</v>
      </c>
      <c r="G33" s="190">
        <f>'13-7-26'!G33+'14-7-26'!F33</f>
        <v>0</v>
      </c>
      <c r="H33" s="237">
        <f>F33/E6</f>
        <v>0</v>
      </c>
      <c r="I33" s="201">
        <f t="shared" si="0"/>
        <v>480</v>
      </c>
      <c r="J33" s="237">
        <f>G33/F6</f>
        <v>0</v>
      </c>
      <c r="K33" s="201">
        <v>56000</v>
      </c>
      <c r="L33" s="209">
        <f t="shared" si="1"/>
        <v>0</v>
      </c>
      <c r="M33" s="209">
        <f t="shared" si="2"/>
        <v>0</v>
      </c>
      <c r="N33" s="241">
        <f>L33/F6</f>
        <v>0</v>
      </c>
      <c r="O33" s="240">
        <f>M33/F6</f>
        <v>0</v>
      </c>
    </row>
    <row r="34" spans="1:15">
      <c r="A34" s="242">
        <v>24</v>
      </c>
      <c r="B34" s="243" t="s">
        <v>55</v>
      </c>
      <c r="C34" s="244">
        <v>0</v>
      </c>
      <c r="D34" s="245"/>
      <c r="E34" s="245"/>
      <c r="F34" s="246">
        <v>0</v>
      </c>
      <c r="G34" s="247"/>
      <c r="H34" s="248">
        <f>F34/E6</f>
        <v>0</v>
      </c>
      <c r="I34" s="249">
        <f t="shared" si="0"/>
        <v>0</v>
      </c>
      <c r="J34" s="248">
        <f>G34/F6</f>
        <v>0</v>
      </c>
      <c r="K34" s="249">
        <v>90000</v>
      </c>
      <c r="L34" s="250">
        <f t="shared" si="1"/>
        <v>0</v>
      </c>
      <c r="M34" s="250">
        <f t="shared" si="2"/>
        <v>0</v>
      </c>
      <c r="N34" s="251">
        <f>L34/F6</f>
        <v>0</v>
      </c>
      <c r="O34" s="252">
        <f>M34/F6</f>
        <v>0</v>
      </c>
    </row>
    <row r="35" spans="1:15" ht="14.25" customHeight="1">
      <c r="A35" s="253" t="s">
        <v>56</v>
      </c>
      <c r="B35" s="253" t="s">
        <v>57</v>
      </c>
      <c r="C35" s="254" t="s">
        <v>58</v>
      </c>
      <c r="D35" s="1441" t="s">
        <v>59</v>
      </c>
      <c r="E35" s="1441"/>
      <c r="F35" s="1442"/>
      <c r="G35" s="255">
        <v>4</v>
      </c>
      <c r="H35" s="1443" t="s">
        <v>95</v>
      </c>
      <c r="I35" s="1443"/>
      <c r="J35" s="256">
        <v>5</v>
      </c>
      <c r="K35" s="257">
        <v>8.5</v>
      </c>
      <c r="L35" s="1421"/>
      <c r="M35" s="258" t="s">
        <v>60</v>
      </c>
      <c r="N35" s="259">
        <f>SUM(N11,N12,N13,N14,N15,N16,N17,N18,N19,N20,N21,N22,N23,N24,N25,N26,N27,N28,N29,N30,N31,N32,N33,N34)</f>
        <v>2053.2094444444442</v>
      </c>
      <c r="O35" s="260">
        <f>SUM(O11,O12,O13,O14,O15,O16,O17,O18,O19,O20,O21,O22,O23,O24,O25,O26,O27,O28,O29,O30,O31,O32,O33,O34,)</f>
        <v>1294.1975794251132</v>
      </c>
    </row>
    <row r="36" spans="1:15" ht="14.25" customHeight="1">
      <c r="A36" s="261">
        <v>1</v>
      </c>
      <c r="B36" s="261" t="s">
        <v>98</v>
      </c>
      <c r="C36" s="262">
        <v>22</v>
      </c>
      <c r="D36" s="1433"/>
      <c r="E36" s="1434"/>
      <c r="F36" s="263">
        <v>37</v>
      </c>
      <c r="G36" s="198">
        <v>5</v>
      </c>
      <c r="H36" s="1439" t="s">
        <v>99</v>
      </c>
      <c r="I36" s="1439"/>
      <c r="J36" s="200">
        <v>4</v>
      </c>
      <c r="K36" s="264">
        <v>7</v>
      </c>
      <c r="L36" s="1422"/>
      <c r="M36" s="265"/>
      <c r="N36" s="266" t="s">
        <v>17</v>
      </c>
      <c r="O36" s="267" t="s">
        <v>17</v>
      </c>
    </row>
    <row r="37" spans="1:15" ht="14.25" customHeight="1">
      <c r="A37" s="261">
        <v>2</v>
      </c>
      <c r="B37" s="261" t="s">
        <v>100</v>
      </c>
      <c r="C37" s="268">
        <v>7</v>
      </c>
      <c r="D37" s="1435"/>
      <c r="E37" s="1436"/>
      <c r="F37" s="269">
        <v>12</v>
      </c>
      <c r="G37" s="198">
        <v>6</v>
      </c>
      <c r="H37" s="1439" t="s">
        <v>101</v>
      </c>
      <c r="I37" s="1439"/>
      <c r="J37" s="200">
        <v>20</v>
      </c>
      <c r="K37" s="264">
        <v>33</v>
      </c>
      <c r="L37" s="1422"/>
      <c r="M37" s="270"/>
      <c r="N37" s="271" t="s">
        <v>102</v>
      </c>
      <c r="O37" s="272" t="s">
        <v>103</v>
      </c>
    </row>
    <row r="38" spans="1:15" ht="15">
      <c r="A38" s="273">
        <v>3</v>
      </c>
      <c r="B38" s="273" t="s">
        <v>104</v>
      </c>
      <c r="C38" s="274">
        <v>5</v>
      </c>
      <c r="D38" s="1437"/>
      <c r="E38" s="1438"/>
      <c r="F38" s="275">
        <v>8.5</v>
      </c>
      <c r="G38" s="198">
        <v>7</v>
      </c>
      <c r="H38" s="1439" t="s">
        <v>105</v>
      </c>
      <c r="I38" s="1439"/>
      <c r="J38" s="201">
        <v>9</v>
      </c>
      <c r="K38" s="276">
        <v>15</v>
      </c>
      <c r="L38" s="1422"/>
      <c r="M38" s="277" t="s">
        <v>60</v>
      </c>
      <c r="N38" s="278">
        <f>N35/1000</f>
        <v>2.0532094444444442</v>
      </c>
      <c r="O38" s="279">
        <f>O35/1000</f>
        <v>1.2941975794251133</v>
      </c>
    </row>
    <row r="39" spans="1:15" ht="14.25" customHeight="1">
      <c r="A39" s="280">
        <v>10</v>
      </c>
      <c r="B39" s="281" t="s">
        <v>60</v>
      </c>
      <c r="C39" s="282">
        <v>107</v>
      </c>
      <c r="D39" s="1424">
        <v>180</v>
      </c>
      <c r="E39" s="1425"/>
      <c r="F39" s="1426"/>
      <c r="G39" s="283">
        <v>8</v>
      </c>
      <c r="H39" s="1427" t="s">
        <v>106</v>
      </c>
      <c r="I39" s="1427"/>
      <c r="J39" s="284">
        <v>3</v>
      </c>
      <c r="K39" s="285">
        <v>5</v>
      </c>
      <c r="L39" s="1423"/>
      <c r="M39" s="286"/>
      <c r="N39" s="286"/>
      <c r="O39" s="286"/>
    </row>
    <row r="40" spans="1:15" ht="10.5" customHeight="1">
      <c r="G40" s="287">
        <v>9</v>
      </c>
      <c r="H40" s="1420" t="s">
        <v>107</v>
      </c>
      <c r="I40" s="1420"/>
      <c r="J40" s="288">
        <v>32</v>
      </c>
      <c r="K40" s="289">
        <v>54</v>
      </c>
    </row>
  </sheetData>
  <mergeCells count="20">
    <mergeCell ref="A3:O4"/>
    <mergeCell ref="D36:E38"/>
    <mergeCell ref="H36:I36"/>
    <mergeCell ref="H37:I37"/>
    <mergeCell ref="H38:I38"/>
    <mergeCell ref="D8:E8"/>
    <mergeCell ref="F8:G8"/>
    <mergeCell ref="L8:M8"/>
    <mergeCell ref="N8:O8"/>
    <mergeCell ref="D35:F35"/>
    <mergeCell ref="H35:I35"/>
    <mergeCell ref="A5:O5"/>
    <mergeCell ref="A6:D6"/>
    <mergeCell ref="H6:O6"/>
    <mergeCell ref="A7:B7"/>
    <mergeCell ref="C7:D7"/>
    <mergeCell ref="H40:I40"/>
    <mergeCell ref="L35:L39"/>
    <mergeCell ref="D39:F39"/>
    <mergeCell ref="H39:I3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O44"/>
  <sheetViews>
    <sheetView topLeftCell="A19" workbookViewId="0">
      <selection activeCell="E11" sqref="E11"/>
    </sheetView>
  </sheetViews>
  <sheetFormatPr defaultColWidth="9.140625" defaultRowHeight="15.75"/>
  <cols>
    <col min="1" max="1" width="5.85546875" style="1" customWidth="1"/>
    <col min="2" max="2" width="34.42578125" style="1" customWidth="1"/>
    <col min="3" max="3" width="13.28515625" style="1" customWidth="1"/>
    <col min="4" max="4" width="10.28515625" style="1" customWidth="1"/>
    <col min="5" max="5" width="10.7109375" style="1" customWidth="1"/>
    <col min="6" max="6" width="12.140625" style="1" customWidth="1"/>
    <col min="7" max="7" width="14.140625" style="1" customWidth="1"/>
    <col min="8" max="8" width="16.140625" style="1" customWidth="1"/>
    <col min="9" max="9" width="10.85546875" style="1" customWidth="1"/>
    <col min="10" max="10" width="12" style="1" customWidth="1"/>
    <col min="11" max="11" width="8.42578125" style="1" customWidth="1"/>
    <col min="12" max="12" width="10.7109375" style="1" customWidth="1"/>
    <col min="13" max="13" width="11.85546875" style="1" customWidth="1"/>
    <col min="14" max="14" width="12.42578125" style="1" customWidth="1"/>
    <col min="15" max="15" width="16.7109375" style="1" customWidth="1"/>
    <col min="16" max="16384" width="9.140625" style="1"/>
  </cols>
  <sheetData>
    <row r="3" spans="1:15" ht="16.5" thickBot="1">
      <c r="A3" s="1389" t="s">
        <v>0</v>
      </c>
      <c r="B3" s="1390"/>
      <c r="C3" s="1390"/>
      <c r="D3" s="1390"/>
      <c r="E3" s="1390"/>
      <c r="F3" s="1390"/>
      <c r="G3" s="1390"/>
      <c r="H3" s="1390"/>
      <c r="I3" s="1390"/>
      <c r="J3" s="1390"/>
      <c r="K3" s="1390"/>
      <c r="L3" s="1390"/>
      <c r="M3" s="1390"/>
      <c r="N3" s="1390"/>
      <c r="O3" s="1391"/>
    </row>
    <row r="4" spans="1:15" ht="17.25" thickTop="1" thickBot="1">
      <c r="A4" s="1392"/>
      <c r="B4" s="1393"/>
      <c r="C4" s="1393"/>
      <c r="D4" s="1393"/>
      <c r="E4" s="1393"/>
      <c r="F4" s="1393"/>
      <c r="G4" s="1393"/>
      <c r="H4" s="1393"/>
      <c r="I4" s="1393"/>
      <c r="J4" s="1393"/>
      <c r="K4" s="1393"/>
      <c r="L4" s="1393"/>
      <c r="M4" s="1393"/>
      <c r="N4" s="1393"/>
      <c r="O4" s="1394"/>
    </row>
    <row r="5" spans="1:15" ht="21" thickTop="1" thickBot="1">
      <c r="A5" s="1402" t="s">
        <v>1</v>
      </c>
      <c r="B5" s="1403"/>
      <c r="C5" s="1403"/>
      <c r="D5" s="1403"/>
      <c r="E5" s="1403"/>
      <c r="F5" s="1403"/>
      <c r="G5" s="1403"/>
      <c r="H5" s="1403"/>
      <c r="I5" s="1403"/>
      <c r="J5" s="1403"/>
      <c r="K5" s="1403"/>
      <c r="L5" s="1403"/>
      <c r="M5" s="1403"/>
      <c r="N5" s="1403"/>
      <c r="O5" s="1404"/>
    </row>
    <row r="6" spans="1:15" ht="21" thickTop="1" thickBot="1">
      <c r="A6" s="1405" t="s">
        <v>2</v>
      </c>
      <c r="B6" s="1406"/>
      <c r="C6" s="1406"/>
      <c r="D6" s="1407"/>
      <c r="E6" s="121">
        <v>129</v>
      </c>
      <c r="F6" s="120">
        <v>2112</v>
      </c>
      <c r="G6" s="122">
        <v>140.80000000000001</v>
      </c>
      <c r="H6" s="1408" t="s">
        <v>108</v>
      </c>
      <c r="I6" s="1408"/>
      <c r="J6" s="1408"/>
      <c r="K6" s="1408"/>
      <c r="L6" s="1408"/>
      <c r="M6" s="1408"/>
      <c r="N6" s="1408"/>
      <c r="O6" s="1409"/>
    </row>
    <row r="7" spans="1:15" ht="17.25" thickTop="1" thickBot="1">
      <c r="A7" s="1459" t="s">
        <v>5</v>
      </c>
      <c r="B7" s="1460"/>
      <c r="C7" s="1461" t="s">
        <v>6</v>
      </c>
      <c r="D7" s="1462"/>
      <c r="E7" s="123">
        <v>129</v>
      </c>
      <c r="F7" s="6">
        <v>421.5</v>
      </c>
      <c r="G7" s="6" t="s">
        <v>109</v>
      </c>
      <c r="H7" s="124"/>
      <c r="I7" s="124"/>
      <c r="J7" s="124"/>
      <c r="K7" s="125"/>
      <c r="L7" s="125"/>
      <c r="M7" s="125"/>
      <c r="N7" s="126"/>
      <c r="O7" s="127"/>
    </row>
    <row r="8" spans="1:15" ht="17.25" thickTop="1" thickBot="1">
      <c r="A8" s="7" t="s">
        <v>8</v>
      </c>
      <c r="B8" s="8" t="s">
        <v>9</v>
      </c>
      <c r="C8" s="8" t="s">
        <v>10</v>
      </c>
      <c r="D8" s="1455" t="s">
        <v>11</v>
      </c>
      <c r="E8" s="1456"/>
      <c r="F8" s="1396" t="s">
        <v>12</v>
      </c>
      <c r="G8" s="1396"/>
      <c r="H8" s="128" t="s">
        <v>13</v>
      </c>
      <c r="I8" s="129" t="s">
        <v>9</v>
      </c>
      <c r="J8" s="130" t="s">
        <v>14</v>
      </c>
      <c r="K8" s="15" t="s">
        <v>15</v>
      </c>
      <c r="L8" s="1397" t="s">
        <v>16</v>
      </c>
      <c r="M8" s="1397"/>
      <c r="N8" s="1398" t="s">
        <v>17</v>
      </c>
      <c r="O8" s="1399"/>
    </row>
    <row r="9" spans="1:15" ht="16.5" thickTop="1">
      <c r="A9" s="7" t="s">
        <v>18</v>
      </c>
      <c r="B9" s="8" t="s">
        <v>19</v>
      </c>
      <c r="C9" s="8" t="s">
        <v>20</v>
      </c>
      <c r="D9" s="8" t="s">
        <v>21</v>
      </c>
      <c r="E9" s="13" t="s">
        <v>14</v>
      </c>
      <c r="F9" s="14" t="s">
        <v>21</v>
      </c>
      <c r="G9" s="14" t="s">
        <v>14</v>
      </c>
      <c r="H9" s="9" t="s">
        <v>22</v>
      </c>
      <c r="I9" s="10" t="s">
        <v>23</v>
      </c>
      <c r="J9" s="11" t="s">
        <v>22</v>
      </c>
      <c r="K9" s="12" t="s">
        <v>24</v>
      </c>
      <c r="L9" s="12" t="s">
        <v>25</v>
      </c>
      <c r="M9" s="10" t="s">
        <v>26</v>
      </c>
      <c r="N9" s="15" t="s">
        <v>25</v>
      </c>
      <c r="O9" s="16" t="s">
        <v>26</v>
      </c>
    </row>
    <row r="10" spans="1:15" ht="16.5" thickBot="1">
      <c r="A10" s="17"/>
      <c r="B10" s="8"/>
      <c r="C10" s="8" t="s">
        <v>27</v>
      </c>
      <c r="D10" s="8" t="s">
        <v>27</v>
      </c>
      <c r="E10" s="8" t="s">
        <v>27</v>
      </c>
      <c r="F10" s="18" t="s">
        <v>27</v>
      </c>
      <c r="G10" s="18" t="s">
        <v>27</v>
      </c>
      <c r="H10" s="9" t="s">
        <v>28</v>
      </c>
      <c r="I10" s="10" t="s">
        <v>27</v>
      </c>
      <c r="J10" s="11" t="s">
        <v>28</v>
      </c>
      <c r="K10" s="12" t="s">
        <v>29</v>
      </c>
      <c r="L10" s="12" t="s">
        <v>30</v>
      </c>
      <c r="M10" s="10" t="s">
        <v>30</v>
      </c>
      <c r="N10" s="12" t="s">
        <v>31</v>
      </c>
      <c r="O10" s="19" t="s">
        <v>31</v>
      </c>
    </row>
    <row r="11" spans="1:15" ht="16.5" thickTop="1">
      <c r="A11" s="131">
        <v>1</v>
      </c>
      <c r="B11" s="132" t="s">
        <v>32</v>
      </c>
      <c r="C11" s="133">
        <v>23950</v>
      </c>
      <c r="D11" s="134"/>
      <c r="E11" s="133">
        <v>66000</v>
      </c>
      <c r="F11" s="133">
        <v>3150</v>
      </c>
      <c r="G11" s="35">
        <f>'14-7-26'!G11+'15-07-26'!F11</f>
        <v>58600</v>
      </c>
      <c r="H11" s="135">
        <f>F11/E6</f>
        <v>24.418604651162791</v>
      </c>
      <c r="I11" s="133">
        <f t="shared" ref="I11:I34" si="0">(C11-F11)+D11</f>
        <v>20800</v>
      </c>
      <c r="J11" s="136">
        <f>G11/F6</f>
        <v>27.746212121212121</v>
      </c>
      <c r="K11" s="137">
        <v>28500</v>
      </c>
      <c r="L11" s="138">
        <f t="shared" ref="L11:L34" si="1">(F11/1000)*K11</f>
        <v>89775</v>
      </c>
      <c r="M11" s="139">
        <f t="shared" ref="M11:M34" si="2">(G11/1000)*K11</f>
        <v>1670100</v>
      </c>
      <c r="N11" s="140">
        <f>L11/E6</f>
        <v>695.93023255813955</v>
      </c>
      <c r="O11" s="141">
        <f>M11/F6</f>
        <v>790.7670454545455</v>
      </c>
    </row>
    <row r="12" spans="1:15">
      <c r="A12" s="31">
        <v>2</v>
      </c>
      <c r="B12" s="32" t="s">
        <v>33</v>
      </c>
      <c r="C12" s="33">
        <v>6102</v>
      </c>
      <c r="D12" s="34"/>
      <c r="E12" s="33"/>
      <c r="F12" s="33">
        <v>188</v>
      </c>
      <c r="G12" s="35">
        <f>'14-7-26'!G12+'15-07-26'!F12</f>
        <v>3086</v>
      </c>
      <c r="H12" s="36">
        <f>F12/E6</f>
        <v>1.4573643410852712</v>
      </c>
      <c r="I12" s="33">
        <f t="shared" si="0"/>
        <v>5914</v>
      </c>
      <c r="J12" s="37">
        <f>G12/F6</f>
        <v>1.4611742424242424</v>
      </c>
      <c r="K12" s="35">
        <v>33500</v>
      </c>
      <c r="L12" s="38">
        <f t="shared" si="1"/>
        <v>6298</v>
      </c>
      <c r="M12" s="38">
        <f t="shared" si="2"/>
        <v>103381</v>
      </c>
      <c r="N12" s="39">
        <f>L12/E6</f>
        <v>48.821705426356587</v>
      </c>
      <c r="O12" s="40">
        <f>M12/F6</f>
        <v>48.949337121212125</v>
      </c>
    </row>
    <row r="13" spans="1:15">
      <c r="A13" s="31">
        <v>3</v>
      </c>
      <c r="B13" s="32" t="s">
        <v>34</v>
      </c>
      <c r="C13" s="33">
        <v>5979</v>
      </c>
      <c r="D13" s="34"/>
      <c r="E13" s="33"/>
      <c r="F13" s="33">
        <v>54</v>
      </c>
      <c r="G13" s="35">
        <f>'14-7-26'!G13+'15-07-26'!F13</f>
        <v>895</v>
      </c>
      <c r="H13" s="36">
        <f>F13/E6</f>
        <v>0.41860465116279072</v>
      </c>
      <c r="I13" s="33">
        <f t="shared" si="0"/>
        <v>5925</v>
      </c>
      <c r="J13" s="37">
        <f>G13/F6</f>
        <v>0.42376893939393939</v>
      </c>
      <c r="K13" s="35">
        <v>98000</v>
      </c>
      <c r="L13" s="38">
        <f t="shared" si="1"/>
        <v>5292</v>
      </c>
      <c r="M13" s="38">
        <f t="shared" si="2"/>
        <v>87710</v>
      </c>
      <c r="N13" s="39">
        <f>L13/E6</f>
        <v>41.02325581395349</v>
      </c>
      <c r="O13" s="40">
        <f>M13/F6</f>
        <v>41.529356060606062</v>
      </c>
    </row>
    <row r="14" spans="1:15">
      <c r="A14" s="31">
        <v>4</v>
      </c>
      <c r="B14" s="32" t="s">
        <v>35</v>
      </c>
      <c r="C14" s="33">
        <v>20.68</v>
      </c>
      <c r="D14" s="34"/>
      <c r="E14" s="33"/>
      <c r="F14" s="33">
        <v>0.08</v>
      </c>
      <c r="G14" s="35">
        <f>'14-7-26'!G14+'15-07-26'!F14</f>
        <v>1.2</v>
      </c>
      <c r="H14" s="42">
        <f>F14/E6</f>
        <v>6.2015503875968996E-4</v>
      </c>
      <c r="I14" s="33">
        <f t="shared" si="0"/>
        <v>20.6</v>
      </c>
      <c r="J14" s="43">
        <f>G14/F6</f>
        <v>5.6818181818181815E-4</v>
      </c>
      <c r="K14" s="35">
        <v>750000</v>
      </c>
      <c r="L14" s="38">
        <f t="shared" si="1"/>
        <v>60.000000000000007</v>
      </c>
      <c r="M14" s="38">
        <f t="shared" si="2"/>
        <v>899.99999999999989</v>
      </c>
      <c r="N14" s="39">
        <f>L14/E6</f>
        <v>0.46511627906976749</v>
      </c>
      <c r="O14" s="40">
        <f>M14/F6</f>
        <v>0.42613636363636359</v>
      </c>
    </row>
    <row r="15" spans="1:15">
      <c r="A15" s="31">
        <v>5</v>
      </c>
      <c r="B15" s="32" t="s">
        <v>36</v>
      </c>
      <c r="C15" s="33">
        <v>213</v>
      </c>
      <c r="D15" s="34"/>
      <c r="E15" s="33"/>
      <c r="F15" s="33">
        <v>15</v>
      </c>
      <c r="G15" s="35">
        <f>'14-7-26'!G15+'15-07-26'!F15</f>
        <v>302</v>
      </c>
      <c r="H15" s="36">
        <f>F15/E6</f>
        <v>0.11627906976744186</v>
      </c>
      <c r="I15" s="33">
        <f t="shared" si="0"/>
        <v>198</v>
      </c>
      <c r="J15" s="37">
        <f>G15/F6</f>
        <v>0.14299242424242425</v>
      </c>
      <c r="K15" s="35">
        <v>350000</v>
      </c>
      <c r="L15" s="38">
        <f t="shared" si="1"/>
        <v>5250</v>
      </c>
      <c r="M15" s="38">
        <f t="shared" si="2"/>
        <v>105700</v>
      </c>
      <c r="N15" s="39">
        <f>L15/E6</f>
        <v>40.697674418604649</v>
      </c>
      <c r="O15" s="40">
        <f>M15/F6</f>
        <v>50.047348484848484</v>
      </c>
    </row>
    <row r="16" spans="1:15">
      <c r="A16" s="31">
        <v>6</v>
      </c>
      <c r="B16" s="32" t="s">
        <v>37</v>
      </c>
      <c r="C16" s="33">
        <v>1751</v>
      </c>
      <c r="D16" s="34"/>
      <c r="E16" s="33"/>
      <c r="F16" s="33">
        <v>30</v>
      </c>
      <c r="G16" s="35">
        <f>'14-7-26'!G16+'15-07-26'!F16</f>
        <v>685</v>
      </c>
      <c r="H16" s="36">
        <f>F16/E6</f>
        <v>0.23255813953488372</v>
      </c>
      <c r="I16" s="33">
        <f t="shared" si="0"/>
        <v>1721</v>
      </c>
      <c r="J16" s="37">
        <f>G16/F6</f>
        <v>0.32433712121212122</v>
      </c>
      <c r="K16" s="35">
        <v>204500</v>
      </c>
      <c r="L16" s="38">
        <f t="shared" si="1"/>
        <v>6135</v>
      </c>
      <c r="M16" s="38">
        <f t="shared" si="2"/>
        <v>140082.5</v>
      </c>
      <c r="N16" s="39">
        <f>L16/E6</f>
        <v>47.558139534883722</v>
      </c>
      <c r="O16" s="40">
        <f>M16/F6</f>
        <v>66.326941287878782</v>
      </c>
    </row>
    <row r="17" spans="1:15">
      <c r="A17" s="31">
        <v>7</v>
      </c>
      <c r="B17" s="32" t="s">
        <v>38</v>
      </c>
      <c r="C17" s="33">
        <v>1077</v>
      </c>
      <c r="D17" s="34"/>
      <c r="E17" s="33"/>
      <c r="F17" s="33">
        <v>45</v>
      </c>
      <c r="G17" s="35">
        <f>'14-7-26'!G17+'15-07-26'!F17</f>
        <v>718</v>
      </c>
      <c r="H17" s="36">
        <f>F17/E6</f>
        <v>0.34883720930232559</v>
      </c>
      <c r="I17" s="33">
        <f t="shared" si="0"/>
        <v>1032</v>
      </c>
      <c r="J17" s="37">
        <f>G17/F6</f>
        <v>0.33996212121212122</v>
      </c>
      <c r="K17" s="35">
        <v>129500</v>
      </c>
      <c r="L17" s="38">
        <f t="shared" si="1"/>
        <v>5827.5</v>
      </c>
      <c r="M17" s="38">
        <f t="shared" si="2"/>
        <v>92981</v>
      </c>
      <c r="N17" s="39">
        <f>L17/E6</f>
        <v>45.174418604651166</v>
      </c>
      <c r="O17" s="40">
        <f>M17/F6</f>
        <v>44.025094696969695</v>
      </c>
    </row>
    <row r="18" spans="1:15">
      <c r="A18" s="31">
        <v>8</v>
      </c>
      <c r="B18" s="32" t="s">
        <v>39</v>
      </c>
      <c r="C18" s="33">
        <v>730</v>
      </c>
      <c r="D18" s="33"/>
      <c r="E18" s="33"/>
      <c r="F18" s="33">
        <v>20</v>
      </c>
      <c r="G18" s="35">
        <f>'14-7-26'!G18+'15-07-26'!F18</f>
        <v>275</v>
      </c>
      <c r="H18" s="36">
        <f>F18/E6</f>
        <v>0.15503875968992248</v>
      </c>
      <c r="I18" s="33">
        <f t="shared" si="0"/>
        <v>710</v>
      </c>
      <c r="J18" s="37">
        <f>G18/F6</f>
        <v>0.13020833333333334</v>
      </c>
      <c r="K18" s="35">
        <v>219500</v>
      </c>
      <c r="L18" s="38">
        <f t="shared" si="1"/>
        <v>4390</v>
      </c>
      <c r="M18" s="38">
        <f t="shared" si="2"/>
        <v>60362.500000000007</v>
      </c>
      <c r="N18" s="39">
        <f>L18/E6</f>
        <v>34.031007751937985</v>
      </c>
      <c r="O18" s="40">
        <f>M18/F6</f>
        <v>28.580729166666671</v>
      </c>
    </row>
    <row r="19" spans="1:15">
      <c r="A19" s="31">
        <v>9</v>
      </c>
      <c r="B19" s="32" t="s">
        <v>40</v>
      </c>
      <c r="C19" s="33">
        <v>20</v>
      </c>
      <c r="D19" s="34"/>
      <c r="E19" s="33"/>
      <c r="F19" s="33">
        <v>0</v>
      </c>
      <c r="G19" s="35">
        <f>'14-7-26'!G19+'15-07-26'!F19</f>
        <v>0</v>
      </c>
      <c r="H19" s="36">
        <f>F19/E6</f>
        <v>0</v>
      </c>
      <c r="I19" s="33">
        <f t="shared" si="0"/>
        <v>20</v>
      </c>
      <c r="J19" s="37">
        <f>G19/F6</f>
        <v>0</v>
      </c>
      <c r="K19" s="35">
        <v>348200</v>
      </c>
      <c r="L19" s="38">
        <f t="shared" si="1"/>
        <v>0</v>
      </c>
      <c r="M19" s="44">
        <f t="shared" si="2"/>
        <v>0</v>
      </c>
      <c r="N19" s="39">
        <f>L19/E6</f>
        <v>0</v>
      </c>
      <c r="O19" s="40">
        <f>M19/F6</f>
        <v>0</v>
      </c>
    </row>
    <row r="20" spans="1:15">
      <c r="A20" s="45">
        <v>10</v>
      </c>
      <c r="B20" s="46" t="s">
        <v>41</v>
      </c>
      <c r="C20" s="47">
        <v>3025</v>
      </c>
      <c r="D20" s="47"/>
      <c r="E20" s="47"/>
      <c r="F20" s="47">
        <v>390</v>
      </c>
      <c r="G20" s="35">
        <f>'14-7-26'!G20+'15-07-26'!F20</f>
        <v>1315</v>
      </c>
      <c r="H20" s="48">
        <f>F20/E6</f>
        <v>3.0232558139534884</v>
      </c>
      <c r="I20" s="47">
        <f t="shared" si="0"/>
        <v>2635</v>
      </c>
      <c r="J20" s="48">
        <f>G20/F6</f>
        <v>0.6226325757575758</v>
      </c>
      <c r="K20" s="49">
        <v>172000</v>
      </c>
      <c r="L20" s="50">
        <f t="shared" si="1"/>
        <v>67080</v>
      </c>
      <c r="M20" s="50">
        <f t="shared" si="2"/>
        <v>226180</v>
      </c>
      <c r="N20" s="50">
        <f>L20/E6</f>
        <v>520</v>
      </c>
      <c r="O20" s="51">
        <f>M20/F6</f>
        <v>107.09280303030303</v>
      </c>
    </row>
    <row r="21" spans="1:15">
      <c r="A21" s="52">
        <v>11</v>
      </c>
      <c r="B21" s="53" t="s">
        <v>42</v>
      </c>
      <c r="C21" s="54">
        <v>48</v>
      </c>
      <c r="D21" s="54"/>
      <c r="E21" s="54"/>
      <c r="F21" s="54">
        <v>0</v>
      </c>
      <c r="G21" s="35">
        <f>'14-7-26'!G21+'15-07-26'!F21</f>
        <v>0</v>
      </c>
      <c r="H21" s="48">
        <f>F21/E6</f>
        <v>0</v>
      </c>
      <c r="I21" s="54">
        <f t="shared" si="0"/>
        <v>48</v>
      </c>
      <c r="J21" s="55">
        <f>G21/F6</f>
        <v>0</v>
      </c>
      <c r="K21" s="54">
        <v>200000</v>
      </c>
      <c r="L21" s="56">
        <f t="shared" si="1"/>
        <v>0</v>
      </c>
      <c r="M21" s="56">
        <f t="shared" si="2"/>
        <v>0</v>
      </c>
      <c r="N21" s="56">
        <f>L21/E6</f>
        <v>0</v>
      </c>
      <c r="O21" s="57">
        <f>M21/F6</f>
        <v>0</v>
      </c>
    </row>
    <row r="22" spans="1:15">
      <c r="A22" s="58">
        <v>12</v>
      </c>
      <c r="B22" s="59" t="s">
        <v>43</v>
      </c>
      <c r="C22" s="60">
        <v>77.3</v>
      </c>
      <c r="D22" s="61"/>
      <c r="E22" s="61"/>
      <c r="F22" s="62">
        <v>5.2</v>
      </c>
      <c r="G22" s="35">
        <f>'14-7-26'!G22+'15-07-26'!F22</f>
        <v>91.100000000000023</v>
      </c>
      <c r="H22" s="64">
        <f>F22/E6</f>
        <v>4.0310077519379844E-2</v>
      </c>
      <c r="I22" s="65">
        <f t="shared" si="0"/>
        <v>72.099999999999994</v>
      </c>
      <c r="J22" s="66">
        <f>G22/F6</f>
        <v>4.3134469696969706E-2</v>
      </c>
      <c r="K22" s="60">
        <v>377600</v>
      </c>
      <c r="L22" s="67">
        <f t="shared" si="1"/>
        <v>1963.52</v>
      </c>
      <c r="M22" s="67">
        <f t="shared" si="2"/>
        <v>34399.360000000008</v>
      </c>
      <c r="N22" s="67">
        <f>L22/E6</f>
        <v>15.221085271317829</v>
      </c>
      <c r="O22" s="68">
        <f>M22/F6</f>
        <v>16.287575757575762</v>
      </c>
    </row>
    <row r="23" spans="1:15">
      <c r="A23" s="58">
        <v>13</v>
      </c>
      <c r="B23" s="59" t="s">
        <v>44</v>
      </c>
      <c r="C23" s="60">
        <v>83.8</v>
      </c>
      <c r="D23" s="61"/>
      <c r="E23" s="61"/>
      <c r="F23" s="62">
        <v>3.1</v>
      </c>
      <c r="G23" s="35">
        <f>'14-7-26'!G23+'15-07-26'!F23</f>
        <v>53.8</v>
      </c>
      <c r="H23" s="66">
        <f>F23/E6</f>
        <v>2.4031007751937984E-2</v>
      </c>
      <c r="I23" s="60">
        <f t="shared" si="0"/>
        <v>80.7</v>
      </c>
      <c r="J23" s="66">
        <f>G23/F6</f>
        <v>2.5473484848484846E-2</v>
      </c>
      <c r="K23" s="60">
        <v>271400</v>
      </c>
      <c r="L23" s="67">
        <f t="shared" si="1"/>
        <v>841.33999999999992</v>
      </c>
      <c r="M23" s="67">
        <f t="shared" si="2"/>
        <v>14601.32</v>
      </c>
      <c r="N23" s="67">
        <f>L23/E6</f>
        <v>6.5220155038759682</v>
      </c>
      <c r="O23" s="68">
        <f>M23/F6</f>
        <v>6.9135037878787875</v>
      </c>
    </row>
    <row r="24" spans="1:15">
      <c r="A24" s="58">
        <v>14</v>
      </c>
      <c r="B24" s="59" t="s">
        <v>45</v>
      </c>
      <c r="C24" s="60">
        <v>1206</v>
      </c>
      <c r="D24" s="61"/>
      <c r="E24" s="61"/>
      <c r="F24" s="62">
        <v>45.1</v>
      </c>
      <c r="G24" s="35">
        <f>'14-7-26'!G24+'15-07-26'!F24</f>
        <v>778.3</v>
      </c>
      <c r="H24" s="66">
        <f>F24/E6</f>
        <v>0.34961240310077518</v>
      </c>
      <c r="I24" s="61">
        <f t="shared" si="0"/>
        <v>1160.9000000000001</v>
      </c>
      <c r="J24" s="66">
        <f>G24/F6</f>
        <v>0.36851325757575754</v>
      </c>
      <c r="K24" s="60">
        <v>271400</v>
      </c>
      <c r="L24" s="67">
        <f t="shared" si="1"/>
        <v>12240.14</v>
      </c>
      <c r="M24" s="67">
        <f t="shared" si="2"/>
        <v>211230.62</v>
      </c>
      <c r="N24" s="67">
        <f>L24/E6</f>
        <v>94.88480620155039</v>
      </c>
      <c r="O24" s="68">
        <f>M24/F6</f>
        <v>100.0144981060606</v>
      </c>
    </row>
    <row r="25" spans="1:15">
      <c r="A25" s="69">
        <v>15</v>
      </c>
      <c r="B25" s="70" t="s">
        <v>46</v>
      </c>
      <c r="C25" s="71">
        <v>91</v>
      </c>
      <c r="D25" s="72"/>
      <c r="E25" s="72"/>
      <c r="F25" s="34">
        <v>3</v>
      </c>
      <c r="G25" s="35">
        <f>'14-7-26'!G25+'15-07-26'!F25</f>
        <v>9</v>
      </c>
      <c r="H25" s="73">
        <f>F25/E6</f>
        <v>2.3255813953488372E-2</v>
      </c>
      <c r="I25" s="34">
        <f t="shared" si="0"/>
        <v>88</v>
      </c>
      <c r="J25" s="73">
        <f>G25/F6</f>
        <v>4.261363636363636E-3</v>
      </c>
      <c r="K25" s="34">
        <v>41000</v>
      </c>
      <c r="L25" s="44">
        <f t="shared" si="1"/>
        <v>123</v>
      </c>
      <c r="M25" s="44">
        <f t="shared" si="2"/>
        <v>369</v>
      </c>
      <c r="N25" s="74">
        <f>L25/E6</f>
        <v>0.95348837209302328</v>
      </c>
      <c r="O25" s="75">
        <f>M25/F6</f>
        <v>0.17471590909090909</v>
      </c>
    </row>
    <row r="26" spans="1:15">
      <c r="A26" s="69">
        <v>16</v>
      </c>
      <c r="B26" s="70" t="s">
        <v>47</v>
      </c>
      <c r="C26" s="71">
        <v>361.6</v>
      </c>
      <c r="D26" s="72"/>
      <c r="E26" s="72"/>
      <c r="F26" s="34">
        <v>10</v>
      </c>
      <c r="G26" s="35">
        <f>'14-7-26'!G26+'15-07-26'!F26</f>
        <v>94</v>
      </c>
      <c r="H26" s="73">
        <f>F26/E6</f>
        <v>7.7519379844961239E-2</v>
      </c>
      <c r="I26" s="34">
        <f t="shared" si="0"/>
        <v>351.6</v>
      </c>
      <c r="J26" s="73">
        <f>G26/F6</f>
        <v>4.450757575757576E-2</v>
      </c>
      <c r="K26" s="34">
        <v>24000</v>
      </c>
      <c r="L26" s="44">
        <f t="shared" si="1"/>
        <v>240</v>
      </c>
      <c r="M26" s="44">
        <f t="shared" si="2"/>
        <v>2256</v>
      </c>
      <c r="N26" s="74">
        <f>L26/E6</f>
        <v>1.8604651162790697</v>
      </c>
      <c r="O26" s="75">
        <f>M26/F6</f>
        <v>1.0681818181818181</v>
      </c>
    </row>
    <row r="27" spans="1:15">
      <c r="A27" s="69">
        <v>17</v>
      </c>
      <c r="B27" s="70" t="s">
        <v>48</v>
      </c>
      <c r="C27" s="71">
        <v>380</v>
      </c>
      <c r="D27" s="72"/>
      <c r="E27" s="72"/>
      <c r="F27" s="34">
        <v>0</v>
      </c>
      <c r="G27" s="35">
        <f>'14-7-26'!G27+'15-07-26'!F27</f>
        <v>0</v>
      </c>
      <c r="H27" s="73">
        <f>F27/E6</f>
        <v>0</v>
      </c>
      <c r="I27" s="34">
        <f t="shared" si="0"/>
        <v>380</v>
      </c>
      <c r="J27" s="73">
        <f>G27/F6</f>
        <v>0</v>
      </c>
      <c r="K27" s="34">
        <v>13210</v>
      </c>
      <c r="L27" s="44">
        <f t="shared" si="1"/>
        <v>0</v>
      </c>
      <c r="M27" s="44">
        <f t="shared" si="2"/>
        <v>0</v>
      </c>
      <c r="N27" s="74">
        <f>L27/E6</f>
        <v>0</v>
      </c>
      <c r="O27" s="75">
        <f>M27/F6</f>
        <v>0</v>
      </c>
    </row>
    <row r="28" spans="1:15">
      <c r="A28" s="69">
        <v>18</v>
      </c>
      <c r="B28" s="70" t="s">
        <v>49</v>
      </c>
      <c r="C28" s="71">
        <v>160</v>
      </c>
      <c r="D28" s="72"/>
      <c r="E28" s="34"/>
      <c r="F28" s="34">
        <v>10</v>
      </c>
      <c r="G28" s="35">
        <f>'14-7-26'!G28+'15-07-26'!F28</f>
        <v>100</v>
      </c>
      <c r="H28" s="73">
        <f>F28/E6</f>
        <v>7.7519379844961239E-2</v>
      </c>
      <c r="I28" s="34">
        <f t="shared" si="0"/>
        <v>150</v>
      </c>
      <c r="J28" s="73">
        <f>G28/F6</f>
        <v>4.7348484848484848E-2</v>
      </c>
      <c r="K28" s="34">
        <v>14400</v>
      </c>
      <c r="L28" s="44">
        <f t="shared" si="1"/>
        <v>144</v>
      </c>
      <c r="M28" s="44">
        <f t="shared" si="2"/>
        <v>1440</v>
      </c>
      <c r="N28" s="74">
        <f>L28/E6</f>
        <v>1.1162790697674418</v>
      </c>
      <c r="O28" s="75">
        <f>M28/F6</f>
        <v>0.68181818181818177</v>
      </c>
    </row>
    <row r="29" spans="1:15">
      <c r="A29" s="69">
        <v>19</v>
      </c>
      <c r="B29" s="70" t="s">
        <v>50</v>
      </c>
      <c r="C29" s="71">
        <v>155.4</v>
      </c>
      <c r="D29" s="34"/>
      <c r="E29" s="72"/>
      <c r="F29" s="34">
        <v>3.5</v>
      </c>
      <c r="G29" s="35">
        <f>'14-7-26'!G29+'15-07-26'!F29</f>
        <v>53.5</v>
      </c>
      <c r="H29" s="73">
        <f>F29/E6</f>
        <v>2.7131782945736434E-2</v>
      </c>
      <c r="I29" s="34">
        <f t="shared" si="0"/>
        <v>151.9</v>
      </c>
      <c r="J29" s="73">
        <f>G29/F6</f>
        <v>2.5331439393939392E-2</v>
      </c>
      <c r="K29" s="34">
        <v>102000</v>
      </c>
      <c r="L29" s="44">
        <f t="shared" si="1"/>
        <v>357</v>
      </c>
      <c r="M29" s="44">
        <f t="shared" si="2"/>
        <v>5457</v>
      </c>
      <c r="N29" s="74">
        <f>L29/E6</f>
        <v>2.7674418604651163</v>
      </c>
      <c r="O29" s="75">
        <f>M29/F6</f>
        <v>2.5838068181818183</v>
      </c>
    </row>
    <row r="30" spans="1:15">
      <c r="A30" s="69">
        <v>20</v>
      </c>
      <c r="B30" s="70" t="s">
        <v>51</v>
      </c>
      <c r="C30" s="71">
        <v>110</v>
      </c>
      <c r="D30" s="72"/>
      <c r="E30" s="72"/>
      <c r="F30" s="34">
        <v>5</v>
      </c>
      <c r="G30" s="35">
        <f>'14-7-26'!G30+'15-07-26'!F30</f>
        <v>75</v>
      </c>
      <c r="H30" s="73">
        <f>F30/E6</f>
        <v>3.875968992248062E-2</v>
      </c>
      <c r="I30" s="34">
        <f t="shared" si="0"/>
        <v>105</v>
      </c>
      <c r="J30" s="73">
        <f>G30/F6</f>
        <v>3.551136363636364E-2</v>
      </c>
      <c r="K30" s="34">
        <v>107000</v>
      </c>
      <c r="L30" s="44">
        <f t="shared" si="1"/>
        <v>535</v>
      </c>
      <c r="M30" s="44">
        <f t="shared" si="2"/>
        <v>8025</v>
      </c>
      <c r="N30" s="74">
        <f>L30/E6</f>
        <v>4.1472868217054266</v>
      </c>
      <c r="O30" s="75">
        <f>M30/F6</f>
        <v>3.7997159090909092</v>
      </c>
    </row>
    <row r="31" spans="1:15">
      <c r="A31" s="69">
        <v>21</v>
      </c>
      <c r="B31" s="70" t="s">
        <v>52</v>
      </c>
      <c r="C31" s="71">
        <v>127</v>
      </c>
      <c r="D31" s="72"/>
      <c r="E31" s="72"/>
      <c r="F31" s="34">
        <v>3</v>
      </c>
      <c r="G31" s="35">
        <f>'14-7-26'!G31+'15-07-26'!F31</f>
        <v>45</v>
      </c>
      <c r="H31" s="73">
        <f>F31/E6</f>
        <v>2.3255813953488372E-2</v>
      </c>
      <c r="I31" s="34">
        <f t="shared" si="0"/>
        <v>124</v>
      </c>
      <c r="J31" s="73">
        <f>G31/F6</f>
        <v>2.130681818181818E-2</v>
      </c>
      <c r="K31" s="34">
        <v>100000</v>
      </c>
      <c r="L31" s="44">
        <f t="shared" si="1"/>
        <v>300</v>
      </c>
      <c r="M31" s="44">
        <f t="shared" si="2"/>
        <v>4500</v>
      </c>
      <c r="N31" s="74">
        <f>L31/E6</f>
        <v>2.3255813953488373</v>
      </c>
      <c r="O31" s="75">
        <f>M31/F6</f>
        <v>2.1306818181818183</v>
      </c>
    </row>
    <row r="32" spans="1:15">
      <c r="A32" s="69">
        <v>22</v>
      </c>
      <c r="B32" s="70" t="s">
        <v>53</v>
      </c>
      <c r="C32" s="71">
        <v>50</v>
      </c>
      <c r="D32" s="72"/>
      <c r="E32" s="72"/>
      <c r="F32" s="34">
        <v>1</v>
      </c>
      <c r="G32" s="35">
        <f>'14-7-26'!G32+'15-07-26'!F32</f>
        <v>15</v>
      </c>
      <c r="H32" s="73">
        <f>F32/E6</f>
        <v>7.7519379844961239E-3</v>
      </c>
      <c r="I32" s="34">
        <f t="shared" si="0"/>
        <v>49</v>
      </c>
      <c r="J32" s="73">
        <f>G32/F6</f>
        <v>7.102272727272727E-3</v>
      </c>
      <c r="K32" s="34">
        <v>255000</v>
      </c>
      <c r="L32" s="44">
        <f t="shared" si="1"/>
        <v>255</v>
      </c>
      <c r="M32" s="44">
        <f t="shared" si="2"/>
        <v>3825</v>
      </c>
      <c r="N32" s="74">
        <f>L32/E6</f>
        <v>1.9767441860465116</v>
      </c>
      <c r="O32" s="76">
        <f>M32/F6</f>
        <v>1.8110795454545454</v>
      </c>
    </row>
    <row r="33" spans="1:15">
      <c r="A33" s="69">
        <v>23</v>
      </c>
      <c r="B33" s="70" t="s">
        <v>54</v>
      </c>
      <c r="C33" s="71">
        <v>480</v>
      </c>
      <c r="D33" s="72"/>
      <c r="E33" s="72"/>
      <c r="F33" s="34">
        <v>0</v>
      </c>
      <c r="G33" s="35">
        <f>'14-7-26'!G33+'15-07-26'!F33</f>
        <v>0</v>
      </c>
      <c r="H33" s="73">
        <f>F33/E6</f>
        <v>0</v>
      </c>
      <c r="I33" s="34">
        <f t="shared" si="0"/>
        <v>480</v>
      </c>
      <c r="J33" s="73">
        <f>G33/F6</f>
        <v>0</v>
      </c>
      <c r="K33" s="34">
        <v>56000</v>
      </c>
      <c r="L33" s="44">
        <f t="shared" si="1"/>
        <v>0</v>
      </c>
      <c r="M33" s="44">
        <f t="shared" si="2"/>
        <v>0</v>
      </c>
      <c r="N33" s="981">
        <f>L33/F6</f>
        <v>0</v>
      </c>
      <c r="O33" s="74">
        <f>M33/F6</f>
        <v>0</v>
      </c>
    </row>
    <row r="34" spans="1:15" ht="16.5" thickBot="1">
      <c r="A34" s="78">
        <v>24</v>
      </c>
      <c r="B34" s="79" t="s">
        <v>55</v>
      </c>
      <c r="C34" s="80">
        <v>0</v>
      </c>
      <c r="D34" s="81"/>
      <c r="E34" s="81"/>
      <c r="F34" s="82">
        <v>0</v>
      </c>
      <c r="G34" s="142">
        <f>'14-7-26'!G34+'15-07-26'!F34</f>
        <v>0</v>
      </c>
      <c r="H34" s="143">
        <f>F34/E6</f>
        <v>0</v>
      </c>
      <c r="I34" s="144">
        <f t="shared" si="0"/>
        <v>0</v>
      </c>
      <c r="J34" s="143">
        <f>G34/F6</f>
        <v>0</v>
      </c>
      <c r="K34" s="144">
        <v>90000</v>
      </c>
      <c r="L34" s="145">
        <f t="shared" si="1"/>
        <v>0</v>
      </c>
      <c r="M34" s="145">
        <f t="shared" si="2"/>
        <v>0</v>
      </c>
      <c r="N34" s="982">
        <f>L34/F6</f>
        <v>0</v>
      </c>
      <c r="O34" s="983">
        <f>M34/F6</f>
        <v>0</v>
      </c>
    </row>
    <row r="35" spans="1:15" ht="14.25" customHeight="1" thickBot="1">
      <c r="A35" s="89" t="s">
        <v>56</v>
      </c>
      <c r="B35" s="90" t="s">
        <v>57</v>
      </c>
      <c r="C35" s="91" t="s">
        <v>58</v>
      </c>
      <c r="D35" s="1457" t="s">
        <v>59</v>
      </c>
      <c r="E35" s="1457"/>
      <c r="F35" s="1458"/>
      <c r="G35" s="1450"/>
      <c r="H35" s="1450"/>
      <c r="I35" s="1450"/>
      <c r="J35" s="1450"/>
      <c r="K35" s="1450"/>
      <c r="L35" s="1451"/>
      <c r="M35" s="1005" t="s">
        <v>60</v>
      </c>
      <c r="N35" s="1006">
        <f>SUM(N11,N12,N13,N14,N15,N16,N17,N18,N19,N20,N21,N22,N23,N24,N25,N26,N27,N28,N29,N30,N31,N32,N33,N34)</f>
        <v>1605.4767441860465</v>
      </c>
      <c r="O35" s="1007">
        <f>SUM(O11,O12,O13,O14,O15,O16,O17,O18,O19,O20,O21,O22,O23,O24,O25,O26,O27,O28,O29,O30,O31,O32,O33,O34,)</f>
        <v>1313.2103693181818</v>
      </c>
    </row>
    <row r="36" spans="1:15" ht="14.25" customHeight="1" thickTop="1" thickBot="1">
      <c r="A36" s="31">
        <v>1</v>
      </c>
      <c r="B36" s="33" t="s">
        <v>98</v>
      </c>
      <c r="C36" s="33">
        <v>34</v>
      </c>
      <c r="D36" s="1447"/>
      <c r="E36" s="1448"/>
      <c r="F36" s="95">
        <v>57.5</v>
      </c>
      <c r="G36" s="1103"/>
      <c r="H36" s="1103"/>
      <c r="I36" s="1103"/>
      <c r="J36" s="1103"/>
      <c r="K36" s="1103"/>
      <c r="L36" s="1452"/>
      <c r="M36" s="1008"/>
      <c r="N36" s="151" t="s">
        <v>17</v>
      </c>
      <c r="O36" s="1009" t="s">
        <v>17</v>
      </c>
    </row>
    <row r="37" spans="1:15" ht="14.25" customHeight="1" thickTop="1" thickBot="1">
      <c r="A37" s="31">
        <v>2</v>
      </c>
      <c r="B37" s="33" t="s">
        <v>95</v>
      </c>
      <c r="C37" s="33">
        <v>13</v>
      </c>
      <c r="D37" s="1096"/>
      <c r="E37" s="1449"/>
      <c r="F37" s="98">
        <v>22</v>
      </c>
      <c r="G37" s="1103"/>
      <c r="H37" s="1103"/>
      <c r="I37" s="1103"/>
      <c r="J37" s="1103"/>
      <c r="K37" s="1103"/>
      <c r="L37" s="1452"/>
      <c r="M37" s="1010"/>
      <c r="N37" s="271" t="s">
        <v>102</v>
      </c>
      <c r="O37" s="1011" t="s">
        <v>103</v>
      </c>
    </row>
    <row r="38" spans="1:15" ht="16.5" customHeight="1" thickTop="1" thickBot="1">
      <c r="A38" s="31">
        <v>3</v>
      </c>
      <c r="B38" s="33" t="s">
        <v>110</v>
      </c>
      <c r="C38" s="34">
        <v>5</v>
      </c>
      <c r="D38" s="1096"/>
      <c r="E38" s="1449"/>
      <c r="F38" s="101">
        <v>8.5</v>
      </c>
      <c r="G38" s="1103"/>
      <c r="H38" s="1103"/>
      <c r="I38" s="1103"/>
      <c r="J38" s="1103"/>
      <c r="K38" s="1103"/>
      <c r="L38" s="1452"/>
      <c r="M38" s="1012" t="s">
        <v>60</v>
      </c>
      <c r="N38" s="1013">
        <f>N35/1000</f>
        <v>1.6054767441860465</v>
      </c>
      <c r="O38" s="1014">
        <f>O35/1000</f>
        <v>1.3132103693181818</v>
      </c>
    </row>
    <row r="39" spans="1:15" ht="14.25" customHeight="1" thickBot="1">
      <c r="A39" s="104">
        <v>4</v>
      </c>
      <c r="B39" s="159" t="s">
        <v>111</v>
      </c>
      <c r="C39" s="105">
        <v>24</v>
      </c>
      <c r="D39" s="1096"/>
      <c r="E39" s="1449"/>
      <c r="F39" s="106">
        <v>41</v>
      </c>
      <c r="G39" s="1453"/>
      <c r="H39" s="1453"/>
      <c r="I39" s="1453"/>
      <c r="J39" s="1453"/>
      <c r="K39" s="1453"/>
      <c r="L39" s="1454"/>
      <c r="M39" s="149"/>
      <c r="N39" s="149"/>
      <c r="O39" s="149"/>
    </row>
    <row r="40" spans="1:15" ht="16.5" customHeight="1">
      <c r="A40" s="110">
        <v>10</v>
      </c>
      <c r="B40" s="111" t="s">
        <v>60</v>
      </c>
      <c r="C40" s="112">
        <f>SUM(C36:C39)</f>
        <v>76</v>
      </c>
      <c r="D40" s="113"/>
      <c r="E40" s="114"/>
      <c r="F40" s="115">
        <f>SUM(F36:F39)</f>
        <v>129</v>
      </c>
      <c r="G40" s="116"/>
      <c r="H40" s="1446"/>
      <c r="I40" s="1446"/>
      <c r="J40" s="117"/>
      <c r="K40" s="118"/>
    </row>
    <row r="41" spans="1:15">
      <c r="B41" s="119"/>
    </row>
    <row r="43" spans="1:15">
      <c r="G43" s="119"/>
    </row>
    <row r="44" spans="1:15">
      <c r="G44" s="119"/>
    </row>
  </sheetData>
  <mergeCells count="14">
    <mergeCell ref="H40:I40"/>
    <mergeCell ref="A3:O4"/>
    <mergeCell ref="D36:E39"/>
    <mergeCell ref="G35:L39"/>
    <mergeCell ref="D8:E8"/>
    <mergeCell ref="F8:G8"/>
    <mergeCell ref="L8:M8"/>
    <mergeCell ref="N8:O8"/>
    <mergeCell ref="D35:F35"/>
    <mergeCell ref="A5:O5"/>
    <mergeCell ref="A6:D6"/>
    <mergeCell ref="H6:O6"/>
    <mergeCell ref="A7:B7"/>
    <mergeCell ref="C7:D7"/>
  </mergeCells>
  <pageMargins left="0.15748031496062992" right="0.15748031496062992" top="0.94488188976377963" bottom="0.35433070866141736" header="0.31496062992125984" footer="0.31496062992125984"/>
  <pageSetup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O44"/>
  <sheetViews>
    <sheetView topLeftCell="A3" workbookViewId="0">
      <selection activeCell="E11" sqref="E11"/>
    </sheetView>
  </sheetViews>
  <sheetFormatPr defaultColWidth="9.140625" defaultRowHeight="15.75"/>
  <cols>
    <col min="1" max="1" width="5.85546875" style="1" customWidth="1"/>
    <col min="2" max="2" width="34.42578125" style="1" customWidth="1"/>
    <col min="3" max="3" width="12.42578125" style="1" customWidth="1"/>
    <col min="4" max="4" width="6.42578125" style="1" customWidth="1"/>
    <col min="5" max="5" width="7.28515625" style="1" customWidth="1"/>
    <col min="6" max="6" width="11.85546875" style="1" customWidth="1"/>
    <col min="7" max="7" width="14.140625" style="1" customWidth="1"/>
    <col min="8" max="8" width="16.140625" style="1" customWidth="1"/>
    <col min="9" max="9" width="10.85546875" style="1" customWidth="1"/>
    <col min="10" max="10" width="16.140625" style="1" customWidth="1"/>
    <col min="11" max="11" width="8.42578125" style="1" customWidth="1"/>
    <col min="12" max="12" width="10.7109375" style="1" customWidth="1"/>
    <col min="13" max="13" width="11.85546875" style="1" customWidth="1"/>
    <col min="14" max="14" width="12.42578125" style="1" customWidth="1"/>
    <col min="15" max="15" width="13.85546875" style="1" customWidth="1"/>
    <col min="16" max="16384" width="9.140625" style="1"/>
  </cols>
  <sheetData>
    <row r="3" spans="1:15">
      <c r="A3" s="1389" t="s">
        <v>0</v>
      </c>
      <c r="B3" s="1390"/>
      <c r="C3" s="1390"/>
      <c r="D3" s="1390"/>
      <c r="E3" s="1390"/>
      <c r="F3" s="1390"/>
      <c r="G3" s="1390"/>
      <c r="H3" s="1390"/>
      <c r="I3" s="1390"/>
      <c r="J3" s="1390"/>
      <c r="K3" s="1390"/>
      <c r="L3" s="1390"/>
      <c r="M3" s="1390"/>
      <c r="N3" s="1390"/>
      <c r="O3" s="1391"/>
    </row>
    <row r="4" spans="1:15">
      <c r="A4" s="1392"/>
      <c r="B4" s="1393"/>
      <c r="C4" s="1393"/>
      <c r="D4" s="1393"/>
      <c r="E4" s="1393"/>
      <c r="F4" s="1393"/>
      <c r="G4" s="1393"/>
      <c r="H4" s="1393"/>
      <c r="I4" s="1393"/>
      <c r="J4" s="1393"/>
      <c r="K4" s="1393"/>
      <c r="L4" s="1393"/>
      <c r="M4" s="1393"/>
      <c r="N4" s="1393"/>
      <c r="O4" s="1394"/>
    </row>
    <row r="5" spans="1:15" ht="19.5">
      <c r="A5" s="1402" t="s">
        <v>1</v>
      </c>
      <c r="B5" s="1403"/>
      <c r="C5" s="1403"/>
      <c r="D5" s="1403"/>
      <c r="E5" s="1403"/>
      <c r="F5" s="1403"/>
      <c r="G5" s="1403"/>
      <c r="H5" s="1403"/>
      <c r="I5" s="1403"/>
      <c r="J5" s="1403"/>
      <c r="K5" s="1403"/>
      <c r="L5" s="1403"/>
      <c r="M5" s="1403"/>
      <c r="N5" s="1403"/>
      <c r="O5" s="1404"/>
    </row>
    <row r="6" spans="1:15" ht="19.5">
      <c r="A6" s="1405" t="s">
        <v>2</v>
      </c>
      <c r="B6" s="1406"/>
      <c r="C6" s="1406"/>
      <c r="D6" s="1407"/>
      <c r="E6" s="121">
        <v>142</v>
      </c>
      <c r="F6" s="120">
        <v>2254</v>
      </c>
      <c r="G6" s="122">
        <v>140.875</v>
      </c>
      <c r="H6" s="1408" t="s">
        <v>112</v>
      </c>
      <c r="I6" s="1408"/>
      <c r="J6" s="1408"/>
      <c r="K6" s="1408"/>
      <c r="L6" s="1408"/>
      <c r="M6" s="1408"/>
      <c r="N6" s="1408"/>
      <c r="O6" s="1409"/>
    </row>
    <row r="7" spans="1:15">
      <c r="A7" s="1459" t="s">
        <v>5</v>
      </c>
      <c r="B7" s="1460"/>
      <c r="C7" s="1461" t="s">
        <v>6</v>
      </c>
      <c r="D7" s="1462"/>
      <c r="E7" s="123">
        <v>43</v>
      </c>
      <c r="F7" s="6">
        <v>464.5</v>
      </c>
      <c r="G7" s="6" t="s">
        <v>113</v>
      </c>
      <c r="H7" s="124"/>
      <c r="I7" s="124"/>
      <c r="J7" s="124"/>
      <c r="K7" s="125"/>
      <c r="L7" s="125"/>
      <c r="M7" s="125"/>
      <c r="N7" s="126"/>
      <c r="O7" s="127"/>
    </row>
    <row r="8" spans="1:15">
      <c r="A8" s="7" t="s">
        <v>8</v>
      </c>
      <c r="B8" s="8" t="s">
        <v>9</v>
      </c>
      <c r="C8" s="8" t="s">
        <v>10</v>
      </c>
      <c r="D8" s="1455" t="s">
        <v>11</v>
      </c>
      <c r="E8" s="1456"/>
      <c r="F8" s="1396" t="s">
        <v>12</v>
      </c>
      <c r="G8" s="1396"/>
      <c r="H8" s="128" t="s">
        <v>13</v>
      </c>
      <c r="I8" s="129" t="s">
        <v>9</v>
      </c>
      <c r="J8" s="130" t="s">
        <v>14</v>
      </c>
      <c r="K8" s="15" t="s">
        <v>15</v>
      </c>
      <c r="L8" s="1397" t="s">
        <v>16</v>
      </c>
      <c r="M8" s="1397"/>
      <c r="N8" s="1398" t="s">
        <v>17</v>
      </c>
      <c r="O8" s="1399"/>
    </row>
    <row r="9" spans="1:15">
      <c r="A9" s="7" t="s">
        <v>18</v>
      </c>
      <c r="B9" s="8" t="s">
        <v>19</v>
      </c>
      <c r="C9" s="8" t="s">
        <v>20</v>
      </c>
      <c r="D9" s="8" t="s">
        <v>21</v>
      </c>
      <c r="E9" s="13" t="s">
        <v>14</v>
      </c>
      <c r="F9" s="14" t="s">
        <v>21</v>
      </c>
      <c r="G9" s="14" t="s">
        <v>14</v>
      </c>
      <c r="H9" s="9" t="s">
        <v>22</v>
      </c>
      <c r="I9" s="10" t="s">
        <v>23</v>
      </c>
      <c r="J9" s="11" t="s">
        <v>22</v>
      </c>
      <c r="K9" s="12" t="s">
        <v>24</v>
      </c>
      <c r="L9" s="12" t="s">
        <v>25</v>
      </c>
      <c r="M9" s="10" t="s">
        <v>26</v>
      </c>
      <c r="N9" s="15" t="s">
        <v>25</v>
      </c>
      <c r="O9" s="16" t="s">
        <v>26</v>
      </c>
    </row>
    <row r="10" spans="1:15">
      <c r="A10" s="17"/>
      <c r="B10" s="8"/>
      <c r="C10" s="8" t="s">
        <v>27</v>
      </c>
      <c r="D10" s="8" t="s">
        <v>27</v>
      </c>
      <c r="E10" s="8" t="s">
        <v>27</v>
      </c>
      <c r="F10" s="18" t="s">
        <v>27</v>
      </c>
      <c r="G10" s="18" t="s">
        <v>27</v>
      </c>
      <c r="H10" s="9" t="s">
        <v>28</v>
      </c>
      <c r="I10" s="10" t="s">
        <v>27</v>
      </c>
      <c r="J10" s="11" t="s">
        <v>28</v>
      </c>
      <c r="K10" s="12" t="s">
        <v>29</v>
      </c>
      <c r="L10" s="12" t="s">
        <v>30</v>
      </c>
      <c r="M10" s="10" t="s">
        <v>30</v>
      </c>
      <c r="N10" s="12" t="s">
        <v>31</v>
      </c>
      <c r="O10" s="19" t="s">
        <v>31</v>
      </c>
    </row>
    <row r="11" spans="1:15">
      <c r="A11" s="131">
        <v>1</v>
      </c>
      <c r="B11" s="132" t="s">
        <v>32</v>
      </c>
      <c r="C11" s="133">
        <v>20800</v>
      </c>
      <c r="D11" s="134"/>
      <c r="E11" s="133">
        <v>66000</v>
      </c>
      <c r="F11" s="133">
        <v>3100</v>
      </c>
      <c r="G11" s="35">
        <f>'15-07-26'!G11+'16-07-26'!F11</f>
        <v>61700</v>
      </c>
      <c r="H11" s="135">
        <f>F11/E6</f>
        <v>21.830985915492956</v>
      </c>
      <c r="I11" s="133">
        <f t="shared" ref="I11:I34" si="0">(C11-F11)+D11</f>
        <v>17700</v>
      </c>
      <c r="J11" s="136">
        <f>G11/F6</f>
        <v>27.373558118899734</v>
      </c>
      <c r="K11" s="137">
        <v>28500</v>
      </c>
      <c r="L11" s="138">
        <f t="shared" ref="L11:L34" si="1">(F11/1000)*K11</f>
        <v>88350</v>
      </c>
      <c r="M11" s="139">
        <f t="shared" ref="M11:M34" si="2">(G11/1000)*K11</f>
        <v>1758450</v>
      </c>
      <c r="N11" s="140">
        <f>L11/E6</f>
        <v>622.18309859154931</v>
      </c>
      <c r="O11" s="141">
        <f>M11/F6</f>
        <v>780.14640638864239</v>
      </c>
    </row>
    <row r="12" spans="1:15">
      <c r="A12" s="31">
        <v>2</v>
      </c>
      <c r="B12" s="32" t="s">
        <v>33</v>
      </c>
      <c r="C12" s="33">
        <v>5914</v>
      </c>
      <c r="D12" s="34"/>
      <c r="E12" s="33"/>
      <c r="F12" s="33">
        <v>226</v>
      </c>
      <c r="G12" s="35">
        <f>'15-07-26'!G12+'16-07-26'!F12</f>
        <v>3312</v>
      </c>
      <c r="H12" s="36">
        <f>F12/E6</f>
        <v>1.591549295774648</v>
      </c>
      <c r="I12" s="33">
        <f t="shared" si="0"/>
        <v>5688</v>
      </c>
      <c r="J12" s="37">
        <f>G12/F6</f>
        <v>1.4693877551020409</v>
      </c>
      <c r="K12" s="35">
        <v>33500</v>
      </c>
      <c r="L12" s="38">
        <f t="shared" si="1"/>
        <v>7571</v>
      </c>
      <c r="M12" s="38">
        <f t="shared" si="2"/>
        <v>110952</v>
      </c>
      <c r="N12" s="39">
        <f>L12/E6</f>
        <v>53.316901408450704</v>
      </c>
      <c r="O12" s="40">
        <f>M12/F6</f>
        <v>49.224489795918366</v>
      </c>
    </row>
    <row r="13" spans="1:15">
      <c r="A13" s="31">
        <v>3</v>
      </c>
      <c r="B13" s="32" t="s">
        <v>34</v>
      </c>
      <c r="C13" s="33">
        <v>5925</v>
      </c>
      <c r="D13" s="34"/>
      <c r="E13" s="33"/>
      <c r="F13" s="33">
        <v>62</v>
      </c>
      <c r="G13" s="35">
        <f>'15-07-26'!G13+'16-07-26'!F13</f>
        <v>957</v>
      </c>
      <c r="H13" s="36">
        <f>F13/E6</f>
        <v>0.43661971830985913</v>
      </c>
      <c r="I13" s="33">
        <f t="shared" si="0"/>
        <v>5863</v>
      </c>
      <c r="J13" s="37">
        <f>G13/F6</f>
        <v>0.42457852706299909</v>
      </c>
      <c r="K13" s="35">
        <v>98000</v>
      </c>
      <c r="L13" s="38">
        <f t="shared" si="1"/>
        <v>6076</v>
      </c>
      <c r="M13" s="38">
        <f t="shared" si="2"/>
        <v>93786</v>
      </c>
      <c r="N13" s="39">
        <f>L13/E6</f>
        <v>42.7887323943662</v>
      </c>
      <c r="O13" s="40">
        <f>M13/F6</f>
        <v>41.608695652173914</v>
      </c>
    </row>
    <row r="14" spans="1:15">
      <c r="A14" s="31">
        <v>4</v>
      </c>
      <c r="B14" s="32" t="s">
        <v>35</v>
      </c>
      <c r="C14" s="33">
        <v>20.6</v>
      </c>
      <c r="D14" s="34"/>
      <c r="E14" s="33"/>
      <c r="F14" s="33">
        <v>0.08</v>
      </c>
      <c r="G14" s="35">
        <f>'15-07-26'!G14+'16-07-26'!F14</f>
        <v>1.28</v>
      </c>
      <c r="H14" s="42">
        <f>F14/E6</f>
        <v>5.6338028169014088E-4</v>
      </c>
      <c r="I14" s="33">
        <f t="shared" si="0"/>
        <v>20.520000000000003</v>
      </c>
      <c r="J14" s="43">
        <f>G14/F6</f>
        <v>5.6787932564330082E-4</v>
      </c>
      <c r="K14" s="35">
        <v>750000</v>
      </c>
      <c r="L14" s="38">
        <f t="shared" si="1"/>
        <v>60.000000000000007</v>
      </c>
      <c r="M14" s="38">
        <f t="shared" si="2"/>
        <v>960.00000000000011</v>
      </c>
      <c r="N14" s="39">
        <f>L14/E6</f>
        <v>0.42253521126760568</v>
      </c>
      <c r="O14" s="40">
        <f>M14/F6</f>
        <v>0.42590949423247565</v>
      </c>
    </row>
    <row r="15" spans="1:15">
      <c r="A15" s="31">
        <v>5</v>
      </c>
      <c r="B15" s="32" t="s">
        <v>36</v>
      </c>
      <c r="C15" s="33">
        <v>198</v>
      </c>
      <c r="D15" s="34"/>
      <c r="E15" s="33"/>
      <c r="F15" s="33">
        <v>17</v>
      </c>
      <c r="G15" s="35">
        <f>'15-07-26'!G15+'16-07-26'!F15</f>
        <v>319</v>
      </c>
      <c r="H15" s="36">
        <f>F15/E6</f>
        <v>0.11971830985915492</v>
      </c>
      <c r="I15" s="33">
        <f t="shared" si="0"/>
        <v>181</v>
      </c>
      <c r="J15" s="37">
        <f>G15/F6</f>
        <v>0.14152617568766637</v>
      </c>
      <c r="K15" s="35">
        <v>350000</v>
      </c>
      <c r="L15" s="38">
        <f t="shared" si="1"/>
        <v>5950</v>
      </c>
      <c r="M15" s="38">
        <f t="shared" si="2"/>
        <v>111650</v>
      </c>
      <c r="N15" s="39">
        <f>L15/E6</f>
        <v>41.901408450704224</v>
      </c>
      <c r="O15" s="40">
        <f>M15/F6</f>
        <v>49.534161490683232</v>
      </c>
    </row>
    <row r="16" spans="1:15">
      <c r="A16" s="31">
        <v>6</v>
      </c>
      <c r="B16" s="32" t="s">
        <v>37</v>
      </c>
      <c r="C16" s="33">
        <v>1721</v>
      </c>
      <c r="D16" s="34"/>
      <c r="E16" s="33"/>
      <c r="F16" s="33">
        <v>40</v>
      </c>
      <c r="G16" s="35">
        <f>'15-07-26'!G16+'16-07-26'!F16</f>
        <v>725</v>
      </c>
      <c r="H16" s="36">
        <f>F16/E6</f>
        <v>0.28169014084507044</v>
      </c>
      <c r="I16" s="33">
        <f t="shared" si="0"/>
        <v>1681</v>
      </c>
      <c r="J16" s="37">
        <f>G16/F6</f>
        <v>0.32165039929015082</v>
      </c>
      <c r="K16" s="35">
        <v>204500</v>
      </c>
      <c r="L16" s="38">
        <f t="shared" si="1"/>
        <v>8180</v>
      </c>
      <c r="M16" s="38">
        <f t="shared" si="2"/>
        <v>148262.5</v>
      </c>
      <c r="N16" s="39">
        <f>L16/E6</f>
        <v>57.605633802816904</v>
      </c>
      <c r="O16" s="40">
        <f>M16/F6</f>
        <v>65.777506654835847</v>
      </c>
    </row>
    <row r="17" spans="1:15">
      <c r="A17" s="31">
        <v>7</v>
      </c>
      <c r="B17" s="32" t="s">
        <v>38</v>
      </c>
      <c r="C17" s="33">
        <v>1032</v>
      </c>
      <c r="D17" s="34"/>
      <c r="E17" s="33"/>
      <c r="F17" s="33">
        <v>54</v>
      </c>
      <c r="G17" s="35">
        <f>'15-07-26'!G17+'16-07-26'!F17</f>
        <v>772</v>
      </c>
      <c r="H17" s="36">
        <f>F17/E6</f>
        <v>0.38028169014084506</v>
      </c>
      <c r="I17" s="33">
        <f t="shared" si="0"/>
        <v>978</v>
      </c>
      <c r="J17" s="37">
        <f>G17/F6</f>
        <v>0.34250221827861577</v>
      </c>
      <c r="K17" s="35">
        <v>129500</v>
      </c>
      <c r="L17" s="38">
        <f t="shared" si="1"/>
        <v>6993</v>
      </c>
      <c r="M17" s="38">
        <f t="shared" si="2"/>
        <v>99974</v>
      </c>
      <c r="N17" s="39">
        <f>L17/E6</f>
        <v>49.24647887323944</v>
      </c>
      <c r="O17" s="40">
        <f>M17/F6</f>
        <v>44.354037267080749</v>
      </c>
    </row>
    <row r="18" spans="1:15">
      <c r="A18" s="31">
        <v>8</v>
      </c>
      <c r="B18" s="32" t="s">
        <v>39</v>
      </c>
      <c r="C18" s="33">
        <v>710</v>
      </c>
      <c r="D18" s="33"/>
      <c r="E18" s="33"/>
      <c r="F18" s="33">
        <v>20</v>
      </c>
      <c r="G18" s="35">
        <f>'15-07-26'!G18+'16-07-26'!F18</f>
        <v>295</v>
      </c>
      <c r="H18" s="36">
        <f>F18/E6</f>
        <v>0.14084507042253522</v>
      </c>
      <c r="I18" s="33">
        <f t="shared" si="0"/>
        <v>690</v>
      </c>
      <c r="J18" s="37">
        <f>G18/F6</f>
        <v>0.13087843833185447</v>
      </c>
      <c r="K18" s="35">
        <v>219500</v>
      </c>
      <c r="L18" s="38">
        <f t="shared" si="1"/>
        <v>4390</v>
      </c>
      <c r="M18" s="38">
        <f t="shared" si="2"/>
        <v>64752.5</v>
      </c>
      <c r="N18" s="39">
        <f>L18/E6</f>
        <v>30.91549295774648</v>
      </c>
      <c r="O18" s="40">
        <f>M18/F6</f>
        <v>28.727817213842059</v>
      </c>
    </row>
    <row r="19" spans="1:15">
      <c r="A19" s="31">
        <v>9</v>
      </c>
      <c r="B19" s="32" t="s">
        <v>40</v>
      </c>
      <c r="C19" s="33">
        <v>20</v>
      </c>
      <c r="D19" s="34"/>
      <c r="E19" s="33"/>
      <c r="F19" s="33">
        <v>0</v>
      </c>
      <c r="G19" s="35">
        <f>'15-07-26'!G19+'16-07-26'!F19</f>
        <v>0</v>
      </c>
      <c r="H19" s="36">
        <f>F19/E6</f>
        <v>0</v>
      </c>
      <c r="I19" s="33">
        <f t="shared" si="0"/>
        <v>20</v>
      </c>
      <c r="J19" s="37">
        <f>G19/F6</f>
        <v>0</v>
      </c>
      <c r="K19" s="35">
        <v>348200</v>
      </c>
      <c r="L19" s="38">
        <f t="shared" si="1"/>
        <v>0</v>
      </c>
      <c r="M19" s="44">
        <f t="shared" si="2"/>
        <v>0</v>
      </c>
      <c r="N19" s="39">
        <f>L19/E6</f>
        <v>0</v>
      </c>
      <c r="O19" s="40">
        <f>M19/F6</f>
        <v>0</v>
      </c>
    </row>
    <row r="20" spans="1:15">
      <c r="A20" s="45">
        <v>10</v>
      </c>
      <c r="B20" s="46" t="s">
        <v>41</v>
      </c>
      <c r="C20" s="47">
        <v>2635</v>
      </c>
      <c r="D20" s="47"/>
      <c r="E20" s="47"/>
      <c r="F20" s="47">
        <v>135</v>
      </c>
      <c r="G20" s="35">
        <f>'15-07-26'!G20+'16-07-26'!F20</f>
        <v>1450</v>
      </c>
      <c r="H20" s="48">
        <f>F20/E6</f>
        <v>0.95070422535211263</v>
      </c>
      <c r="I20" s="47">
        <f t="shared" si="0"/>
        <v>2500</v>
      </c>
      <c r="J20" s="48">
        <f>G20/F6</f>
        <v>0.64330079858030165</v>
      </c>
      <c r="K20" s="49">
        <v>172000</v>
      </c>
      <c r="L20" s="50">
        <f t="shared" si="1"/>
        <v>23220</v>
      </c>
      <c r="M20" s="50">
        <f t="shared" si="2"/>
        <v>249400</v>
      </c>
      <c r="N20" s="50">
        <f>L20/E6</f>
        <v>163.52112676056339</v>
      </c>
      <c r="O20" s="51">
        <f>M20/F6</f>
        <v>110.64773735581188</v>
      </c>
    </row>
    <row r="21" spans="1:15">
      <c r="A21" s="52">
        <v>11</v>
      </c>
      <c r="B21" s="53" t="s">
        <v>42</v>
      </c>
      <c r="C21" s="54">
        <v>48</v>
      </c>
      <c r="D21" s="54"/>
      <c r="E21" s="54"/>
      <c r="F21" s="54">
        <v>0</v>
      </c>
      <c r="G21" s="35">
        <f>'15-07-26'!G21+'16-07-26'!F21</f>
        <v>0</v>
      </c>
      <c r="H21" s="48">
        <f>F21/E6</f>
        <v>0</v>
      </c>
      <c r="I21" s="54">
        <f t="shared" si="0"/>
        <v>48</v>
      </c>
      <c r="J21" s="55">
        <f>G21/F6</f>
        <v>0</v>
      </c>
      <c r="K21" s="54">
        <v>200000</v>
      </c>
      <c r="L21" s="56">
        <f t="shared" si="1"/>
        <v>0</v>
      </c>
      <c r="M21" s="56">
        <f t="shared" si="2"/>
        <v>0</v>
      </c>
      <c r="N21" s="56">
        <f>L21/E6</f>
        <v>0</v>
      </c>
      <c r="O21" s="57">
        <f>M21/F6</f>
        <v>0</v>
      </c>
    </row>
    <row r="22" spans="1:15">
      <c r="A22" s="58">
        <v>12</v>
      </c>
      <c r="B22" s="59" t="s">
        <v>43</v>
      </c>
      <c r="C22" s="60">
        <v>72.099999999999994</v>
      </c>
      <c r="D22" s="61"/>
      <c r="E22" s="61"/>
      <c r="F22" s="62">
        <v>6.3</v>
      </c>
      <c r="G22" s="35">
        <f>'15-07-26'!G22+'16-07-26'!F22</f>
        <v>97.40000000000002</v>
      </c>
      <c r="H22" s="64">
        <f>F22/E6</f>
        <v>4.4366197183098588E-2</v>
      </c>
      <c r="I22" s="65">
        <f t="shared" si="0"/>
        <v>65.8</v>
      </c>
      <c r="J22" s="66">
        <f>G22/F6</f>
        <v>4.3212067435669931E-2</v>
      </c>
      <c r="K22" s="60">
        <v>377600</v>
      </c>
      <c r="L22" s="67">
        <f t="shared" si="1"/>
        <v>2378.88</v>
      </c>
      <c r="M22" s="67">
        <f t="shared" si="2"/>
        <v>36778.240000000005</v>
      </c>
      <c r="N22" s="67">
        <f>L22/E6</f>
        <v>16.752676056338029</v>
      </c>
      <c r="O22" s="68">
        <f>M22/F6</f>
        <v>16.316876663708964</v>
      </c>
    </row>
    <row r="23" spans="1:15">
      <c r="A23" s="58">
        <v>13</v>
      </c>
      <c r="B23" s="59" t="s">
        <v>44</v>
      </c>
      <c r="C23" s="60">
        <v>80.7</v>
      </c>
      <c r="D23" s="61"/>
      <c r="E23" s="61"/>
      <c r="F23" s="62">
        <v>3.7</v>
      </c>
      <c r="G23" s="35">
        <f>'15-07-26'!G23+'16-07-26'!F23</f>
        <v>57.5</v>
      </c>
      <c r="H23" s="66">
        <f>F23/E6</f>
        <v>2.6056338028169014E-2</v>
      </c>
      <c r="I23" s="60">
        <f t="shared" si="0"/>
        <v>77</v>
      </c>
      <c r="J23" s="66">
        <f>G23/F6</f>
        <v>2.5510204081632654E-2</v>
      </c>
      <c r="K23" s="60">
        <v>271400</v>
      </c>
      <c r="L23" s="67">
        <f t="shared" si="1"/>
        <v>1004.1800000000001</v>
      </c>
      <c r="M23" s="67">
        <f t="shared" si="2"/>
        <v>15605.5</v>
      </c>
      <c r="N23" s="67">
        <f>L23/E6</f>
        <v>7.071690140845071</v>
      </c>
      <c r="O23" s="68">
        <f>M23/F6</f>
        <v>6.9234693877551017</v>
      </c>
    </row>
    <row r="24" spans="1:15">
      <c r="A24" s="58">
        <v>14</v>
      </c>
      <c r="B24" s="59" t="s">
        <v>45</v>
      </c>
      <c r="C24" s="60">
        <v>1160.9000000000001</v>
      </c>
      <c r="D24" s="61"/>
      <c r="E24" s="61"/>
      <c r="F24" s="62">
        <v>54.1</v>
      </c>
      <c r="G24" s="35">
        <f>'15-07-26'!G24+'16-07-26'!F24</f>
        <v>832.4</v>
      </c>
      <c r="H24" s="66">
        <f>F24/E6</f>
        <v>0.38098591549295774</v>
      </c>
      <c r="I24" s="61">
        <f t="shared" si="0"/>
        <v>1106.8000000000002</v>
      </c>
      <c r="J24" s="66">
        <f>G24/F6</f>
        <v>0.36929902395740904</v>
      </c>
      <c r="K24" s="60">
        <v>271400</v>
      </c>
      <c r="L24" s="67">
        <f t="shared" si="1"/>
        <v>14682.74</v>
      </c>
      <c r="M24" s="67">
        <f t="shared" si="2"/>
        <v>225913.36000000002</v>
      </c>
      <c r="N24" s="67">
        <f>L24/E6</f>
        <v>103.39957746478873</v>
      </c>
      <c r="O24" s="68">
        <f>M24/F6</f>
        <v>100.22775510204082</v>
      </c>
    </row>
    <row r="25" spans="1:15">
      <c r="A25" s="69">
        <v>15</v>
      </c>
      <c r="B25" s="70" t="s">
        <v>46</v>
      </c>
      <c r="C25" s="71">
        <v>91</v>
      </c>
      <c r="D25" s="72"/>
      <c r="E25" s="72"/>
      <c r="F25" s="34">
        <v>0</v>
      </c>
      <c r="G25" s="35">
        <f>'15-07-26'!G25+'16-07-26'!F25</f>
        <v>9</v>
      </c>
      <c r="H25" s="73">
        <f>F25/E6</f>
        <v>0</v>
      </c>
      <c r="I25" s="34">
        <f t="shared" si="0"/>
        <v>91</v>
      </c>
      <c r="J25" s="73">
        <f>G25/F6</f>
        <v>3.9929015084294583E-3</v>
      </c>
      <c r="K25" s="34">
        <v>41000</v>
      </c>
      <c r="L25" s="44">
        <f t="shared" si="1"/>
        <v>0</v>
      </c>
      <c r="M25" s="44">
        <f t="shared" si="2"/>
        <v>369</v>
      </c>
      <c r="N25" s="74">
        <f>L25/E6</f>
        <v>0</v>
      </c>
      <c r="O25" s="75">
        <f>M25/F6</f>
        <v>0.16370896184560782</v>
      </c>
    </row>
    <row r="26" spans="1:15">
      <c r="A26" s="69">
        <v>16</v>
      </c>
      <c r="B26" s="70" t="s">
        <v>47</v>
      </c>
      <c r="C26" s="71">
        <v>351.6</v>
      </c>
      <c r="D26" s="72"/>
      <c r="E26" s="72"/>
      <c r="F26" s="34">
        <v>10</v>
      </c>
      <c r="G26" s="35">
        <f>'15-07-26'!G26+'16-07-26'!F26</f>
        <v>104</v>
      </c>
      <c r="H26" s="73">
        <f>F26/E6</f>
        <v>7.0422535211267609E-2</v>
      </c>
      <c r="I26" s="34">
        <f t="shared" si="0"/>
        <v>341.6</v>
      </c>
      <c r="J26" s="73">
        <f>G26/F6</f>
        <v>4.6140195208518191E-2</v>
      </c>
      <c r="K26" s="34">
        <v>24000</v>
      </c>
      <c r="L26" s="44">
        <f t="shared" si="1"/>
        <v>240</v>
      </c>
      <c r="M26" s="44">
        <f t="shared" si="2"/>
        <v>2496</v>
      </c>
      <c r="N26" s="74">
        <f>L26/E6</f>
        <v>1.6901408450704225</v>
      </c>
      <c r="O26" s="75">
        <f>M26/F6</f>
        <v>1.1073646850044365</v>
      </c>
    </row>
    <row r="27" spans="1:15">
      <c r="A27" s="69">
        <v>17</v>
      </c>
      <c r="B27" s="70" t="s">
        <v>48</v>
      </c>
      <c r="C27" s="71">
        <v>380</v>
      </c>
      <c r="D27" s="72"/>
      <c r="E27" s="72"/>
      <c r="F27" s="34">
        <v>0</v>
      </c>
      <c r="G27" s="35">
        <f>'15-07-26'!G27+'16-07-26'!F27</f>
        <v>0</v>
      </c>
      <c r="H27" s="73">
        <f>F27/E6</f>
        <v>0</v>
      </c>
      <c r="I27" s="34">
        <f t="shared" si="0"/>
        <v>380</v>
      </c>
      <c r="J27" s="73">
        <f>G27/F6</f>
        <v>0</v>
      </c>
      <c r="K27" s="34">
        <v>13210</v>
      </c>
      <c r="L27" s="44">
        <f t="shared" si="1"/>
        <v>0</v>
      </c>
      <c r="M27" s="44">
        <f t="shared" si="2"/>
        <v>0</v>
      </c>
      <c r="N27" s="74">
        <f>L27/E6</f>
        <v>0</v>
      </c>
      <c r="O27" s="75">
        <f>M27/F6</f>
        <v>0</v>
      </c>
    </row>
    <row r="28" spans="1:15">
      <c r="A28" s="69">
        <v>18</v>
      </c>
      <c r="B28" s="70" t="s">
        <v>49</v>
      </c>
      <c r="C28" s="71">
        <v>150</v>
      </c>
      <c r="D28" s="72"/>
      <c r="E28" s="34"/>
      <c r="F28" s="34">
        <v>10</v>
      </c>
      <c r="G28" s="35">
        <f>'15-07-26'!G28+'16-07-26'!F28</f>
        <v>110</v>
      </c>
      <c r="H28" s="73">
        <f>F28/E6</f>
        <v>7.0422535211267609E-2</v>
      </c>
      <c r="I28" s="34">
        <f t="shared" si="0"/>
        <v>140</v>
      </c>
      <c r="J28" s="73">
        <f>G28/F6</f>
        <v>4.8802129547471165E-2</v>
      </c>
      <c r="K28" s="34">
        <v>14400</v>
      </c>
      <c r="L28" s="44">
        <f t="shared" si="1"/>
        <v>144</v>
      </c>
      <c r="M28" s="44">
        <f t="shared" si="2"/>
        <v>1584</v>
      </c>
      <c r="N28" s="74">
        <f>L28/E6</f>
        <v>1.0140845070422535</v>
      </c>
      <c r="O28" s="75">
        <f>M28/F6</f>
        <v>0.70275066548358478</v>
      </c>
    </row>
    <row r="29" spans="1:15">
      <c r="A29" s="69">
        <v>19</v>
      </c>
      <c r="B29" s="70" t="s">
        <v>50</v>
      </c>
      <c r="C29" s="71">
        <v>151.9</v>
      </c>
      <c r="D29" s="34"/>
      <c r="E29" s="72"/>
      <c r="F29" s="34">
        <v>3.5</v>
      </c>
      <c r="G29" s="35">
        <f>'15-07-26'!G29+'16-07-26'!F29</f>
        <v>57</v>
      </c>
      <c r="H29" s="73">
        <f>F29/E6</f>
        <v>2.464788732394366E-2</v>
      </c>
      <c r="I29" s="34">
        <f t="shared" si="0"/>
        <v>148.4</v>
      </c>
      <c r="J29" s="73">
        <f>G29/F6</f>
        <v>2.5288376220053237E-2</v>
      </c>
      <c r="K29" s="34">
        <v>102000</v>
      </c>
      <c r="L29" s="44">
        <f t="shared" si="1"/>
        <v>357</v>
      </c>
      <c r="M29" s="44">
        <f t="shared" si="2"/>
        <v>5814</v>
      </c>
      <c r="N29" s="74">
        <f>L29/E6</f>
        <v>2.5140845070422535</v>
      </c>
      <c r="O29" s="75">
        <f>M29/F6</f>
        <v>2.5794143744454305</v>
      </c>
    </row>
    <row r="30" spans="1:15">
      <c r="A30" s="69">
        <v>20</v>
      </c>
      <c r="B30" s="70" t="s">
        <v>51</v>
      </c>
      <c r="C30" s="71">
        <v>105</v>
      </c>
      <c r="D30" s="72"/>
      <c r="E30" s="72"/>
      <c r="F30" s="34">
        <v>5</v>
      </c>
      <c r="G30" s="35">
        <f>'15-07-26'!G30+'16-07-26'!F30</f>
        <v>80</v>
      </c>
      <c r="H30" s="73">
        <f>F30/E6</f>
        <v>3.5211267605633804E-2</v>
      </c>
      <c r="I30" s="34">
        <f t="shared" si="0"/>
        <v>100</v>
      </c>
      <c r="J30" s="73">
        <f>G30/F6</f>
        <v>3.5492457852706299E-2</v>
      </c>
      <c r="K30" s="34">
        <v>107000</v>
      </c>
      <c r="L30" s="44">
        <f t="shared" si="1"/>
        <v>535</v>
      </c>
      <c r="M30" s="44">
        <f t="shared" si="2"/>
        <v>8560</v>
      </c>
      <c r="N30" s="74">
        <f>L30/E6</f>
        <v>3.767605633802817</v>
      </c>
      <c r="O30" s="75">
        <f>M30/F6</f>
        <v>3.797692990239574</v>
      </c>
    </row>
    <row r="31" spans="1:15">
      <c r="A31" s="69">
        <v>21</v>
      </c>
      <c r="B31" s="70" t="s">
        <v>52</v>
      </c>
      <c r="C31" s="71">
        <v>124</v>
      </c>
      <c r="D31" s="72"/>
      <c r="E31" s="72"/>
      <c r="F31" s="34">
        <v>3</v>
      </c>
      <c r="G31" s="35">
        <f>'15-07-26'!G31+'16-07-26'!F31</f>
        <v>48</v>
      </c>
      <c r="H31" s="73">
        <f>F31/E6</f>
        <v>2.1126760563380281E-2</v>
      </c>
      <c r="I31" s="34">
        <f t="shared" si="0"/>
        <v>121</v>
      </c>
      <c r="J31" s="73">
        <f>G31/F6</f>
        <v>2.1295474711623779E-2</v>
      </c>
      <c r="K31" s="34">
        <v>100000</v>
      </c>
      <c r="L31" s="44">
        <f t="shared" si="1"/>
        <v>300</v>
      </c>
      <c r="M31" s="44">
        <f t="shared" si="2"/>
        <v>4800</v>
      </c>
      <c r="N31" s="74">
        <f>L31/E6</f>
        <v>2.112676056338028</v>
      </c>
      <c r="O31" s="75">
        <f>M31/F6</f>
        <v>2.1295474711623781</v>
      </c>
    </row>
    <row r="32" spans="1:15">
      <c r="A32" s="69">
        <v>22</v>
      </c>
      <c r="B32" s="70" t="s">
        <v>53</v>
      </c>
      <c r="C32" s="71">
        <v>49</v>
      </c>
      <c r="D32" s="72"/>
      <c r="E32" s="72"/>
      <c r="F32" s="34">
        <v>1</v>
      </c>
      <c r="G32" s="35">
        <f>'15-07-26'!G32+'16-07-26'!F32</f>
        <v>16</v>
      </c>
      <c r="H32" s="73">
        <f>F32/E6</f>
        <v>7.0422535211267607E-3</v>
      </c>
      <c r="I32" s="34">
        <f t="shared" si="0"/>
        <v>48</v>
      </c>
      <c r="J32" s="73">
        <f>G32/F6</f>
        <v>7.0984915705412602E-3</v>
      </c>
      <c r="K32" s="34">
        <v>255000</v>
      </c>
      <c r="L32" s="44">
        <f t="shared" si="1"/>
        <v>255</v>
      </c>
      <c r="M32" s="44">
        <f t="shared" si="2"/>
        <v>4080</v>
      </c>
      <c r="N32" s="74">
        <f>L32/E6</f>
        <v>1.795774647887324</v>
      </c>
      <c r="O32" s="76">
        <f>M32/F6</f>
        <v>1.8101153504880212</v>
      </c>
    </row>
    <row r="33" spans="1:15">
      <c r="A33" s="69">
        <v>23</v>
      </c>
      <c r="B33" s="70" t="s">
        <v>54</v>
      </c>
      <c r="C33" s="71">
        <v>480</v>
      </c>
      <c r="D33" s="72"/>
      <c r="E33" s="72"/>
      <c r="F33" s="34">
        <v>0</v>
      </c>
      <c r="G33" s="35">
        <f>'15-07-26'!G33+'16-07-26'!F33</f>
        <v>0</v>
      </c>
      <c r="H33" s="73"/>
      <c r="I33" s="34">
        <f t="shared" si="0"/>
        <v>480</v>
      </c>
      <c r="J33" s="73">
        <f>G33/F6</f>
        <v>0</v>
      </c>
      <c r="K33" s="34">
        <v>56000</v>
      </c>
      <c r="L33" s="44">
        <f t="shared" si="1"/>
        <v>0</v>
      </c>
      <c r="M33" s="44">
        <f t="shared" si="2"/>
        <v>0</v>
      </c>
      <c r="N33" s="77">
        <f>L33/F6</f>
        <v>0</v>
      </c>
      <c r="O33" s="76">
        <f>M33/F6</f>
        <v>0</v>
      </c>
    </row>
    <row r="34" spans="1:15">
      <c r="A34" s="78">
        <v>24</v>
      </c>
      <c r="B34" s="79" t="s">
        <v>55</v>
      </c>
      <c r="C34" s="80">
        <v>0</v>
      </c>
      <c r="D34" s="81"/>
      <c r="E34" s="81"/>
      <c r="F34" s="82">
        <v>0</v>
      </c>
      <c r="G34" s="142">
        <f>'14-7-26'!G34+'15-07-26'!F34</f>
        <v>0</v>
      </c>
      <c r="H34" s="143">
        <f>F34/E6</f>
        <v>0</v>
      </c>
      <c r="I34" s="144">
        <f t="shared" si="0"/>
        <v>0</v>
      </c>
      <c r="J34" s="143">
        <f>G34/F6</f>
        <v>0</v>
      </c>
      <c r="K34" s="144">
        <v>90000</v>
      </c>
      <c r="L34" s="145">
        <f t="shared" si="1"/>
        <v>0</v>
      </c>
      <c r="M34" s="86">
        <f t="shared" si="2"/>
        <v>0</v>
      </c>
      <c r="N34" s="87">
        <f>L34/F6</f>
        <v>0</v>
      </c>
      <c r="O34" s="88">
        <f>M34/F6</f>
        <v>0</v>
      </c>
    </row>
    <row r="35" spans="1:15" ht="14.25" customHeight="1">
      <c r="A35" s="89" t="s">
        <v>56</v>
      </c>
      <c r="B35" s="90" t="s">
        <v>57</v>
      </c>
      <c r="C35" s="91" t="s">
        <v>58</v>
      </c>
      <c r="D35" s="1457" t="s">
        <v>59</v>
      </c>
      <c r="E35" s="1457"/>
      <c r="F35" s="1458"/>
      <c r="G35" s="1450"/>
      <c r="H35" s="1450"/>
      <c r="I35" s="1450"/>
      <c r="J35" s="1450"/>
      <c r="K35" s="1450"/>
      <c r="L35" s="1451"/>
      <c r="M35" s="146" t="s">
        <v>60</v>
      </c>
      <c r="N35" s="147">
        <f>SUM(N11,N12,N13,N14,N15,N16,N17,N18,N19,N20,N21,N22,N23,N24,N25,N26,N27,N28,N29,N30,N31,N32,N33,N34)</f>
        <v>1202.0197183098589</v>
      </c>
      <c r="O35" s="148">
        <f>SUM(O11,O12,O13,O14,O15,O16,O17,O18,O19,O20,O21,O22,O23,O24,O25,O26,O27,O28,O29,O30,O31,O32,O33,O34,)</f>
        <v>1306.2054569653947</v>
      </c>
    </row>
    <row r="36" spans="1:15" ht="14.25" customHeight="1">
      <c r="A36" s="31">
        <v>1</v>
      </c>
      <c r="B36" s="33" t="s">
        <v>114</v>
      </c>
      <c r="C36" s="33">
        <v>25</v>
      </c>
      <c r="D36" s="1447"/>
      <c r="E36" s="1448"/>
      <c r="F36" s="95">
        <v>43</v>
      </c>
      <c r="G36" s="1103"/>
      <c r="H36" s="1103"/>
      <c r="I36" s="1103"/>
      <c r="J36" s="1103"/>
      <c r="K36" s="1103"/>
      <c r="L36" s="1452"/>
      <c r="M36" s="150"/>
      <c r="N36" s="151" t="s">
        <v>17</v>
      </c>
      <c r="O36" s="152" t="s">
        <v>17</v>
      </c>
    </row>
    <row r="37" spans="1:15" ht="14.25" customHeight="1">
      <c r="A37" s="31">
        <v>2</v>
      </c>
      <c r="B37" s="33" t="s">
        <v>73</v>
      </c>
      <c r="C37" s="33">
        <v>42</v>
      </c>
      <c r="D37" s="1096"/>
      <c r="E37" s="1449"/>
      <c r="F37" s="98">
        <v>72</v>
      </c>
      <c r="G37" s="1103"/>
      <c r="H37" s="1103"/>
      <c r="I37" s="1103"/>
      <c r="J37" s="1103"/>
      <c r="K37" s="1103"/>
      <c r="L37" s="1452"/>
      <c r="M37" s="153"/>
      <c r="N37" s="154" t="s">
        <v>102</v>
      </c>
      <c r="O37" s="155" t="s">
        <v>103</v>
      </c>
    </row>
    <row r="38" spans="1:15" ht="16.5" customHeight="1">
      <c r="A38" s="31">
        <v>3</v>
      </c>
      <c r="B38" s="33" t="s">
        <v>115</v>
      </c>
      <c r="C38" s="34">
        <v>16</v>
      </c>
      <c r="D38" s="1096"/>
      <c r="E38" s="1449"/>
      <c r="F38" s="101">
        <v>27</v>
      </c>
      <c r="G38" s="1103"/>
      <c r="H38" s="1103"/>
      <c r="I38" s="1103"/>
      <c r="J38" s="1103"/>
      <c r="K38" s="1103"/>
      <c r="L38" s="1452"/>
      <c r="M38" s="156" t="s">
        <v>60</v>
      </c>
      <c r="N38" s="157">
        <f>N35/1000</f>
        <v>1.2020197183098589</v>
      </c>
      <c r="O38" s="158">
        <f>O35/1000</f>
        <v>1.3062054569653947</v>
      </c>
    </row>
    <row r="39" spans="1:15" ht="14.25" customHeight="1">
      <c r="A39" s="104">
        <v>4</v>
      </c>
      <c r="B39" s="159"/>
      <c r="C39" s="105"/>
      <c r="D39" s="1096"/>
      <c r="E39" s="1449"/>
      <c r="F39" s="106"/>
      <c r="G39" s="1453"/>
      <c r="H39" s="1453"/>
      <c r="I39" s="1453"/>
      <c r="J39" s="1453"/>
      <c r="K39" s="1453"/>
      <c r="L39" s="1454"/>
      <c r="M39" s="149"/>
      <c r="N39" s="149"/>
      <c r="O39" s="149"/>
    </row>
    <row r="40" spans="1:15" ht="16.5" customHeight="1">
      <c r="A40" s="110">
        <v>10</v>
      </c>
      <c r="B40" s="111" t="s">
        <v>60</v>
      </c>
      <c r="C40" s="112">
        <f>SUM(C36:C39)</f>
        <v>83</v>
      </c>
      <c r="D40" s="113"/>
      <c r="E40" s="114"/>
      <c r="F40" s="115">
        <f>SUM(F36:F39)</f>
        <v>142</v>
      </c>
      <c r="G40" s="116"/>
      <c r="H40" s="1446"/>
      <c r="I40" s="1446"/>
      <c r="J40" s="117"/>
      <c r="K40" s="118"/>
    </row>
    <row r="41" spans="1:15">
      <c r="B41" s="119"/>
    </row>
    <row r="43" spans="1:15">
      <c r="G43" s="119"/>
    </row>
    <row r="44" spans="1:15">
      <c r="G44" s="119"/>
    </row>
  </sheetData>
  <mergeCells count="14">
    <mergeCell ref="H40:I40"/>
    <mergeCell ref="A3:O4"/>
    <mergeCell ref="G35:L39"/>
    <mergeCell ref="D36:E39"/>
    <mergeCell ref="D8:E8"/>
    <mergeCell ref="F8:G8"/>
    <mergeCell ref="L8:M8"/>
    <mergeCell ref="N8:O8"/>
    <mergeCell ref="D35:F35"/>
    <mergeCell ref="A5:O5"/>
    <mergeCell ref="A6:D6"/>
    <mergeCell ref="H6:O6"/>
    <mergeCell ref="A7:B7"/>
    <mergeCell ref="C7:D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41"/>
  <sheetViews>
    <sheetView topLeftCell="A13" workbookViewId="0">
      <selection activeCell="D23" sqref="D23"/>
    </sheetView>
  </sheetViews>
  <sheetFormatPr defaultColWidth="9.140625" defaultRowHeight="15.75"/>
  <cols>
    <col min="1" max="1" width="5.85546875" style="1" customWidth="1"/>
    <col min="2" max="2" width="34.42578125" style="1" customWidth="1"/>
    <col min="3" max="3" width="12.42578125" style="1" customWidth="1"/>
    <col min="4" max="4" width="10.140625" style="1" customWidth="1"/>
    <col min="5" max="5" width="11.42578125" style="1" customWidth="1"/>
    <col min="6" max="6" width="11.85546875" style="1" customWidth="1"/>
    <col min="7" max="7" width="13.7109375" style="1" customWidth="1"/>
    <col min="8" max="8" width="17.5703125" style="1" customWidth="1"/>
    <col min="9" max="9" width="10.85546875" style="1" customWidth="1"/>
    <col min="10" max="10" width="16.140625" style="1" customWidth="1"/>
    <col min="11" max="11" width="8.42578125" style="1" customWidth="1"/>
    <col min="12" max="12" width="10.7109375" style="1" customWidth="1"/>
    <col min="13" max="13" width="13.7109375" style="1" customWidth="1"/>
    <col min="14" max="14" width="12.42578125" style="1" customWidth="1"/>
    <col min="15" max="15" width="13.85546875" style="1" customWidth="1"/>
    <col min="16" max="16384" width="9.140625" style="1"/>
  </cols>
  <sheetData>
    <row r="1" spans="1:15" ht="22.5">
      <c r="A1" s="1481" t="s">
        <v>0</v>
      </c>
      <c r="B1" s="1482"/>
      <c r="C1" s="1482"/>
      <c r="D1" s="1482"/>
      <c r="E1" s="1482"/>
      <c r="F1" s="1482"/>
      <c r="G1" s="1482"/>
      <c r="H1" s="1482"/>
      <c r="I1" s="1482"/>
      <c r="J1" s="1482"/>
      <c r="K1" s="1482"/>
      <c r="L1" s="1482"/>
      <c r="M1" s="1482"/>
      <c r="N1" s="1482"/>
      <c r="O1" s="1483"/>
    </row>
    <row r="2" spans="1:15" ht="19.5">
      <c r="A2" s="1484" t="s">
        <v>1</v>
      </c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6"/>
    </row>
    <row r="3" spans="1:15" ht="15.75" customHeight="1">
      <c r="A3" s="1124" t="s">
        <v>2</v>
      </c>
      <c r="B3" s="1125"/>
      <c r="C3" s="1125"/>
      <c r="D3" s="1126"/>
      <c r="E3" s="3">
        <v>129</v>
      </c>
      <c r="F3" s="2">
        <v>2924</v>
      </c>
      <c r="G3" s="4" t="s">
        <v>116</v>
      </c>
      <c r="H3" s="1467" t="s">
        <v>117</v>
      </c>
      <c r="I3" s="1468"/>
      <c r="J3" s="1468"/>
      <c r="K3" s="1468"/>
      <c r="L3" s="1468"/>
      <c r="M3" s="1468"/>
      <c r="N3" s="1468"/>
      <c r="O3" s="1469"/>
    </row>
    <row r="4" spans="1:15" ht="16.5" customHeight="1">
      <c r="A4" s="1487" t="s">
        <v>5</v>
      </c>
      <c r="B4" s="1488"/>
      <c r="C4" s="1489" t="s">
        <v>6</v>
      </c>
      <c r="D4" s="1490"/>
      <c r="E4" s="5">
        <v>0</v>
      </c>
      <c r="F4" s="6">
        <v>464.5</v>
      </c>
      <c r="G4" s="6" t="s">
        <v>113</v>
      </c>
      <c r="H4" s="1470"/>
      <c r="I4" s="1132"/>
      <c r="J4" s="1132"/>
      <c r="K4" s="1132"/>
      <c r="L4" s="1132"/>
      <c r="M4" s="1132"/>
      <c r="N4" s="1132"/>
      <c r="O4" s="1133"/>
    </row>
    <row r="5" spans="1:15" ht="27" customHeight="1">
      <c r="A5" s="7" t="s">
        <v>8</v>
      </c>
      <c r="B5" s="8" t="s">
        <v>9</v>
      </c>
      <c r="C5" s="8" t="s">
        <v>10</v>
      </c>
      <c r="D5" s="1455" t="s">
        <v>11</v>
      </c>
      <c r="E5" s="1456"/>
      <c r="F5" s="1396" t="s">
        <v>12</v>
      </c>
      <c r="G5" s="1396"/>
      <c r="H5" s="9" t="s">
        <v>13</v>
      </c>
      <c r="I5" s="10" t="s">
        <v>9</v>
      </c>
      <c r="J5" s="11" t="s">
        <v>14</v>
      </c>
      <c r="K5" s="12" t="s">
        <v>15</v>
      </c>
      <c r="L5" s="1108" t="s">
        <v>16</v>
      </c>
      <c r="M5" s="1108"/>
      <c r="N5" s="1480" t="s">
        <v>17</v>
      </c>
      <c r="O5" s="1452"/>
    </row>
    <row r="6" spans="1:15">
      <c r="A6" s="7" t="s">
        <v>18</v>
      </c>
      <c r="B6" s="8" t="s">
        <v>19</v>
      </c>
      <c r="C6" s="8" t="s">
        <v>20</v>
      </c>
      <c r="D6" s="8" t="s">
        <v>21</v>
      </c>
      <c r="E6" s="13" t="s">
        <v>14</v>
      </c>
      <c r="F6" s="14" t="s">
        <v>21</v>
      </c>
      <c r="G6" s="14" t="s">
        <v>14</v>
      </c>
      <c r="H6" s="9" t="s">
        <v>22</v>
      </c>
      <c r="I6" s="10" t="s">
        <v>23</v>
      </c>
      <c r="J6" s="11" t="s">
        <v>22</v>
      </c>
      <c r="K6" s="12" t="s">
        <v>24</v>
      </c>
      <c r="L6" s="12" t="s">
        <v>25</v>
      </c>
      <c r="M6" s="10" t="s">
        <v>26</v>
      </c>
      <c r="N6" s="15" t="s">
        <v>25</v>
      </c>
      <c r="O6" s="16" t="s">
        <v>26</v>
      </c>
    </row>
    <row r="7" spans="1:15">
      <c r="A7" s="17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9" t="s">
        <v>28</v>
      </c>
      <c r="I7" s="10" t="s">
        <v>27</v>
      </c>
      <c r="J7" s="11" t="s">
        <v>28</v>
      </c>
      <c r="K7" s="12" t="s">
        <v>29</v>
      </c>
      <c r="L7" s="12" t="s">
        <v>30</v>
      </c>
      <c r="M7" s="10" t="s">
        <v>30</v>
      </c>
      <c r="N7" s="12" t="s">
        <v>31</v>
      </c>
      <c r="O7" s="19" t="s">
        <v>31</v>
      </c>
    </row>
    <row r="8" spans="1:15">
      <c r="A8" s="20">
        <v>1</v>
      </c>
      <c r="B8" s="21" t="s">
        <v>32</v>
      </c>
      <c r="C8" s="22">
        <v>26000</v>
      </c>
      <c r="D8" s="23"/>
      <c r="E8" s="22"/>
      <c r="F8" s="22">
        <v>2900</v>
      </c>
      <c r="G8" s="24">
        <v>81300</v>
      </c>
      <c r="H8" s="25">
        <f>F8/E3</f>
        <v>22.480620155038761</v>
      </c>
      <c r="I8" s="22">
        <f t="shared" ref="I8:I31" si="0">(C8-F8)+D8</f>
        <v>23100</v>
      </c>
      <c r="J8" s="26">
        <f>G8/F3</f>
        <v>27.804377564979479</v>
      </c>
      <c r="K8" s="24">
        <v>36000</v>
      </c>
      <c r="L8" s="27">
        <f t="shared" ref="L8:L31" si="1">(F8/1000)*K8</f>
        <v>104400</v>
      </c>
      <c r="M8" s="28">
        <f t="shared" ref="M8:M31" si="2">(G8/1000)*K8</f>
        <v>2926800</v>
      </c>
      <c r="N8" s="29">
        <f>L8/E3</f>
        <v>809.30232558139539</v>
      </c>
      <c r="O8" s="30">
        <f>M8/F3</f>
        <v>1000.9575923392613</v>
      </c>
    </row>
    <row r="9" spans="1:15">
      <c r="A9" s="31">
        <v>2</v>
      </c>
      <c r="B9" s="32" t="s">
        <v>33</v>
      </c>
      <c r="C9" s="33">
        <v>4976</v>
      </c>
      <c r="D9" s="34"/>
      <c r="E9" s="33"/>
      <c r="F9" s="33">
        <v>200</v>
      </c>
      <c r="G9" s="35">
        <v>4224</v>
      </c>
      <c r="H9" s="36">
        <f>F9/E3</f>
        <v>1.5503875968992249</v>
      </c>
      <c r="I9" s="33">
        <f t="shared" si="0"/>
        <v>4776</v>
      </c>
      <c r="J9" s="37">
        <f>G9/F3</f>
        <v>1.4445964432284542</v>
      </c>
      <c r="K9" s="35">
        <v>33500</v>
      </c>
      <c r="L9" s="38">
        <f t="shared" si="1"/>
        <v>6700</v>
      </c>
      <c r="M9" s="38">
        <f t="shared" si="2"/>
        <v>141504</v>
      </c>
      <c r="N9" s="39">
        <f>L9/E3</f>
        <v>51.937984496124031</v>
      </c>
      <c r="O9" s="40">
        <f>M9/F3</f>
        <v>48.393980848153213</v>
      </c>
    </row>
    <row r="10" spans="1:15">
      <c r="A10" s="31">
        <v>3</v>
      </c>
      <c r="B10" s="32" t="s">
        <v>34</v>
      </c>
      <c r="C10" s="33">
        <v>5639</v>
      </c>
      <c r="D10" s="34"/>
      <c r="E10" s="33"/>
      <c r="F10" s="33">
        <v>56</v>
      </c>
      <c r="G10" s="35">
        <v>1237</v>
      </c>
      <c r="H10" s="36">
        <f>F10/E3</f>
        <v>0.43410852713178294</v>
      </c>
      <c r="I10" s="33">
        <f t="shared" si="0"/>
        <v>5583</v>
      </c>
      <c r="J10" s="37">
        <f>G10/F3</f>
        <v>0.42305061559507523</v>
      </c>
      <c r="K10" s="35">
        <v>98000</v>
      </c>
      <c r="L10" s="38">
        <f t="shared" si="1"/>
        <v>5488</v>
      </c>
      <c r="M10" s="38">
        <f t="shared" si="2"/>
        <v>121226.00000000001</v>
      </c>
      <c r="N10" s="39">
        <f>L10/E3</f>
        <v>42.542635658914726</v>
      </c>
      <c r="O10" s="40">
        <f>M10/F3</f>
        <v>41.458960328317382</v>
      </c>
    </row>
    <row r="11" spans="1:15">
      <c r="A11" s="31">
        <v>4</v>
      </c>
      <c r="B11" s="32" t="s">
        <v>35</v>
      </c>
      <c r="C11" s="33">
        <v>20.28</v>
      </c>
      <c r="D11" s="34"/>
      <c r="E11" s="33"/>
      <c r="F11" s="33">
        <v>0.08</v>
      </c>
      <c r="G11" s="41">
        <v>1.28</v>
      </c>
      <c r="H11" s="42">
        <f>F11/E3</f>
        <v>6.2015503875968996E-4</v>
      </c>
      <c r="I11" s="33">
        <f t="shared" si="0"/>
        <v>20.200000000000003</v>
      </c>
      <c r="J11" s="43">
        <f>G11/F3</f>
        <v>4.377564979480164E-4</v>
      </c>
      <c r="K11" s="35">
        <v>750000</v>
      </c>
      <c r="L11" s="38">
        <f t="shared" si="1"/>
        <v>60.000000000000007</v>
      </c>
      <c r="M11" s="38">
        <f t="shared" si="2"/>
        <v>960.00000000000011</v>
      </c>
      <c r="N11" s="39">
        <f>L11/E3</f>
        <v>0.46511627906976749</v>
      </c>
      <c r="O11" s="40">
        <f>M11/F3</f>
        <v>0.32831737346101236</v>
      </c>
    </row>
    <row r="12" spans="1:15">
      <c r="A12" s="31">
        <v>5</v>
      </c>
      <c r="B12" s="32" t="s">
        <v>36</v>
      </c>
      <c r="C12" s="33">
        <v>115</v>
      </c>
      <c r="D12" s="34"/>
      <c r="E12" s="33"/>
      <c r="F12" s="33">
        <v>14</v>
      </c>
      <c r="G12" s="35">
        <v>399</v>
      </c>
      <c r="H12" s="36">
        <f>F12/E3</f>
        <v>0.10852713178294573</v>
      </c>
      <c r="I12" s="33">
        <f t="shared" si="0"/>
        <v>101</v>
      </c>
      <c r="J12" s="37">
        <f>G12/F3</f>
        <v>0.13645690834473323</v>
      </c>
      <c r="K12" s="35">
        <v>350000</v>
      </c>
      <c r="L12" s="38">
        <f t="shared" si="1"/>
        <v>4900</v>
      </c>
      <c r="M12" s="38">
        <f t="shared" si="2"/>
        <v>139650</v>
      </c>
      <c r="N12" s="39">
        <f>L12/E3</f>
        <v>37.984496124031011</v>
      </c>
      <c r="O12" s="40">
        <f>M12/F3</f>
        <v>47.759917920656633</v>
      </c>
    </row>
    <row r="13" spans="1:15">
      <c r="A13" s="31">
        <v>6</v>
      </c>
      <c r="B13" s="32" t="s">
        <v>37</v>
      </c>
      <c r="C13" s="33">
        <v>1501</v>
      </c>
      <c r="D13" s="34"/>
      <c r="E13" s="33"/>
      <c r="F13" s="33">
        <v>35</v>
      </c>
      <c r="G13" s="35">
        <v>932</v>
      </c>
      <c r="H13" s="36">
        <f>F13/E3</f>
        <v>0.27131782945736432</v>
      </c>
      <c r="I13" s="33">
        <f t="shared" si="0"/>
        <v>1466</v>
      </c>
      <c r="J13" s="37">
        <f>G13/F3</f>
        <v>0.31874145006839943</v>
      </c>
      <c r="K13" s="35">
        <v>204500</v>
      </c>
      <c r="L13" s="38">
        <f t="shared" si="1"/>
        <v>7157.5000000000009</v>
      </c>
      <c r="M13" s="38">
        <f t="shared" si="2"/>
        <v>190594</v>
      </c>
      <c r="N13" s="39">
        <f>L13/E3</f>
        <v>55.484496124031011</v>
      </c>
      <c r="O13" s="40">
        <f>M13/F3</f>
        <v>65.182626538987691</v>
      </c>
    </row>
    <row r="14" spans="1:15">
      <c r="A14" s="31">
        <v>7</v>
      </c>
      <c r="B14" s="32" t="s">
        <v>38</v>
      </c>
      <c r="C14" s="33">
        <v>789</v>
      </c>
      <c r="D14" s="34"/>
      <c r="E14" s="33"/>
      <c r="F14" s="33">
        <v>54</v>
      </c>
      <c r="G14" s="35">
        <v>1015</v>
      </c>
      <c r="H14" s="36">
        <f>F14/E3</f>
        <v>0.41860465116279072</v>
      </c>
      <c r="I14" s="33">
        <f t="shared" si="0"/>
        <v>735</v>
      </c>
      <c r="J14" s="37">
        <f>G14/F3</f>
        <v>0.34712722298221615</v>
      </c>
      <c r="K14" s="35">
        <v>129500</v>
      </c>
      <c r="L14" s="38">
        <f t="shared" si="1"/>
        <v>6993</v>
      </c>
      <c r="M14" s="38">
        <f t="shared" si="2"/>
        <v>131442.5</v>
      </c>
      <c r="N14" s="39">
        <f>L14/E3</f>
        <v>54.209302325581397</v>
      </c>
      <c r="O14" s="40">
        <f>M14/F3</f>
        <v>44.952975376196989</v>
      </c>
    </row>
    <row r="15" spans="1:15">
      <c r="A15" s="31">
        <v>8</v>
      </c>
      <c r="B15" s="32" t="s">
        <v>39</v>
      </c>
      <c r="C15" s="33">
        <v>617</v>
      </c>
      <c r="D15" s="33"/>
      <c r="E15" s="33"/>
      <c r="F15" s="33">
        <v>15</v>
      </c>
      <c r="G15" s="35">
        <v>383</v>
      </c>
      <c r="H15" s="36">
        <f>F15/E3</f>
        <v>0.11627906976744186</v>
      </c>
      <c r="I15" s="33">
        <f t="shared" si="0"/>
        <v>602</v>
      </c>
      <c r="J15" s="37">
        <f>G15/F3</f>
        <v>0.13098495212038302</v>
      </c>
      <c r="K15" s="35">
        <v>219500</v>
      </c>
      <c r="L15" s="38">
        <f t="shared" si="1"/>
        <v>3292.5</v>
      </c>
      <c r="M15" s="38">
        <f t="shared" si="2"/>
        <v>84068.5</v>
      </c>
      <c r="N15" s="39">
        <f>L15/E3</f>
        <v>25.523255813953487</v>
      </c>
      <c r="O15" s="40">
        <f>M15/F3</f>
        <v>28.751196990424077</v>
      </c>
    </row>
    <row r="16" spans="1:15">
      <c r="A16" s="31">
        <v>9</v>
      </c>
      <c r="B16" s="32" t="s">
        <v>40</v>
      </c>
      <c r="C16" s="33">
        <v>20</v>
      </c>
      <c r="D16" s="34"/>
      <c r="E16" s="33"/>
      <c r="F16" s="33">
        <v>0</v>
      </c>
      <c r="G16" s="35">
        <f>'16-07-26'!G19+'17-07-26'!F16</f>
        <v>0</v>
      </c>
      <c r="H16" s="36">
        <f>F16/E3</f>
        <v>0</v>
      </c>
      <c r="I16" s="33">
        <f t="shared" si="0"/>
        <v>20</v>
      </c>
      <c r="J16" s="37">
        <f>G16/F3</f>
        <v>0</v>
      </c>
      <c r="K16" s="35">
        <v>348200</v>
      </c>
      <c r="L16" s="38">
        <f t="shared" si="1"/>
        <v>0</v>
      </c>
      <c r="M16" s="44">
        <f t="shared" si="2"/>
        <v>0</v>
      </c>
      <c r="N16" s="39">
        <f>L16/E3</f>
        <v>0</v>
      </c>
      <c r="O16" s="40">
        <f>M16/F3</f>
        <v>0</v>
      </c>
    </row>
    <row r="17" spans="1:15">
      <c r="A17" s="45">
        <v>10</v>
      </c>
      <c r="B17" s="46" t="s">
        <v>41</v>
      </c>
      <c r="C17" s="47">
        <v>2500</v>
      </c>
      <c r="D17" s="47"/>
      <c r="E17" s="47"/>
      <c r="F17" s="47">
        <v>0</v>
      </c>
      <c r="G17" s="35">
        <f>'16-07-26'!G20+'17-07-26'!F17</f>
        <v>1450</v>
      </c>
      <c r="H17" s="48">
        <f>F17/E3</f>
        <v>0</v>
      </c>
      <c r="I17" s="47">
        <f t="shared" si="0"/>
        <v>2500</v>
      </c>
      <c r="J17" s="48">
        <f>G17/F3</f>
        <v>0.49589603283173733</v>
      </c>
      <c r="K17" s="49">
        <v>172000</v>
      </c>
      <c r="L17" s="50">
        <f t="shared" si="1"/>
        <v>0</v>
      </c>
      <c r="M17" s="50">
        <f t="shared" si="2"/>
        <v>249400</v>
      </c>
      <c r="N17" s="50">
        <f>L17/E3</f>
        <v>0</v>
      </c>
      <c r="O17" s="51">
        <f>M17/F3</f>
        <v>85.294117647058826</v>
      </c>
    </row>
    <row r="18" spans="1:15">
      <c r="A18" s="52">
        <v>11</v>
      </c>
      <c r="B18" s="53" t="s">
        <v>42</v>
      </c>
      <c r="C18" s="54">
        <v>48</v>
      </c>
      <c r="D18" s="54"/>
      <c r="E18" s="54"/>
      <c r="F18" s="54">
        <v>0</v>
      </c>
      <c r="G18" s="35">
        <f>'16-07-26'!G21+'17-07-26'!F18</f>
        <v>0</v>
      </c>
      <c r="H18" s="48">
        <f>F18/E3</f>
        <v>0</v>
      </c>
      <c r="I18" s="54">
        <f t="shared" si="0"/>
        <v>48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>
      <c r="A19" s="58">
        <v>12</v>
      </c>
      <c r="B19" s="59" t="s">
        <v>43</v>
      </c>
      <c r="C19" s="60">
        <v>38.299999999999997</v>
      </c>
      <c r="D19" s="61">
        <v>250</v>
      </c>
      <c r="E19" s="61">
        <v>250</v>
      </c>
      <c r="F19" s="62">
        <v>6.3</v>
      </c>
      <c r="G19" s="63">
        <v>130.6</v>
      </c>
      <c r="H19" s="64">
        <f>F19/E3</f>
        <v>4.8837209302325581E-2</v>
      </c>
      <c r="I19" s="65">
        <f t="shared" si="0"/>
        <v>282</v>
      </c>
      <c r="J19" s="66">
        <f>G19/F3</f>
        <v>4.4664842681258546E-2</v>
      </c>
      <c r="K19" s="60">
        <v>377600</v>
      </c>
      <c r="L19" s="67">
        <f t="shared" si="1"/>
        <v>2378.88</v>
      </c>
      <c r="M19" s="67">
        <f t="shared" si="2"/>
        <v>49314.559999999998</v>
      </c>
      <c r="N19" s="67">
        <f>L19/E3</f>
        <v>18.440930232558141</v>
      </c>
      <c r="O19" s="68">
        <f>M19/F3</f>
        <v>16.865444596443229</v>
      </c>
    </row>
    <row r="20" spans="1:15">
      <c r="A20" s="58">
        <v>13</v>
      </c>
      <c r="B20" s="59" t="s">
        <v>44</v>
      </c>
      <c r="C20" s="60">
        <v>61.4</v>
      </c>
      <c r="D20" s="61">
        <v>200</v>
      </c>
      <c r="E20" s="61">
        <v>200</v>
      </c>
      <c r="F20" s="62">
        <v>3.5</v>
      </c>
      <c r="G20" s="63">
        <v>76.599999999999994</v>
      </c>
      <c r="H20" s="66">
        <f>F20/E3</f>
        <v>2.7131782945736434E-2</v>
      </c>
      <c r="I20" s="60">
        <f t="shared" si="0"/>
        <v>257.89999999999998</v>
      </c>
      <c r="J20" s="66">
        <f>G20/F3</f>
        <v>2.6196990424076607E-2</v>
      </c>
      <c r="K20" s="60">
        <v>271400</v>
      </c>
      <c r="L20" s="67">
        <f t="shared" si="1"/>
        <v>949.9</v>
      </c>
      <c r="M20" s="67">
        <f t="shared" si="2"/>
        <v>20789.239999999998</v>
      </c>
      <c r="N20" s="67">
        <f>L20/E3</f>
        <v>7.3635658914728683</v>
      </c>
      <c r="O20" s="68">
        <f>M20/F3</f>
        <v>7.1098632010943907</v>
      </c>
    </row>
    <row r="21" spans="1:15">
      <c r="A21" s="58">
        <v>14</v>
      </c>
      <c r="B21" s="59" t="s">
        <v>45</v>
      </c>
      <c r="C21" s="60">
        <v>882.3</v>
      </c>
      <c r="D21" s="61">
        <v>2500</v>
      </c>
      <c r="E21" s="61">
        <v>2500</v>
      </c>
      <c r="F21" s="62">
        <v>48.9</v>
      </c>
      <c r="G21" s="63">
        <v>1105.8</v>
      </c>
      <c r="H21" s="66">
        <f>F21/E3</f>
        <v>0.37906976744186044</v>
      </c>
      <c r="I21" s="61">
        <f t="shared" si="0"/>
        <v>3333.4</v>
      </c>
      <c r="J21" s="66">
        <f>G21/F3</f>
        <v>0.37818057455540355</v>
      </c>
      <c r="K21" s="60">
        <v>271400</v>
      </c>
      <c r="L21" s="67">
        <f t="shared" si="1"/>
        <v>13271.46</v>
      </c>
      <c r="M21" s="67">
        <f t="shared" si="2"/>
        <v>300114.12</v>
      </c>
      <c r="N21" s="67">
        <f>L21/E3</f>
        <v>102.87953488372092</v>
      </c>
      <c r="O21" s="68">
        <f>M21/F3</f>
        <v>102.63820793433652</v>
      </c>
    </row>
    <row r="22" spans="1:15">
      <c r="A22" s="69">
        <v>15</v>
      </c>
      <c r="B22" s="70" t="s">
        <v>46</v>
      </c>
      <c r="C22" s="71">
        <v>77</v>
      </c>
      <c r="D22" s="72"/>
      <c r="E22" s="72"/>
      <c r="F22" s="34">
        <v>3</v>
      </c>
      <c r="G22" s="35">
        <v>26</v>
      </c>
      <c r="H22" s="73">
        <f>F22/E3</f>
        <v>2.3255813953488372E-2</v>
      </c>
      <c r="I22" s="34">
        <f t="shared" si="0"/>
        <v>74</v>
      </c>
      <c r="J22" s="73">
        <f>G22/F3</f>
        <v>8.8919288645690833E-3</v>
      </c>
      <c r="K22" s="34">
        <v>41000</v>
      </c>
      <c r="L22" s="44">
        <f t="shared" si="1"/>
        <v>123</v>
      </c>
      <c r="M22" s="44">
        <f t="shared" si="2"/>
        <v>1066</v>
      </c>
      <c r="N22" s="74">
        <f>L22/E3</f>
        <v>0.95348837209302328</v>
      </c>
      <c r="O22" s="75">
        <f>M22/F3</f>
        <v>0.36456908344733241</v>
      </c>
    </row>
    <row r="23" spans="1:15">
      <c r="A23" s="69">
        <v>16</v>
      </c>
      <c r="B23" s="70" t="s">
        <v>47</v>
      </c>
      <c r="C23" s="71">
        <v>288.39999999999998</v>
      </c>
      <c r="D23" s="72"/>
      <c r="E23" s="72"/>
      <c r="F23" s="34">
        <v>14.4</v>
      </c>
      <c r="G23" s="63">
        <v>161.6</v>
      </c>
      <c r="H23" s="73">
        <f>F23/E3</f>
        <v>0.11162790697674418</v>
      </c>
      <c r="I23" s="34">
        <f t="shared" si="0"/>
        <v>274</v>
      </c>
      <c r="J23" s="73">
        <f>G23/F3</f>
        <v>5.5266757865937072E-2</v>
      </c>
      <c r="K23" s="34">
        <v>24000</v>
      </c>
      <c r="L23" s="44">
        <f t="shared" si="1"/>
        <v>345.59999999999997</v>
      </c>
      <c r="M23" s="44">
        <f t="shared" si="2"/>
        <v>3878.3999999999996</v>
      </c>
      <c r="N23" s="74">
        <f>L23/E3</f>
        <v>2.67906976744186</v>
      </c>
      <c r="O23" s="75">
        <f>M23/F3</f>
        <v>1.3264021887824897</v>
      </c>
    </row>
    <row r="24" spans="1:15">
      <c r="A24" s="69">
        <v>17</v>
      </c>
      <c r="B24" s="70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>
      <c r="A25" s="69">
        <v>18</v>
      </c>
      <c r="B25" s="70" t="s">
        <v>49</v>
      </c>
      <c r="C25" s="71">
        <v>115</v>
      </c>
      <c r="D25" s="72"/>
      <c r="E25" s="34"/>
      <c r="F25" s="34">
        <v>10</v>
      </c>
      <c r="G25" s="35">
        <v>145</v>
      </c>
      <c r="H25" s="73">
        <f>F25/E3</f>
        <v>7.7519379844961239E-2</v>
      </c>
      <c r="I25" s="34">
        <f t="shared" si="0"/>
        <v>105</v>
      </c>
      <c r="J25" s="73">
        <f>G25/F3</f>
        <v>4.9589603283173737E-2</v>
      </c>
      <c r="K25" s="34">
        <v>14400</v>
      </c>
      <c r="L25" s="44">
        <f t="shared" si="1"/>
        <v>144</v>
      </c>
      <c r="M25" s="44">
        <f t="shared" si="2"/>
        <v>2088</v>
      </c>
      <c r="N25" s="74">
        <f>L25/E3</f>
        <v>1.1162790697674418</v>
      </c>
      <c r="O25" s="75">
        <f>M25/F3</f>
        <v>0.71409028727770174</v>
      </c>
    </row>
    <row r="26" spans="1:15">
      <c r="A26" s="69">
        <v>19</v>
      </c>
      <c r="B26" s="70" t="s">
        <v>50</v>
      </c>
      <c r="C26" s="71">
        <v>132.4</v>
      </c>
      <c r="D26" s="34"/>
      <c r="E26" s="72"/>
      <c r="F26" s="34">
        <v>5</v>
      </c>
      <c r="G26" s="35">
        <v>79</v>
      </c>
      <c r="H26" s="73">
        <f>F26/E3</f>
        <v>3.875968992248062E-2</v>
      </c>
      <c r="I26" s="34">
        <f t="shared" si="0"/>
        <v>127.4</v>
      </c>
      <c r="J26" s="73">
        <f>G26/F3</f>
        <v>2.7017783857729138E-2</v>
      </c>
      <c r="K26" s="34">
        <v>102000</v>
      </c>
      <c r="L26" s="44">
        <f t="shared" si="1"/>
        <v>510</v>
      </c>
      <c r="M26" s="44">
        <f t="shared" si="2"/>
        <v>8058</v>
      </c>
      <c r="N26" s="74">
        <f>L26/E3</f>
        <v>3.9534883720930232</v>
      </c>
      <c r="O26" s="75">
        <f>M26/F3</f>
        <v>2.7558139534883721</v>
      </c>
    </row>
    <row r="27" spans="1:15">
      <c r="A27" s="69">
        <v>20</v>
      </c>
      <c r="B27" s="70" t="s">
        <v>51</v>
      </c>
      <c r="C27" s="71">
        <v>80</v>
      </c>
      <c r="D27" s="72"/>
      <c r="E27" s="72"/>
      <c r="F27" s="34">
        <v>5</v>
      </c>
      <c r="G27" s="35">
        <v>105</v>
      </c>
      <c r="H27" s="73">
        <f>F27/E3</f>
        <v>3.875968992248062E-2</v>
      </c>
      <c r="I27" s="34">
        <f t="shared" si="0"/>
        <v>75</v>
      </c>
      <c r="J27" s="73">
        <f>G27/F3</f>
        <v>3.5909712722298225E-2</v>
      </c>
      <c r="K27" s="34">
        <v>107000</v>
      </c>
      <c r="L27" s="44">
        <f t="shared" si="1"/>
        <v>535</v>
      </c>
      <c r="M27" s="44">
        <f t="shared" si="2"/>
        <v>11235</v>
      </c>
      <c r="N27" s="74">
        <f>L27/E3</f>
        <v>4.1472868217054266</v>
      </c>
      <c r="O27" s="75">
        <f>M27/F3</f>
        <v>3.8423392612859097</v>
      </c>
    </row>
    <row r="28" spans="1:15">
      <c r="A28" s="69">
        <v>21</v>
      </c>
      <c r="B28" s="70" t="s">
        <v>52</v>
      </c>
      <c r="C28" s="71">
        <v>109</v>
      </c>
      <c r="D28" s="72"/>
      <c r="E28" s="72"/>
      <c r="F28" s="34">
        <v>3</v>
      </c>
      <c r="G28" s="35">
        <v>63</v>
      </c>
      <c r="H28" s="73">
        <f>F28/E3</f>
        <v>2.3255813953488372E-2</v>
      </c>
      <c r="I28" s="34">
        <f t="shared" si="0"/>
        <v>106</v>
      </c>
      <c r="J28" s="73">
        <f>G28/F3</f>
        <v>2.1545827633378933E-2</v>
      </c>
      <c r="K28" s="34">
        <v>100000</v>
      </c>
      <c r="L28" s="44">
        <f t="shared" si="1"/>
        <v>300</v>
      </c>
      <c r="M28" s="44">
        <f t="shared" si="2"/>
        <v>6300</v>
      </c>
      <c r="N28" s="74">
        <f>L28/E3</f>
        <v>2.3255813953488373</v>
      </c>
      <c r="O28" s="75">
        <f>M28/F3</f>
        <v>2.1545827633378933</v>
      </c>
    </row>
    <row r="29" spans="1:15">
      <c r="A29" s="69">
        <v>22</v>
      </c>
      <c r="B29" s="70" t="s">
        <v>53</v>
      </c>
      <c r="C29" s="71">
        <v>44</v>
      </c>
      <c r="D29" s="72"/>
      <c r="E29" s="72"/>
      <c r="F29" s="34">
        <v>1</v>
      </c>
      <c r="G29" s="35">
        <v>21</v>
      </c>
      <c r="H29" s="73">
        <f>F29/E3</f>
        <v>7.7519379844961239E-3</v>
      </c>
      <c r="I29" s="34">
        <f t="shared" si="0"/>
        <v>43</v>
      </c>
      <c r="J29" s="73">
        <f>G29/F3</f>
        <v>7.1819425444596442E-3</v>
      </c>
      <c r="K29" s="34">
        <v>255000</v>
      </c>
      <c r="L29" s="44">
        <f t="shared" si="1"/>
        <v>255</v>
      </c>
      <c r="M29" s="44">
        <f t="shared" si="2"/>
        <v>5355</v>
      </c>
      <c r="N29" s="74">
        <f>L29/E3</f>
        <v>1.9767441860465116</v>
      </c>
      <c r="O29" s="76">
        <f>M29/F3</f>
        <v>1.8313953488372092</v>
      </c>
    </row>
    <row r="30" spans="1:15">
      <c r="A30" s="69">
        <v>23</v>
      </c>
      <c r="B30" s="70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77">
        <f>L30/F3</f>
        <v>0</v>
      </c>
      <c r="O30" s="76">
        <f>M30/F3</f>
        <v>0</v>
      </c>
    </row>
    <row r="31" spans="1:15">
      <c r="A31" s="78">
        <v>24</v>
      </c>
      <c r="B31" s="79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87">
        <f>L31/F3</f>
        <v>0</v>
      </c>
      <c r="O31" s="88">
        <f>M31/F3</f>
        <v>0</v>
      </c>
    </row>
    <row r="32" spans="1:15">
      <c r="A32" s="89" t="s">
        <v>56</v>
      </c>
      <c r="B32" s="90" t="s">
        <v>57</v>
      </c>
      <c r="C32" s="91" t="s">
        <v>58</v>
      </c>
      <c r="D32" s="1457" t="s">
        <v>59</v>
      </c>
      <c r="E32" s="1457"/>
      <c r="F32" s="1458"/>
      <c r="G32" s="1471"/>
      <c r="H32" s="1472"/>
      <c r="I32" s="1472"/>
      <c r="J32" s="1472"/>
      <c r="K32" s="1472"/>
      <c r="L32" s="1473"/>
      <c r="M32" s="92" t="s">
        <v>60</v>
      </c>
      <c r="N32" s="93">
        <f>SUM(N8,N9,N10,N11,N12,N13,N14,N15,N16,N17,N18,N19,N20,N21,N22,N23,N24,N25,N26,N27,N28,N29,N30,N31)</f>
        <v>1223.285581395349</v>
      </c>
      <c r="O32" s="94">
        <f>SUM(O8,O9,O10,O11,O12,O13,O14,O15,O16,O17,O18,O19,O20,O21,O22,O23,O24,O25,O26,O27,O28,O29,O30,O31,)</f>
        <v>1502.682393980848</v>
      </c>
    </row>
    <row r="33" spans="1:15" ht="19.5">
      <c r="A33" s="31">
        <v>1</v>
      </c>
      <c r="B33" s="33" t="s">
        <v>115</v>
      </c>
      <c r="C33" s="33">
        <v>74</v>
      </c>
      <c r="D33" s="1447"/>
      <c r="E33" s="1448"/>
      <c r="F33" s="95">
        <v>129</v>
      </c>
      <c r="G33" s="1474"/>
      <c r="H33" s="1475"/>
      <c r="I33" s="1475"/>
      <c r="J33" s="1475"/>
      <c r="K33" s="1475"/>
      <c r="L33" s="1476"/>
      <c r="M33" s="1464"/>
      <c r="N33" s="96" t="s">
        <v>17</v>
      </c>
      <c r="O33" s="97" t="s">
        <v>17</v>
      </c>
    </row>
    <row r="34" spans="1:15" ht="19.5">
      <c r="A34" s="31">
        <v>2</v>
      </c>
      <c r="B34" s="33"/>
      <c r="C34" s="33"/>
      <c r="D34" s="1096"/>
      <c r="E34" s="1449"/>
      <c r="F34" s="98"/>
      <c r="G34" s="1474"/>
      <c r="H34" s="1475"/>
      <c r="I34" s="1475"/>
      <c r="J34" s="1475"/>
      <c r="K34" s="1475"/>
      <c r="L34" s="1476"/>
      <c r="M34" s="1465"/>
      <c r="N34" s="99" t="s">
        <v>25</v>
      </c>
      <c r="O34" s="100" t="s">
        <v>26</v>
      </c>
    </row>
    <row r="35" spans="1:15" ht="14.25" customHeight="1">
      <c r="A35" s="31">
        <v>3</v>
      </c>
      <c r="B35" s="33"/>
      <c r="C35" s="34"/>
      <c r="D35" s="1096"/>
      <c r="E35" s="1449"/>
      <c r="F35" s="101"/>
      <c r="G35" s="1474"/>
      <c r="H35" s="1475"/>
      <c r="I35" s="1475"/>
      <c r="J35" s="1475"/>
      <c r="K35" s="1475"/>
      <c r="L35" s="1476"/>
      <c r="M35" s="1466"/>
      <c r="N35" s="102" t="s">
        <v>118</v>
      </c>
      <c r="O35" s="103" t="s">
        <v>118</v>
      </c>
    </row>
    <row r="36" spans="1:15" ht="14.25" customHeight="1">
      <c r="A36" s="104">
        <v>4</v>
      </c>
      <c r="B36" s="33"/>
      <c r="C36" s="105"/>
      <c r="D36" s="1096"/>
      <c r="E36" s="1449"/>
      <c r="F36" s="106"/>
      <c r="G36" s="1477"/>
      <c r="H36" s="1478"/>
      <c r="I36" s="1478"/>
      <c r="J36" s="1478"/>
      <c r="K36" s="1478"/>
      <c r="L36" s="1479"/>
      <c r="M36" s="107" t="s">
        <v>60</v>
      </c>
      <c r="N36" s="108">
        <f>N32/1000</f>
        <v>1.2232855813953489</v>
      </c>
      <c r="O36" s="109">
        <f>O32/1000</f>
        <v>1.502682393980848</v>
      </c>
    </row>
    <row r="37" spans="1:15" ht="14.25" customHeight="1">
      <c r="A37" s="110">
        <v>6</v>
      </c>
      <c r="B37" s="111" t="s">
        <v>60</v>
      </c>
      <c r="C37" s="112">
        <f>SUM(C33:C36)</f>
        <v>74</v>
      </c>
      <c r="D37" s="113"/>
      <c r="E37" s="114"/>
      <c r="F37" s="115">
        <f>SUM(F33:F36)</f>
        <v>129</v>
      </c>
      <c r="G37" s="116"/>
      <c r="H37" s="1463"/>
      <c r="I37" s="1463"/>
      <c r="J37" s="117"/>
      <c r="K37" s="118"/>
    </row>
    <row r="38" spans="1:15" ht="16.5" customHeight="1"/>
    <row r="39" spans="1:15" ht="14.25" customHeight="1"/>
    <row r="40" spans="1:15" ht="16.5" customHeight="1"/>
    <row r="41" spans="1:15">
      <c r="B41" s="119"/>
    </row>
  </sheetData>
  <mergeCells count="15">
    <mergeCell ref="A1:O1"/>
    <mergeCell ref="A2:O2"/>
    <mergeCell ref="A3:D3"/>
    <mergeCell ref="A4:B4"/>
    <mergeCell ref="C4:D4"/>
    <mergeCell ref="H37:I37"/>
    <mergeCell ref="M33:M35"/>
    <mergeCell ref="H3:O4"/>
    <mergeCell ref="D33:E36"/>
    <mergeCell ref="G32:L36"/>
    <mergeCell ref="D5:E5"/>
    <mergeCell ref="F5:G5"/>
    <mergeCell ref="L5:M5"/>
    <mergeCell ref="N5:O5"/>
    <mergeCell ref="D32:F32"/>
  </mergeCells>
  <printOptions headings="1"/>
  <pageMargins left="0.19685039370078741" right="3.937007874015748E-2" top="1.6535433070866143" bottom="0.27559055118110237" header="0.31496062992125984" footer="0.31496062992125984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7"/>
  <sheetViews>
    <sheetView workbookViewId="0">
      <selection activeCell="E8" sqref="E8"/>
    </sheetView>
  </sheetViews>
  <sheetFormatPr defaultRowHeight="15"/>
  <cols>
    <col min="1" max="1" width="4.28515625" customWidth="1"/>
    <col min="2" max="2" width="31.42578125" customWidth="1"/>
    <col min="3" max="3" width="10.42578125" customWidth="1"/>
    <col min="4" max="4" width="8.85546875" customWidth="1"/>
    <col min="5" max="5" width="9.42578125" customWidth="1"/>
    <col min="6" max="6" width="11" customWidth="1"/>
    <col min="7" max="7" width="13.85546875" customWidth="1"/>
    <col min="8" max="8" width="14.28515625" customWidth="1"/>
    <col min="9" max="9" width="11.5703125" customWidth="1"/>
    <col min="10" max="10" width="14.85546875" customWidth="1"/>
    <col min="12" max="12" width="11.28515625" customWidth="1"/>
    <col min="13" max="13" width="11.85546875" customWidth="1"/>
    <col min="14" max="14" width="9.28515625" customWidth="1"/>
    <col min="15" max="15" width="10.5703125" customWidth="1"/>
  </cols>
  <sheetData>
    <row r="1" spans="1:15" ht="23.25" thickBot="1">
      <c r="A1" s="1481" t="s">
        <v>0</v>
      </c>
      <c r="B1" s="1482"/>
      <c r="C1" s="1482"/>
      <c r="D1" s="1482"/>
      <c r="E1" s="1482"/>
      <c r="F1" s="1482"/>
      <c r="G1" s="1482"/>
      <c r="H1" s="1482"/>
      <c r="I1" s="1482"/>
      <c r="J1" s="1482"/>
      <c r="K1" s="1482"/>
      <c r="L1" s="1482"/>
      <c r="M1" s="1482"/>
      <c r="N1" s="1482"/>
      <c r="O1" s="1483"/>
    </row>
    <row r="2" spans="1:15" ht="20.25" thickBot="1">
      <c r="A2" s="1484" t="s">
        <v>1</v>
      </c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6"/>
    </row>
    <row r="3" spans="1:15" ht="20.25" thickBot="1">
      <c r="A3" s="1124" t="s">
        <v>2</v>
      </c>
      <c r="B3" s="1125"/>
      <c r="C3" s="1125"/>
      <c r="D3" s="1126"/>
      <c r="E3" s="3">
        <v>130</v>
      </c>
      <c r="F3" s="2">
        <v>3054</v>
      </c>
      <c r="G3" s="4" t="s">
        <v>120</v>
      </c>
      <c r="H3" s="1467" t="s">
        <v>119</v>
      </c>
      <c r="I3" s="1468"/>
      <c r="J3" s="1468"/>
      <c r="K3" s="1468"/>
      <c r="L3" s="1468"/>
      <c r="M3" s="1468"/>
      <c r="N3" s="1468"/>
      <c r="O3" s="1469"/>
    </row>
    <row r="4" spans="1:15" ht="21" thickTop="1" thickBot="1">
      <c r="A4" s="1487" t="s">
        <v>5</v>
      </c>
      <c r="B4" s="1488"/>
      <c r="C4" s="1491" t="s">
        <v>6</v>
      </c>
      <c r="D4" s="1492"/>
      <c r="E4" s="5">
        <v>0</v>
      </c>
      <c r="F4" s="6">
        <v>464.5</v>
      </c>
      <c r="G4" s="6" t="s">
        <v>113</v>
      </c>
      <c r="H4" s="1470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7" t="s">
        <v>8</v>
      </c>
      <c r="B5" s="8" t="s">
        <v>9</v>
      </c>
      <c r="C5" s="8" t="s">
        <v>10</v>
      </c>
      <c r="D5" s="1227" t="s">
        <v>11</v>
      </c>
      <c r="E5" s="1228"/>
      <c r="F5" s="1396" t="s">
        <v>12</v>
      </c>
      <c r="G5" s="1396"/>
      <c r="H5" s="9" t="s">
        <v>13</v>
      </c>
      <c r="I5" s="10" t="s">
        <v>9</v>
      </c>
      <c r="J5" s="11" t="s">
        <v>14</v>
      </c>
      <c r="K5" s="12" t="s">
        <v>15</v>
      </c>
      <c r="L5" s="1108" t="s">
        <v>16</v>
      </c>
      <c r="M5" s="1108"/>
      <c r="N5" s="1480" t="s">
        <v>17</v>
      </c>
      <c r="O5" s="1452"/>
    </row>
    <row r="6" spans="1:15" ht="16.5" thickTop="1">
      <c r="A6" s="7" t="s">
        <v>18</v>
      </c>
      <c r="B6" s="8" t="s">
        <v>19</v>
      </c>
      <c r="C6" s="8" t="s">
        <v>20</v>
      </c>
      <c r="D6" s="8" t="s">
        <v>21</v>
      </c>
      <c r="E6" s="13" t="s">
        <v>14</v>
      </c>
      <c r="F6" s="14" t="s">
        <v>21</v>
      </c>
      <c r="G6" s="14" t="s">
        <v>14</v>
      </c>
      <c r="H6" s="797" t="s">
        <v>22</v>
      </c>
      <c r="I6" s="10" t="s">
        <v>23</v>
      </c>
      <c r="J6" s="799" t="s">
        <v>22</v>
      </c>
      <c r="K6" s="12" t="s">
        <v>24</v>
      </c>
      <c r="L6" s="12" t="s">
        <v>25</v>
      </c>
      <c r="M6" s="10" t="s">
        <v>26</v>
      </c>
      <c r="N6" s="15" t="s">
        <v>25</v>
      </c>
      <c r="O6" s="16" t="s">
        <v>26</v>
      </c>
    </row>
    <row r="7" spans="1:15" ht="16.5" thickBot="1">
      <c r="A7" s="17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9" t="s">
        <v>28</v>
      </c>
      <c r="I7" s="10" t="s">
        <v>27</v>
      </c>
      <c r="J7" s="11" t="s">
        <v>28</v>
      </c>
      <c r="K7" s="12" t="s">
        <v>29</v>
      </c>
      <c r="L7" s="12" t="s">
        <v>30</v>
      </c>
      <c r="M7" s="10" t="s">
        <v>30</v>
      </c>
      <c r="N7" s="12" t="s">
        <v>31</v>
      </c>
      <c r="O7" s="19" t="s">
        <v>31</v>
      </c>
    </row>
    <row r="8" spans="1:15" ht="15.75">
      <c r="A8" s="20">
        <v>1</v>
      </c>
      <c r="B8" s="21" t="s">
        <v>32</v>
      </c>
      <c r="C8" s="22">
        <v>23100</v>
      </c>
      <c r="D8" s="23"/>
      <c r="E8" s="22"/>
      <c r="F8" s="22">
        <v>2850</v>
      </c>
      <c r="G8" s="24">
        <v>84150</v>
      </c>
      <c r="H8" s="25">
        <f>F8/E3</f>
        <v>21.923076923076923</v>
      </c>
      <c r="I8" s="22">
        <f t="shared" ref="I8:I31" si="0">(C8-F8)+D8</f>
        <v>20250</v>
      </c>
      <c r="J8" s="26">
        <f>G8/F3</f>
        <v>27.554027504911591</v>
      </c>
      <c r="K8" s="24">
        <v>36000</v>
      </c>
      <c r="L8" s="27">
        <f t="shared" ref="L8:L31" si="1">(F8/1000)*K8</f>
        <v>102600</v>
      </c>
      <c r="M8" s="28">
        <f t="shared" ref="M8:M31" si="2">(G8/1000)*K8</f>
        <v>3029400</v>
      </c>
      <c r="N8" s="29">
        <f>L8/E3</f>
        <v>789.23076923076928</v>
      </c>
      <c r="O8" s="30">
        <f>M8/F3</f>
        <v>991.94499017681733</v>
      </c>
    </row>
    <row r="9" spans="1:15" ht="15.75">
      <c r="A9" s="31">
        <v>2</v>
      </c>
      <c r="B9" s="32" t="s">
        <v>33</v>
      </c>
      <c r="C9" s="33">
        <v>4776</v>
      </c>
      <c r="D9" s="34"/>
      <c r="E9" s="33"/>
      <c r="F9" s="33">
        <v>200</v>
      </c>
      <c r="G9" s="35">
        <v>4424</v>
      </c>
      <c r="H9" s="36">
        <f>F9/E3</f>
        <v>1.5384615384615385</v>
      </c>
      <c r="I9" s="33">
        <f t="shared" si="0"/>
        <v>4576</v>
      </c>
      <c r="J9" s="37">
        <f>G9/F3</f>
        <v>1.4485920104780616</v>
      </c>
      <c r="K9" s="35">
        <v>33500</v>
      </c>
      <c r="L9" s="38">
        <f t="shared" si="1"/>
        <v>6700</v>
      </c>
      <c r="M9" s="38">
        <f t="shared" si="2"/>
        <v>148204</v>
      </c>
      <c r="N9" s="39">
        <f>L9/E3</f>
        <v>51.53846153846154</v>
      </c>
      <c r="O9" s="40">
        <f>M9/F3</f>
        <v>48.527832351015064</v>
      </c>
    </row>
    <row r="10" spans="1:15" ht="15.75">
      <c r="A10" s="31">
        <v>3</v>
      </c>
      <c r="B10" s="32" t="s">
        <v>34</v>
      </c>
      <c r="C10" s="33">
        <v>5583</v>
      </c>
      <c r="D10" s="34"/>
      <c r="E10" s="33"/>
      <c r="F10" s="33">
        <v>56</v>
      </c>
      <c r="G10" s="35">
        <v>1293</v>
      </c>
      <c r="H10" s="36">
        <f>F10/E3</f>
        <v>0.43076923076923079</v>
      </c>
      <c r="I10" s="33">
        <f t="shared" si="0"/>
        <v>5527</v>
      </c>
      <c r="J10" s="37">
        <f>G10/F3</f>
        <v>0.42337917485265225</v>
      </c>
      <c r="K10" s="35">
        <v>98000</v>
      </c>
      <c r="L10" s="38">
        <f t="shared" si="1"/>
        <v>5488</v>
      </c>
      <c r="M10" s="38">
        <f t="shared" si="2"/>
        <v>126714</v>
      </c>
      <c r="N10" s="39">
        <f>L10/E3</f>
        <v>42.215384615384615</v>
      </c>
      <c r="O10" s="40">
        <f>M10/F3</f>
        <v>41.491159135559919</v>
      </c>
    </row>
    <row r="11" spans="1:15" ht="15.75">
      <c r="A11" s="31">
        <v>4</v>
      </c>
      <c r="B11" s="32" t="s">
        <v>35</v>
      </c>
      <c r="C11" s="33">
        <v>20.200000000000003</v>
      </c>
      <c r="D11" s="34"/>
      <c r="E11" s="33"/>
      <c r="F11" s="33">
        <v>0.08</v>
      </c>
      <c r="G11" s="41">
        <v>1.36</v>
      </c>
      <c r="H11" s="42">
        <f>F11/E3</f>
        <v>6.1538461538461541E-4</v>
      </c>
      <c r="I11" s="33">
        <f t="shared" si="0"/>
        <v>20.120000000000005</v>
      </c>
      <c r="J11" s="43">
        <f>G11/F3</f>
        <v>4.4531761624099544E-4</v>
      </c>
      <c r="K11" s="35">
        <v>750000</v>
      </c>
      <c r="L11" s="38">
        <f t="shared" si="1"/>
        <v>60.000000000000007</v>
      </c>
      <c r="M11" s="38">
        <f t="shared" si="2"/>
        <v>1020.0000000000001</v>
      </c>
      <c r="N11" s="39">
        <f>L11/E3</f>
        <v>0.46153846153846162</v>
      </c>
      <c r="O11" s="40">
        <f>M11/F3</f>
        <v>0.33398821218074659</v>
      </c>
    </row>
    <row r="12" spans="1:15" ht="15.75">
      <c r="A12" s="31">
        <v>5</v>
      </c>
      <c r="B12" s="32" t="s">
        <v>36</v>
      </c>
      <c r="C12" s="33">
        <v>101</v>
      </c>
      <c r="D12" s="34">
        <v>1000</v>
      </c>
      <c r="E12" s="33">
        <v>1000</v>
      </c>
      <c r="F12" s="33">
        <v>17</v>
      </c>
      <c r="G12" s="35">
        <v>416</v>
      </c>
      <c r="H12" s="36">
        <f>F12/E3</f>
        <v>0.13076923076923078</v>
      </c>
      <c r="I12" s="33">
        <f t="shared" si="0"/>
        <v>1084</v>
      </c>
      <c r="J12" s="37">
        <f>G12/F3</f>
        <v>0.13621480026195154</v>
      </c>
      <c r="K12" s="35">
        <v>350000</v>
      </c>
      <c r="L12" s="38">
        <f t="shared" si="1"/>
        <v>5950</v>
      </c>
      <c r="M12" s="38">
        <f t="shared" si="2"/>
        <v>145600</v>
      </c>
      <c r="N12" s="39">
        <f>L12/E3</f>
        <v>45.769230769230766</v>
      </c>
      <c r="O12" s="40">
        <f>M12/F3</f>
        <v>47.675180091683039</v>
      </c>
    </row>
    <row r="13" spans="1:15" ht="15.75">
      <c r="A13" s="31">
        <v>6</v>
      </c>
      <c r="B13" s="32" t="s">
        <v>37</v>
      </c>
      <c r="C13" s="33">
        <v>1466</v>
      </c>
      <c r="D13" s="34"/>
      <c r="E13" s="33"/>
      <c r="F13" s="33">
        <v>35</v>
      </c>
      <c r="G13" s="35">
        <v>967</v>
      </c>
      <c r="H13" s="36">
        <f>F13/E3</f>
        <v>0.26923076923076922</v>
      </c>
      <c r="I13" s="33">
        <f t="shared" si="0"/>
        <v>1431</v>
      </c>
      <c r="J13" s="37">
        <f>G13/F3</f>
        <v>0.31663392272429602</v>
      </c>
      <c r="K13" s="35">
        <v>204500</v>
      </c>
      <c r="L13" s="38">
        <f t="shared" si="1"/>
        <v>7157.5000000000009</v>
      </c>
      <c r="M13" s="38">
        <f t="shared" si="2"/>
        <v>197751.5</v>
      </c>
      <c r="N13" s="39">
        <f>L13/E3</f>
        <v>55.057692307692314</v>
      </c>
      <c r="O13" s="40">
        <f>M13/F3</f>
        <v>64.751637197118527</v>
      </c>
    </row>
    <row r="14" spans="1:15" ht="15.75">
      <c r="A14" s="31">
        <v>7</v>
      </c>
      <c r="B14" s="32" t="s">
        <v>38</v>
      </c>
      <c r="C14" s="33">
        <v>735</v>
      </c>
      <c r="D14" s="34">
        <v>3000</v>
      </c>
      <c r="E14" s="33">
        <v>3000</v>
      </c>
      <c r="F14" s="33">
        <v>54</v>
      </c>
      <c r="G14" s="35">
        <v>1069</v>
      </c>
      <c r="H14" s="36">
        <f>F14/E3</f>
        <v>0.41538461538461541</v>
      </c>
      <c r="I14" s="33">
        <f t="shared" si="0"/>
        <v>3681</v>
      </c>
      <c r="J14" s="37">
        <f>G14/F3</f>
        <v>0.35003274394237066</v>
      </c>
      <c r="K14" s="35">
        <v>129500</v>
      </c>
      <c r="L14" s="38">
        <f t="shared" si="1"/>
        <v>6993</v>
      </c>
      <c r="M14" s="38">
        <f t="shared" si="2"/>
        <v>138435.5</v>
      </c>
      <c r="N14" s="39">
        <f>L14/E3</f>
        <v>53.792307692307695</v>
      </c>
      <c r="O14" s="40">
        <f>M14/F3</f>
        <v>45.329240340536998</v>
      </c>
    </row>
    <row r="15" spans="1:15" ht="15.75">
      <c r="A15" s="31">
        <v>8</v>
      </c>
      <c r="B15" s="32" t="s">
        <v>39</v>
      </c>
      <c r="C15" s="33">
        <v>602</v>
      </c>
      <c r="D15" s="33">
        <v>500</v>
      </c>
      <c r="E15" s="33">
        <v>500</v>
      </c>
      <c r="F15" s="33">
        <v>20</v>
      </c>
      <c r="G15" s="35">
        <v>403</v>
      </c>
      <c r="H15" s="36">
        <f>F15/E3</f>
        <v>0.15384615384615385</v>
      </c>
      <c r="I15" s="33">
        <f t="shared" si="0"/>
        <v>1082</v>
      </c>
      <c r="J15" s="37">
        <f>G15/F3</f>
        <v>0.13195808775376555</v>
      </c>
      <c r="K15" s="35">
        <v>219500</v>
      </c>
      <c r="L15" s="38">
        <f t="shared" si="1"/>
        <v>4390</v>
      </c>
      <c r="M15" s="38">
        <f t="shared" si="2"/>
        <v>88458.5</v>
      </c>
      <c r="N15" s="39">
        <f>L15/E3</f>
        <v>33.769230769230766</v>
      </c>
      <c r="O15" s="40">
        <f>M15/F3</f>
        <v>28.964800261951538</v>
      </c>
    </row>
    <row r="16" spans="1:15" ht="15.75">
      <c r="A16" s="31">
        <v>9</v>
      </c>
      <c r="B16" s="32" t="s">
        <v>40</v>
      </c>
      <c r="C16" s="33">
        <v>20</v>
      </c>
      <c r="D16" s="34"/>
      <c r="E16" s="33"/>
      <c r="F16" s="33">
        <v>0</v>
      </c>
      <c r="G16" s="35">
        <f>'16-07-26'!G19+'17-07-26'!F16</f>
        <v>0</v>
      </c>
      <c r="H16" s="36">
        <f>F16/E3</f>
        <v>0</v>
      </c>
      <c r="I16" s="33">
        <f t="shared" si="0"/>
        <v>20</v>
      </c>
      <c r="J16" s="37">
        <f>G16/F3</f>
        <v>0</v>
      </c>
      <c r="K16" s="35">
        <v>348200</v>
      </c>
      <c r="L16" s="38">
        <f t="shared" si="1"/>
        <v>0</v>
      </c>
      <c r="M16" s="44">
        <f t="shared" si="2"/>
        <v>0</v>
      </c>
      <c r="N16" s="39">
        <f>L16/E3</f>
        <v>0</v>
      </c>
      <c r="O16" s="40">
        <f>M16/F3</f>
        <v>0</v>
      </c>
    </row>
    <row r="17" spans="1:15" ht="15.75">
      <c r="A17" s="45">
        <v>10</v>
      </c>
      <c r="B17" s="929" t="s">
        <v>41</v>
      </c>
      <c r="C17" s="928">
        <v>2500</v>
      </c>
      <c r="D17" s="928"/>
      <c r="E17" s="928"/>
      <c r="F17" s="928">
        <v>0</v>
      </c>
      <c r="G17" s="927">
        <f>'16-07-26'!G20+'17-07-26'!F17</f>
        <v>1450</v>
      </c>
      <c r="H17" s="930">
        <f>F17/E3</f>
        <v>0</v>
      </c>
      <c r="I17" s="928">
        <f t="shared" si="0"/>
        <v>2500</v>
      </c>
      <c r="J17" s="930">
        <f>G17/F3</f>
        <v>0.47478716437459068</v>
      </c>
      <c r="K17" s="927">
        <v>172000</v>
      </c>
      <c r="L17" s="931">
        <f t="shared" si="1"/>
        <v>0</v>
      </c>
      <c r="M17" s="931">
        <f t="shared" si="2"/>
        <v>249400</v>
      </c>
      <c r="N17" s="931">
        <f>L17/E3</f>
        <v>0</v>
      </c>
      <c r="O17" s="932">
        <f>M17/F3</f>
        <v>81.663392272429604</v>
      </c>
    </row>
    <row r="18" spans="1:15" ht="15.75">
      <c r="A18" s="52">
        <v>11</v>
      </c>
      <c r="B18" s="837" t="s">
        <v>122</v>
      </c>
      <c r="C18" s="54">
        <v>48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48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59" t="s">
        <v>43</v>
      </c>
      <c r="C19" s="60">
        <v>282</v>
      </c>
      <c r="D19" s="61"/>
      <c r="E19" s="61">
        <v>250</v>
      </c>
      <c r="F19" s="62">
        <v>7.1</v>
      </c>
      <c r="G19" s="925">
        <v>137.69999999999999</v>
      </c>
      <c r="H19" s="64">
        <f>F19/E3</f>
        <v>5.4615384615384614E-2</v>
      </c>
      <c r="I19" s="65">
        <f t="shared" si="0"/>
        <v>274.89999999999998</v>
      </c>
      <c r="J19" s="66">
        <f>G19/F3</f>
        <v>4.5088408644400779E-2</v>
      </c>
      <c r="K19" s="60">
        <v>377600</v>
      </c>
      <c r="L19" s="67">
        <f t="shared" si="1"/>
        <v>2680.96</v>
      </c>
      <c r="M19" s="67">
        <f t="shared" si="2"/>
        <v>51995.519999999997</v>
      </c>
      <c r="N19" s="67">
        <f>L19/E3</f>
        <v>20.622769230769229</v>
      </c>
      <c r="O19" s="68">
        <f>M19/F3</f>
        <v>17.025383104125737</v>
      </c>
    </row>
    <row r="20" spans="1:15" ht="15.75">
      <c r="A20" s="58">
        <v>13</v>
      </c>
      <c r="B20" s="59" t="s">
        <v>44</v>
      </c>
      <c r="C20" s="60">
        <v>257.89999999999998</v>
      </c>
      <c r="D20" s="61"/>
      <c r="E20" s="61">
        <v>200</v>
      </c>
      <c r="F20" s="62">
        <v>3.9</v>
      </c>
      <c r="G20" s="925">
        <v>80.5</v>
      </c>
      <c r="H20" s="66">
        <f>F20/E3</f>
        <v>0.03</v>
      </c>
      <c r="I20" s="60">
        <f t="shared" si="0"/>
        <v>253.99999999999997</v>
      </c>
      <c r="J20" s="66">
        <f>G20/F3</f>
        <v>2.635887360838245E-2</v>
      </c>
      <c r="K20" s="60">
        <v>271400</v>
      </c>
      <c r="L20" s="67">
        <f t="shared" si="1"/>
        <v>1058.46</v>
      </c>
      <c r="M20" s="67">
        <f t="shared" si="2"/>
        <v>21847.7</v>
      </c>
      <c r="N20" s="67">
        <f>L20/E3</f>
        <v>8.1419999999999995</v>
      </c>
      <c r="O20" s="68">
        <f>M20/F3</f>
        <v>7.1537982973149967</v>
      </c>
    </row>
    <row r="21" spans="1:15" ht="15.75">
      <c r="A21" s="58">
        <v>14</v>
      </c>
      <c r="B21" s="59" t="s">
        <v>45</v>
      </c>
      <c r="C21" s="60">
        <v>3333.4</v>
      </c>
      <c r="D21" s="61"/>
      <c r="E21" s="61">
        <v>2500</v>
      </c>
      <c r="F21" s="62">
        <v>54.7</v>
      </c>
      <c r="G21" s="925">
        <v>1160.5</v>
      </c>
      <c r="H21" s="66">
        <f>F21/E3</f>
        <v>0.42076923076923078</v>
      </c>
      <c r="I21" s="61">
        <f t="shared" si="0"/>
        <v>3278.7000000000003</v>
      </c>
      <c r="J21" s="66">
        <f>G21/F3</f>
        <v>0.37999345121152589</v>
      </c>
      <c r="K21" s="60">
        <v>271400</v>
      </c>
      <c r="L21" s="67">
        <f t="shared" si="1"/>
        <v>14845.580000000002</v>
      </c>
      <c r="M21" s="67">
        <f t="shared" si="2"/>
        <v>314959.7</v>
      </c>
      <c r="N21" s="67">
        <f>L21/E3</f>
        <v>114.19676923076925</v>
      </c>
      <c r="O21" s="68">
        <f>M21/F3</f>
        <v>103.13022265880812</v>
      </c>
    </row>
    <row r="22" spans="1:15" ht="15.75">
      <c r="A22" s="69">
        <v>15</v>
      </c>
      <c r="B22" s="70" t="s">
        <v>46</v>
      </c>
      <c r="C22" s="71">
        <v>74</v>
      </c>
      <c r="D22" s="72"/>
      <c r="E22" s="72"/>
      <c r="F22" s="34">
        <v>0</v>
      </c>
      <c r="G22" s="35">
        <v>26</v>
      </c>
      <c r="H22" s="73">
        <f>F22/E3</f>
        <v>0</v>
      </c>
      <c r="I22" s="34">
        <f t="shared" si="0"/>
        <v>74</v>
      </c>
      <c r="J22" s="73">
        <f>G22/F3</f>
        <v>8.5134250163719713E-3</v>
      </c>
      <c r="K22" s="34">
        <v>41000</v>
      </c>
      <c r="L22" s="44">
        <f t="shared" si="1"/>
        <v>0</v>
      </c>
      <c r="M22" s="44">
        <f t="shared" si="2"/>
        <v>1066</v>
      </c>
      <c r="N22" s="74">
        <f>L22/E3</f>
        <v>0</v>
      </c>
      <c r="O22" s="75">
        <f>M22/F3</f>
        <v>0.34905042567125083</v>
      </c>
    </row>
    <row r="23" spans="1:15" ht="15.75">
      <c r="A23" s="69">
        <v>16</v>
      </c>
      <c r="B23" s="853" t="s">
        <v>47</v>
      </c>
      <c r="C23" s="71">
        <v>274</v>
      </c>
      <c r="D23" s="72"/>
      <c r="E23" s="72"/>
      <c r="F23" s="34">
        <v>14.4</v>
      </c>
      <c r="G23" s="63">
        <v>176</v>
      </c>
      <c r="H23" s="73">
        <f>F23/E3</f>
        <v>0.11076923076923077</v>
      </c>
      <c r="I23" s="34">
        <f t="shared" si="0"/>
        <v>259.60000000000002</v>
      </c>
      <c r="J23" s="73">
        <f>G23/F3</f>
        <v>5.762933857236411E-2</v>
      </c>
      <c r="K23" s="34">
        <v>24000</v>
      </c>
      <c r="L23" s="44">
        <f t="shared" si="1"/>
        <v>345.59999999999997</v>
      </c>
      <c r="M23" s="44">
        <f t="shared" si="2"/>
        <v>4224</v>
      </c>
      <c r="N23" s="74">
        <f>L23/E3</f>
        <v>2.658461538461538</v>
      </c>
      <c r="O23" s="75">
        <f>M23/F3</f>
        <v>1.3831041257367387</v>
      </c>
    </row>
    <row r="24" spans="1:15" ht="15.75">
      <c r="A24" s="69">
        <v>17</v>
      </c>
      <c r="B24" s="70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70" t="s">
        <v>49</v>
      </c>
      <c r="C25" s="71">
        <v>105</v>
      </c>
      <c r="D25" s="72"/>
      <c r="E25" s="34"/>
      <c r="F25" s="34">
        <v>5</v>
      </c>
      <c r="G25" s="35">
        <v>150</v>
      </c>
      <c r="H25" s="73">
        <f>F25/E3</f>
        <v>3.8461538461538464E-2</v>
      </c>
      <c r="I25" s="34">
        <f t="shared" si="0"/>
        <v>100</v>
      </c>
      <c r="J25" s="73">
        <f>G25/F3</f>
        <v>4.9115913555992138E-2</v>
      </c>
      <c r="K25" s="34">
        <v>14400</v>
      </c>
      <c r="L25" s="44">
        <f t="shared" si="1"/>
        <v>72</v>
      </c>
      <c r="M25" s="44">
        <f t="shared" si="2"/>
        <v>2160</v>
      </c>
      <c r="N25" s="74">
        <f>L25/E3</f>
        <v>0.55384615384615388</v>
      </c>
      <c r="O25" s="75">
        <f>M25/F3</f>
        <v>0.70726915520628686</v>
      </c>
    </row>
    <row r="26" spans="1:15" ht="15.75">
      <c r="A26" s="69">
        <v>19</v>
      </c>
      <c r="B26" s="70" t="s">
        <v>50</v>
      </c>
      <c r="C26" s="71">
        <v>127.4</v>
      </c>
      <c r="D26" s="34"/>
      <c r="E26" s="72"/>
      <c r="F26" s="34">
        <v>4</v>
      </c>
      <c r="G26" s="35">
        <v>83</v>
      </c>
      <c r="H26" s="73">
        <f>F26/E3</f>
        <v>3.0769230769230771E-2</v>
      </c>
      <c r="I26" s="34">
        <f t="shared" si="0"/>
        <v>123.4</v>
      </c>
      <c r="J26" s="73">
        <f>G26/F3</f>
        <v>2.7177472167648986E-2</v>
      </c>
      <c r="K26" s="34">
        <v>102000</v>
      </c>
      <c r="L26" s="44">
        <f t="shared" si="1"/>
        <v>408</v>
      </c>
      <c r="M26" s="44">
        <f t="shared" si="2"/>
        <v>8466</v>
      </c>
      <c r="N26" s="74">
        <f>L26/E3</f>
        <v>3.1384615384615384</v>
      </c>
      <c r="O26" s="75">
        <f>M26/F3</f>
        <v>2.7721021611001966</v>
      </c>
    </row>
    <row r="27" spans="1:15" ht="15.75">
      <c r="A27" s="69">
        <v>20</v>
      </c>
      <c r="B27" s="70" t="s">
        <v>51</v>
      </c>
      <c r="C27" s="71">
        <v>75</v>
      </c>
      <c r="D27" s="72"/>
      <c r="E27" s="72"/>
      <c r="F27" s="34">
        <v>5</v>
      </c>
      <c r="G27" s="35">
        <v>110</v>
      </c>
      <c r="H27" s="73">
        <f>F27/E3</f>
        <v>3.8461538461538464E-2</v>
      </c>
      <c r="I27" s="34">
        <f t="shared" si="0"/>
        <v>70</v>
      </c>
      <c r="J27" s="73">
        <f>G27/F3</f>
        <v>3.6018336607727568E-2</v>
      </c>
      <c r="K27" s="34">
        <v>107000</v>
      </c>
      <c r="L27" s="44">
        <f t="shared" si="1"/>
        <v>535</v>
      </c>
      <c r="M27" s="44">
        <f t="shared" si="2"/>
        <v>11770</v>
      </c>
      <c r="N27" s="74">
        <f>L27/E3</f>
        <v>4.115384615384615</v>
      </c>
      <c r="O27" s="75">
        <f>M27/F3</f>
        <v>3.8539620170268498</v>
      </c>
    </row>
    <row r="28" spans="1:15" ht="15.75">
      <c r="A28" s="69">
        <v>21</v>
      </c>
      <c r="B28" s="70" t="s">
        <v>52</v>
      </c>
      <c r="C28" s="71">
        <v>106</v>
      </c>
      <c r="D28" s="72"/>
      <c r="E28" s="72"/>
      <c r="F28" s="34">
        <v>3</v>
      </c>
      <c r="G28" s="35">
        <v>66</v>
      </c>
      <c r="H28" s="73">
        <f>F28/E3</f>
        <v>2.3076923076923078E-2</v>
      </c>
      <c r="I28" s="34">
        <f t="shared" si="0"/>
        <v>103</v>
      </c>
      <c r="J28" s="73">
        <f>G28/F3</f>
        <v>2.1611001964636542E-2</v>
      </c>
      <c r="K28" s="34">
        <v>100000</v>
      </c>
      <c r="L28" s="44">
        <f t="shared" si="1"/>
        <v>300</v>
      </c>
      <c r="M28" s="44">
        <f t="shared" si="2"/>
        <v>6600</v>
      </c>
      <c r="N28" s="74">
        <f>L28/E3</f>
        <v>2.3076923076923075</v>
      </c>
      <c r="O28" s="75">
        <f>M28/F3</f>
        <v>2.161100196463654</v>
      </c>
    </row>
    <row r="29" spans="1:15" ht="15.75">
      <c r="A29" s="69">
        <v>22</v>
      </c>
      <c r="B29" s="70" t="s">
        <v>53</v>
      </c>
      <c r="C29" s="71">
        <v>43</v>
      </c>
      <c r="D29" s="72"/>
      <c r="E29" s="72"/>
      <c r="F29" s="34">
        <v>1</v>
      </c>
      <c r="G29" s="35">
        <v>22</v>
      </c>
      <c r="H29" s="73">
        <f>F29/E3</f>
        <v>7.6923076923076927E-3</v>
      </c>
      <c r="I29" s="34">
        <f t="shared" si="0"/>
        <v>42</v>
      </c>
      <c r="J29" s="73">
        <f>G29/F3</f>
        <v>7.2036673215455137E-3</v>
      </c>
      <c r="K29" s="34">
        <v>255000</v>
      </c>
      <c r="L29" s="44">
        <f t="shared" si="1"/>
        <v>255</v>
      </c>
      <c r="M29" s="44">
        <f t="shared" si="2"/>
        <v>5610</v>
      </c>
      <c r="N29" s="74">
        <f>L29/E3</f>
        <v>1.9615384615384615</v>
      </c>
      <c r="O29" s="76">
        <f>M29/F3</f>
        <v>1.8369351669941061</v>
      </c>
    </row>
    <row r="30" spans="1:15" ht="15.75">
      <c r="A30" s="69">
        <v>23</v>
      </c>
      <c r="B30" s="70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77">
        <f>L30/F3</f>
        <v>0</v>
      </c>
      <c r="O30" s="76">
        <f>M30/F3</f>
        <v>0</v>
      </c>
    </row>
    <row r="31" spans="1:15" ht="16.5" thickBot="1">
      <c r="A31" s="78">
        <v>24</v>
      </c>
      <c r="B31" s="79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87">
        <f>L31/F3</f>
        <v>0</v>
      </c>
      <c r="O31" s="88">
        <f>M31/F3</f>
        <v>0</v>
      </c>
    </row>
    <row r="32" spans="1:15" ht="16.5" thickBot="1">
      <c r="A32" s="89" t="s">
        <v>56</v>
      </c>
      <c r="B32" s="90" t="s">
        <v>57</v>
      </c>
      <c r="C32" s="91" t="s">
        <v>58</v>
      </c>
      <c r="D32" s="1457" t="s">
        <v>59</v>
      </c>
      <c r="E32" s="1457"/>
      <c r="F32" s="1458"/>
      <c r="G32" s="1471"/>
      <c r="H32" s="1472"/>
      <c r="I32" s="1472"/>
      <c r="J32" s="1472"/>
      <c r="K32" s="1472"/>
      <c r="L32" s="1473"/>
      <c r="M32" s="92" t="s">
        <v>60</v>
      </c>
      <c r="N32" s="93">
        <f>SUM(N8,N9,N10,N11,N12,N13,N14,N15,N16,N17,N18,N19,N20,N21,N22,N23,N24,N25,N26,N27,N28,N29,N30,N31)</f>
        <v>1229.5315384615385</v>
      </c>
      <c r="O32" s="94">
        <f>SUM(O8,O9,O10,O11,O12,O13,O14,O15,O16,O17,O18,O19,O20,O21,O22,O23,O24,O25,O26,O27,O28,O29,O30,O31,)</f>
        <v>1491.0551473477403</v>
      </c>
    </row>
    <row r="33" spans="1:15" ht="17.25" thickTop="1" thickBot="1">
      <c r="A33" s="31">
        <v>1</v>
      </c>
      <c r="B33" s="33" t="s">
        <v>115</v>
      </c>
      <c r="C33" s="33">
        <v>2</v>
      </c>
      <c r="D33" s="1447"/>
      <c r="E33" s="1448"/>
      <c r="F33" s="95">
        <v>3.5</v>
      </c>
      <c r="G33" s="1474"/>
      <c r="H33" s="1475"/>
      <c r="I33" s="1475"/>
      <c r="J33" s="1475"/>
      <c r="K33" s="1475"/>
      <c r="L33" s="1476"/>
      <c r="M33" s="1464"/>
      <c r="N33" s="921" t="s">
        <v>17</v>
      </c>
      <c r="O33" s="922" t="s">
        <v>17</v>
      </c>
    </row>
    <row r="34" spans="1:15" ht="15.75">
      <c r="A34" s="31">
        <v>2</v>
      </c>
      <c r="B34" s="33" t="s">
        <v>121</v>
      </c>
      <c r="C34" s="33">
        <v>73</v>
      </c>
      <c r="D34" s="1096"/>
      <c r="E34" s="1449"/>
      <c r="F34" s="98">
        <v>126.5</v>
      </c>
      <c r="G34" s="1474"/>
      <c r="H34" s="1475"/>
      <c r="I34" s="1475"/>
      <c r="J34" s="1475"/>
      <c r="K34" s="1475"/>
      <c r="L34" s="1476"/>
      <c r="M34" s="1465"/>
      <c r="N34" s="917" t="s">
        <v>25</v>
      </c>
      <c r="O34" s="918" t="s">
        <v>26</v>
      </c>
    </row>
    <row r="35" spans="1:15" ht="16.5" thickBot="1">
      <c r="A35" s="31">
        <v>3</v>
      </c>
      <c r="B35" s="33"/>
      <c r="C35" s="34"/>
      <c r="D35" s="1096"/>
      <c r="E35" s="1449"/>
      <c r="F35" s="101"/>
      <c r="G35" s="1474"/>
      <c r="H35" s="1475"/>
      <c r="I35" s="1475"/>
      <c r="J35" s="1475"/>
      <c r="K35" s="1475"/>
      <c r="L35" s="1476"/>
      <c r="M35" s="1466"/>
      <c r="N35" s="919" t="s">
        <v>118</v>
      </c>
      <c r="O35" s="920" t="s">
        <v>118</v>
      </c>
    </row>
    <row r="36" spans="1:15" ht="20.25" thickBot="1">
      <c r="A36" s="104">
        <v>4</v>
      </c>
      <c r="B36" s="33"/>
      <c r="C36" s="105"/>
      <c r="D36" s="1096"/>
      <c r="E36" s="1449"/>
      <c r="F36" s="106"/>
      <c r="G36" s="1477"/>
      <c r="H36" s="1478"/>
      <c r="I36" s="1478"/>
      <c r="J36" s="1478"/>
      <c r="K36" s="1478"/>
      <c r="L36" s="1479"/>
      <c r="M36" s="107" t="s">
        <v>60</v>
      </c>
      <c r="N36" s="108">
        <f>N32/1000</f>
        <v>1.2295315384615384</v>
      </c>
      <c r="O36" s="109">
        <f>O32/1000</f>
        <v>1.4910551473477403</v>
      </c>
    </row>
    <row r="37" spans="1:15" ht="20.25" thickBot="1">
      <c r="A37" s="110">
        <v>6</v>
      </c>
      <c r="B37" s="111" t="s">
        <v>60</v>
      </c>
      <c r="C37" s="112">
        <f>SUM(C33:C36)</f>
        <v>75</v>
      </c>
      <c r="D37" s="113"/>
      <c r="E37" s="114"/>
      <c r="F37" s="923">
        <f>SUM(F33:F36)</f>
        <v>130</v>
      </c>
      <c r="G37" s="116"/>
      <c r="H37" s="1463"/>
      <c r="I37" s="1463"/>
      <c r="J37" s="117"/>
      <c r="K37" s="118"/>
      <c r="L37" s="1"/>
      <c r="M37" s="1"/>
      <c r="N37" s="1"/>
      <c r="O37" s="1"/>
    </row>
  </sheetData>
  <mergeCells count="15">
    <mergeCell ref="H37:I37"/>
    <mergeCell ref="D5:E5"/>
    <mergeCell ref="F5:G5"/>
    <mergeCell ref="L5:M5"/>
    <mergeCell ref="N5:O5"/>
    <mergeCell ref="D32:F32"/>
    <mergeCell ref="G32:L36"/>
    <mergeCell ref="D33:E36"/>
    <mergeCell ref="M33:M35"/>
    <mergeCell ref="A1:O1"/>
    <mergeCell ref="A2:O2"/>
    <mergeCell ref="A3:D3"/>
    <mergeCell ref="H3:O4"/>
    <mergeCell ref="A4:B4"/>
    <mergeCell ref="C4:D4"/>
  </mergeCells>
  <pageMargins left="0.11" right="0.12" top="0.86614173228346458" bottom="0.43307086614173229" header="0.31496062992125984" footer="0.31496062992125984"/>
  <pageSetup scale="7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7"/>
  <sheetViews>
    <sheetView workbookViewId="0">
      <selection activeCell="G12" sqref="G12"/>
    </sheetView>
  </sheetViews>
  <sheetFormatPr defaultRowHeight="15"/>
  <cols>
    <col min="1" max="1" width="4.85546875" customWidth="1"/>
    <col min="2" max="2" width="27.140625" customWidth="1"/>
    <col min="3" max="3" width="10.5703125" customWidth="1"/>
    <col min="4" max="4" width="7.5703125" customWidth="1"/>
    <col min="5" max="5" width="8.5703125" customWidth="1"/>
    <col min="6" max="6" width="11" customWidth="1"/>
    <col min="7" max="7" width="9.42578125" customWidth="1"/>
    <col min="8" max="8" width="11.140625" customWidth="1"/>
    <col min="10" max="10" width="11.28515625" customWidth="1"/>
    <col min="11" max="11" width="8.5703125" customWidth="1"/>
    <col min="12" max="12" width="11.85546875" customWidth="1"/>
    <col min="13" max="13" width="13.140625" customWidth="1"/>
    <col min="14" max="15" width="10" customWidth="1"/>
  </cols>
  <sheetData>
    <row r="1" spans="1:15" ht="15" customHeight="1" thickBot="1">
      <c r="A1" s="1500" t="s">
        <v>0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2"/>
    </row>
    <row r="2" spans="1:15" ht="16.5" customHeight="1" thickBot="1">
      <c r="A2" s="1484" t="s">
        <v>1</v>
      </c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6"/>
    </row>
    <row r="3" spans="1:15" ht="15.75" customHeight="1" thickBot="1">
      <c r="A3" s="1124" t="s">
        <v>2</v>
      </c>
      <c r="B3" s="1125"/>
      <c r="C3" s="1125"/>
      <c r="D3" s="1126"/>
      <c r="E3" s="3">
        <v>134</v>
      </c>
      <c r="F3" s="2">
        <v>3188</v>
      </c>
      <c r="G3" s="1493" t="s">
        <v>124</v>
      </c>
      <c r="H3" s="1494"/>
      <c r="I3" s="1497" t="s">
        <v>123</v>
      </c>
      <c r="J3" s="1130"/>
      <c r="K3" s="1130"/>
      <c r="L3" s="1130"/>
      <c r="M3" s="1130"/>
      <c r="N3" s="1130"/>
      <c r="O3" s="1131"/>
    </row>
    <row r="4" spans="1:15" ht="18" customHeight="1" thickTop="1" thickBot="1">
      <c r="A4" s="1487" t="s">
        <v>5</v>
      </c>
      <c r="B4" s="1488"/>
      <c r="C4" s="1503" t="s">
        <v>6</v>
      </c>
      <c r="D4" s="1504"/>
      <c r="E4" s="5">
        <v>0</v>
      </c>
      <c r="F4" s="938">
        <v>464.5</v>
      </c>
      <c r="G4" s="1495" t="s">
        <v>113</v>
      </c>
      <c r="H4" s="1496"/>
      <c r="I4" s="1470"/>
      <c r="J4" s="1132"/>
      <c r="K4" s="1132"/>
      <c r="L4" s="1132"/>
      <c r="M4" s="1132"/>
      <c r="N4" s="1132"/>
      <c r="O4" s="1133"/>
    </row>
    <row r="5" spans="1:15" ht="20.25" customHeight="1" thickTop="1" thickBot="1">
      <c r="A5" s="7" t="s">
        <v>8</v>
      </c>
      <c r="B5" s="8" t="s">
        <v>9</v>
      </c>
      <c r="C5" s="8" t="s">
        <v>10</v>
      </c>
      <c r="D5" s="1498" t="s">
        <v>11</v>
      </c>
      <c r="E5" s="1499"/>
      <c r="F5" s="1152" t="s">
        <v>12</v>
      </c>
      <c r="G5" s="1152"/>
      <c r="H5" s="797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8"/>
      <c r="N5" s="1480" t="s">
        <v>17</v>
      </c>
      <c r="O5" s="1452"/>
    </row>
    <row r="6" spans="1:15" ht="16.5" thickTop="1">
      <c r="A6" s="7" t="s">
        <v>18</v>
      </c>
      <c r="B6" s="8" t="s">
        <v>19</v>
      </c>
      <c r="C6" s="8" t="s">
        <v>20</v>
      </c>
      <c r="D6" s="790" t="s">
        <v>21</v>
      </c>
      <c r="E6" s="795" t="s">
        <v>14</v>
      </c>
      <c r="F6" s="796" t="s">
        <v>21</v>
      </c>
      <c r="G6" s="796" t="s">
        <v>14</v>
      </c>
      <c r="H6" s="341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798" t="s">
        <v>26</v>
      </c>
      <c r="N6" s="794" t="s">
        <v>25</v>
      </c>
      <c r="O6" s="939" t="s">
        <v>26</v>
      </c>
    </row>
    <row r="7" spans="1:15" ht="16.5" thickBot="1">
      <c r="A7" s="17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797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0" t="s">
        <v>30</v>
      </c>
      <c r="N7" s="800" t="s">
        <v>31</v>
      </c>
      <c r="O7" s="940" t="s">
        <v>31</v>
      </c>
    </row>
    <row r="8" spans="1:15" ht="15.75">
      <c r="A8" s="20">
        <v>1</v>
      </c>
      <c r="B8" s="933" t="s">
        <v>32</v>
      </c>
      <c r="C8" s="22">
        <v>20250</v>
      </c>
      <c r="D8" s="23"/>
      <c r="E8" s="22"/>
      <c r="F8" s="22">
        <v>3000</v>
      </c>
      <c r="G8" s="24">
        <v>87150</v>
      </c>
      <c r="H8" s="25">
        <f>F8/E3</f>
        <v>22.388059701492537</v>
      </c>
      <c r="I8" s="22">
        <f t="shared" ref="I8:I31" si="0">(C8-F8)+D8</f>
        <v>17250</v>
      </c>
      <c r="J8" s="26">
        <f>G8/F3</f>
        <v>27.336888331242157</v>
      </c>
      <c r="K8" s="24">
        <v>36000</v>
      </c>
      <c r="L8" s="27">
        <f t="shared" ref="L8:L31" si="1">(F8/1000)*K8</f>
        <v>108000</v>
      </c>
      <c r="M8" s="28">
        <f t="shared" ref="M8:M31" si="2">(G8/1000)*K8</f>
        <v>3137400</v>
      </c>
      <c r="N8" s="29">
        <f>L8/E3</f>
        <v>805.97014925373139</v>
      </c>
      <c r="O8" s="30">
        <f>M8/F3</f>
        <v>984.12797992471769</v>
      </c>
    </row>
    <row r="9" spans="1:15" ht="15.75">
      <c r="A9" s="31">
        <v>2</v>
      </c>
      <c r="B9" s="817" t="s">
        <v>33</v>
      </c>
      <c r="C9" s="33">
        <v>4576</v>
      </c>
      <c r="D9" s="34"/>
      <c r="E9" s="33"/>
      <c r="F9" s="33">
        <v>223</v>
      </c>
      <c r="G9" s="35">
        <v>4647</v>
      </c>
      <c r="H9" s="36">
        <f>F9/E3</f>
        <v>1.664179104477612</v>
      </c>
      <c r="I9" s="33">
        <f t="shared" si="0"/>
        <v>4353</v>
      </c>
      <c r="J9" s="37">
        <f>G9/F3</f>
        <v>1.4576537013801756</v>
      </c>
      <c r="K9" s="35">
        <v>33500</v>
      </c>
      <c r="L9" s="38">
        <f t="shared" si="1"/>
        <v>7470.5</v>
      </c>
      <c r="M9" s="38">
        <f t="shared" si="2"/>
        <v>155674.5</v>
      </c>
      <c r="N9" s="39">
        <f>L9/E3</f>
        <v>55.75</v>
      </c>
      <c r="O9" s="40">
        <f>M9/F3</f>
        <v>48.831398996235883</v>
      </c>
    </row>
    <row r="10" spans="1:15" ht="15.75">
      <c r="A10" s="31">
        <v>3</v>
      </c>
      <c r="B10" s="817" t="s">
        <v>34</v>
      </c>
      <c r="C10" s="33">
        <v>5527</v>
      </c>
      <c r="D10" s="34"/>
      <c r="E10" s="33"/>
      <c r="F10" s="33">
        <v>63</v>
      </c>
      <c r="G10" s="35">
        <v>1356</v>
      </c>
      <c r="H10" s="36">
        <f>F10/E3</f>
        <v>0.47014925373134331</v>
      </c>
      <c r="I10" s="33">
        <f t="shared" si="0"/>
        <v>5464</v>
      </c>
      <c r="J10" s="37">
        <f>G10/F3</f>
        <v>0.42534504391468003</v>
      </c>
      <c r="K10" s="35">
        <v>98000</v>
      </c>
      <c r="L10" s="38">
        <f t="shared" si="1"/>
        <v>6174</v>
      </c>
      <c r="M10" s="38">
        <f t="shared" si="2"/>
        <v>132888</v>
      </c>
      <c r="N10" s="39">
        <f>L10/E3</f>
        <v>46.07462686567164</v>
      </c>
      <c r="O10" s="40">
        <f>M10/F3</f>
        <v>41.683814303638648</v>
      </c>
    </row>
    <row r="11" spans="1:15" ht="15.75">
      <c r="A11" s="31">
        <v>4</v>
      </c>
      <c r="B11" s="817" t="s">
        <v>35</v>
      </c>
      <c r="C11" s="33">
        <v>20.120000000000005</v>
      </c>
      <c r="D11" s="34"/>
      <c r="E11" s="33"/>
      <c r="F11" s="33">
        <v>0.08</v>
      </c>
      <c r="G11" s="41">
        <v>1.44</v>
      </c>
      <c r="H11" s="42">
        <f>F11/E3</f>
        <v>5.9701492537313433E-4</v>
      </c>
      <c r="I11" s="33">
        <f t="shared" si="0"/>
        <v>20.040000000000006</v>
      </c>
      <c r="J11" s="43">
        <f>G11/F3</f>
        <v>4.5169385194479295E-4</v>
      </c>
      <c r="K11" s="35">
        <v>750000</v>
      </c>
      <c r="L11" s="38">
        <f t="shared" si="1"/>
        <v>60.000000000000007</v>
      </c>
      <c r="M11" s="38">
        <f t="shared" si="2"/>
        <v>1080</v>
      </c>
      <c r="N11" s="39">
        <f>L11/E3</f>
        <v>0.44776119402985082</v>
      </c>
      <c r="O11" s="40">
        <f>M11/F3</f>
        <v>0.33877038895859474</v>
      </c>
    </row>
    <row r="12" spans="1:15" ht="15.75">
      <c r="A12" s="31">
        <v>5</v>
      </c>
      <c r="B12" s="817" t="s">
        <v>36</v>
      </c>
      <c r="C12" s="33">
        <v>1084</v>
      </c>
      <c r="D12" s="34"/>
      <c r="E12" s="33">
        <v>1000</v>
      </c>
      <c r="F12" s="33">
        <v>16</v>
      </c>
      <c r="G12" s="35">
        <v>432</v>
      </c>
      <c r="H12" s="36">
        <f>F12/E3</f>
        <v>0.11940298507462686</v>
      </c>
      <c r="I12" s="33">
        <f t="shared" si="0"/>
        <v>1068</v>
      </c>
      <c r="J12" s="37">
        <f>G12/F3</f>
        <v>0.1355081555834379</v>
      </c>
      <c r="K12" s="35">
        <v>350000</v>
      </c>
      <c r="L12" s="38">
        <f t="shared" si="1"/>
        <v>5600</v>
      </c>
      <c r="M12" s="38">
        <f t="shared" si="2"/>
        <v>151200</v>
      </c>
      <c r="N12" s="39">
        <f>L12/E3</f>
        <v>41.791044776119406</v>
      </c>
      <c r="O12" s="40">
        <f>M12/F3</f>
        <v>47.427854454203263</v>
      </c>
    </row>
    <row r="13" spans="1:15" ht="15.75">
      <c r="A13" s="31">
        <v>6</v>
      </c>
      <c r="B13" s="817" t="s">
        <v>37</v>
      </c>
      <c r="C13" s="33">
        <v>1431</v>
      </c>
      <c r="D13" s="34"/>
      <c r="E13" s="33"/>
      <c r="F13" s="33">
        <v>40</v>
      </c>
      <c r="G13" s="35">
        <v>1007</v>
      </c>
      <c r="H13" s="36">
        <f>F13/E3</f>
        <v>0.29850746268656714</v>
      </c>
      <c r="I13" s="33">
        <f t="shared" si="0"/>
        <v>1391</v>
      </c>
      <c r="J13" s="37">
        <f>G13/F3</f>
        <v>0.31587202007528231</v>
      </c>
      <c r="K13" s="35">
        <v>204500</v>
      </c>
      <c r="L13" s="38">
        <f t="shared" si="1"/>
        <v>8180</v>
      </c>
      <c r="M13" s="38">
        <f t="shared" si="2"/>
        <v>205931.49999999997</v>
      </c>
      <c r="N13" s="39">
        <f>L13/E3</f>
        <v>61.044776119402982</v>
      </c>
      <c r="O13" s="40">
        <f>M13/F3</f>
        <v>64.595828105395228</v>
      </c>
    </row>
    <row r="14" spans="1:15" ht="15.75">
      <c r="A14" s="31">
        <v>7</v>
      </c>
      <c r="B14" s="817" t="s">
        <v>38</v>
      </c>
      <c r="C14" s="33">
        <v>3681</v>
      </c>
      <c r="D14" s="34"/>
      <c r="E14" s="33">
        <v>3000</v>
      </c>
      <c r="F14" s="33">
        <v>44</v>
      </c>
      <c r="G14" s="35">
        <v>1113</v>
      </c>
      <c r="H14" s="36">
        <f>F14/E3</f>
        <v>0.32835820895522388</v>
      </c>
      <c r="I14" s="33">
        <f t="shared" si="0"/>
        <v>3637</v>
      </c>
      <c r="J14" s="37">
        <f>G14/F3</f>
        <v>0.34912170639899626</v>
      </c>
      <c r="K14" s="35">
        <v>129500</v>
      </c>
      <c r="L14" s="38">
        <f t="shared" si="1"/>
        <v>5698</v>
      </c>
      <c r="M14" s="38">
        <f t="shared" si="2"/>
        <v>144133.5</v>
      </c>
      <c r="N14" s="39">
        <f>L14/E3</f>
        <v>42.522388059701491</v>
      </c>
      <c r="O14" s="40">
        <f>M14/F3</f>
        <v>45.211260978670012</v>
      </c>
    </row>
    <row r="15" spans="1:15" ht="15.75">
      <c r="A15" s="31">
        <v>8</v>
      </c>
      <c r="B15" s="817" t="s">
        <v>39</v>
      </c>
      <c r="C15" s="33">
        <v>1082</v>
      </c>
      <c r="D15" s="33"/>
      <c r="E15" s="33">
        <v>500</v>
      </c>
      <c r="F15" s="33">
        <v>20</v>
      </c>
      <c r="G15" s="35">
        <v>423</v>
      </c>
      <c r="H15" s="36">
        <f>F15/E3</f>
        <v>0.14925373134328357</v>
      </c>
      <c r="I15" s="33">
        <f t="shared" si="0"/>
        <v>1062</v>
      </c>
      <c r="J15" s="37">
        <f>G15/F3</f>
        <v>0.13268506900878294</v>
      </c>
      <c r="K15" s="35">
        <v>219500</v>
      </c>
      <c r="L15" s="38">
        <f t="shared" si="1"/>
        <v>4390</v>
      </c>
      <c r="M15" s="38">
        <f t="shared" si="2"/>
        <v>92848.5</v>
      </c>
      <c r="N15" s="39">
        <f>L15/E3</f>
        <v>32.761194029850749</v>
      </c>
      <c r="O15" s="40">
        <f>M15/F3</f>
        <v>29.124372647427855</v>
      </c>
    </row>
    <row r="16" spans="1:15" ht="15.75">
      <c r="A16" s="31">
        <v>9</v>
      </c>
      <c r="B16" s="817" t="s">
        <v>40</v>
      </c>
      <c r="C16" s="33">
        <v>20</v>
      </c>
      <c r="D16" s="34"/>
      <c r="E16" s="33"/>
      <c r="F16" s="33">
        <v>0</v>
      </c>
      <c r="G16" s="35">
        <f>'16-07-26'!G19+'17-07-26'!F16</f>
        <v>0</v>
      </c>
      <c r="H16" s="36">
        <f>F16/E3</f>
        <v>0</v>
      </c>
      <c r="I16" s="33">
        <f t="shared" si="0"/>
        <v>20</v>
      </c>
      <c r="J16" s="37">
        <f>G16/F3</f>
        <v>0</v>
      </c>
      <c r="K16" s="35">
        <v>348200</v>
      </c>
      <c r="L16" s="38">
        <f t="shared" si="1"/>
        <v>0</v>
      </c>
      <c r="M16" s="44">
        <f t="shared" si="2"/>
        <v>0</v>
      </c>
      <c r="N16" s="39">
        <f>L16/E3</f>
        <v>0</v>
      </c>
      <c r="O16" s="40">
        <f>M16/F3</f>
        <v>0</v>
      </c>
    </row>
    <row r="17" spans="1:15" ht="15.75">
      <c r="A17" s="45">
        <v>10</v>
      </c>
      <c r="B17" s="934" t="s">
        <v>41</v>
      </c>
      <c r="C17" s="928">
        <v>2500</v>
      </c>
      <c r="D17" s="928"/>
      <c r="E17" s="928"/>
      <c r="F17" s="928">
        <v>0</v>
      </c>
      <c r="G17" s="927">
        <f>'16-07-26'!G20+'17-07-26'!F17</f>
        <v>1450</v>
      </c>
      <c r="H17" s="930">
        <f>F17/E3</f>
        <v>0</v>
      </c>
      <c r="I17" s="928">
        <f t="shared" si="0"/>
        <v>2500</v>
      </c>
      <c r="J17" s="930">
        <f>G17/F3</f>
        <v>0.45483061480552073</v>
      </c>
      <c r="K17" s="927">
        <v>172000</v>
      </c>
      <c r="L17" s="931">
        <f t="shared" si="1"/>
        <v>0</v>
      </c>
      <c r="M17" s="931">
        <f t="shared" si="2"/>
        <v>249400</v>
      </c>
      <c r="N17" s="931">
        <f>L17/E3</f>
        <v>0</v>
      </c>
      <c r="O17" s="932">
        <f>M17/F3</f>
        <v>78.230865746549554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274.89999999999998</v>
      </c>
      <c r="D19" s="61"/>
      <c r="E19" s="61">
        <v>250</v>
      </c>
      <c r="F19" s="62">
        <v>7.8</v>
      </c>
      <c r="G19" s="925">
        <v>145.5</v>
      </c>
      <c r="H19" s="64">
        <f>F19/E3</f>
        <v>5.8208955223880594E-2</v>
      </c>
      <c r="I19" s="65">
        <f t="shared" si="0"/>
        <v>267.09999999999997</v>
      </c>
      <c r="J19" s="66">
        <f>G19/F3</f>
        <v>4.5639899623588456E-2</v>
      </c>
      <c r="K19" s="60">
        <v>377600</v>
      </c>
      <c r="L19" s="67">
        <f t="shared" si="1"/>
        <v>2945.2799999999997</v>
      </c>
      <c r="M19" s="67">
        <f t="shared" si="2"/>
        <v>54940.799999999996</v>
      </c>
      <c r="N19" s="67">
        <f>L19/E3</f>
        <v>21.979701492537313</v>
      </c>
      <c r="O19" s="68">
        <f>M19/F3</f>
        <v>17.233626097866999</v>
      </c>
    </row>
    <row r="20" spans="1:15" ht="15.75">
      <c r="A20" s="58">
        <v>13</v>
      </c>
      <c r="B20" s="843" t="s">
        <v>44</v>
      </c>
      <c r="C20" s="60">
        <v>253.99999999999997</v>
      </c>
      <c r="D20" s="61"/>
      <c r="E20" s="61">
        <v>200</v>
      </c>
      <c r="F20" s="62">
        <v>4.4000000000000004</v>
      </c>
      <c r="G20" s="925">
        <v>84.9</v>
      </c>
      <c r="H20" s="66">
        <f>F20/E3</f>
        <v>3.2835820895522394E-2</v>
      </c>
      <c r="I20" s="60">
        <f t="shared" si="0"/>
        <v>249.59999999999997</v>
      </c>
      <c r="J20" s="66">
        <f>G20/F3</f>
        <v>2.6631116687578421E-2</v>
      </c>
      <c r="K20" s="60">
        <v>271400</v>
      </c>
      <c r="L20" s="67">
        <f t="shared" si="1"/>
        <v>1194.1600000000001</v>
      </c>
      <c r="M20" s="67">
        <f t="shared" si="2"/>
        <v>23041.86</v>
      </c>
      <c r="N20" s="67">
        <f>L20/E3</f>
        <v>8.9116417910447776</v>
      </c>
      <c r="O20" s="68">
        <f>M20/F3</f>
        <v>7.2276850690087828</v>
      </c>
    </row>
    <row r="21" spans="1:15" ht="15.75">
      <c r="A21" s="58">
        <v>14</v>
      </c>
      <c r="B21" s="843" t="s">
        <v>45</v>
      </c>
      <c r="C21" s="60">
        <v>3278.7000000000003</v>
      </c>
      <c r="D21" s="61"/>
      <c r="E21" s="61">
        <v>2500</v>
      </c>
      <c r="F21" s="62">
        <v>60.4</v>
      </c>
      <c r="G21" s="925">
        <v>1220.9000000000001</v>
      </c>
      <c r="H21" s="66">
        <f>F21/E3</f>
        <v>0.45074626865671641</v>
      </c>
      <c r="I21" s="61">
        <f t="shared" si="0"/>
        <v>3218.3</v>
      </c>
      <c r="J21" s="66">
        <f>G21/F3</f>
        <v>0.38296737766624844</v>
      </c>
      <c r="K21" s="60">
        <v>271400</v>
      </c>
      <c r="L21" s="67">
        <f t="shared" si="1"/>
        <v>16392.559999999998</v>
      </c>
      <c r="M21" s="67">
        <f t="shared" si="2"/>
        <v>331352.26</v>
      </c>
      <c r="N21" s="67">
        <f>L21/E3</f>
        <v>122.33253731343282</v>
      </c>
      <c r="O21" s="68">
        <f>M21/F3</f>
        <v>103.93734629861983</v>
      </c>
    </row>
    <row r="22" spans="1:15" ht="15.75">
      <c r="A22" s="69">
        <v>15</v>
      </c>
      <c r="B22" s="853" t="s">
        <v>46</v>
      </c>
      <c r="C22" s="71">
        <v>74</v>
      </c>
      <c r="D22" s="72"/>
      <c r="E22" s="72"/>
      <c r="F22" s="34">
        <v>3</v>
      </c>
      <c r="G22" s="35">
        <v>29</v>
      </c>
      <c r="H22" s="73">
        <f>F22/E3</f>
        <v>2.2388059701492536E-2</v>
      </c>
      <c r="I22" s="34">
        <f t="shared" si="0"/>
        <v>71</v>
      </c>
      <c r="J22" s="73">
        <f>G22/F3</f>
        <v>9.0966122961104144E-3</v>
      </c>
      <c r="K22" s="34">
        <v>41000</v>
      </c>
      <c r="L22" s="44">
        <f t="shared" si="1"/>
        <v>123</v>
      </c>
      <c r="M22" s="44">
        <f t="shared" si="2"/>
        <v>1189</v>
      </c>
      <c r="N22" s="74">
        <f>L22/E3</f>
        <v>0.91791044776119401</v>
      </c>
      <c r="O22" s="75">
        <f>M22/F3</f>
        <v>0.37296110414052697</v>
      </c>
    </row>
    <row r="23" spans="1:15" ht="15.75">
      <c r="A23" s="69">
        <v>16</v>
      </c>
      <c r="B23" s="234" t="s">
        <v>47</v>
      </c>
      <c r="C23" s="71">
        <v>259.60000000000002</v>
      </c>
      <c r="D23" s="72"/>
      <c r="E23" s="72"/>
      <c r="F23" s="34">
        <v>14.4</v>
      </c>
      <c r="G23" s="63">
        <v>190.4</v>
      </c>
      <c r="H23" s="73">
        <f>F23/E3</f>
        <v>0.10746268656716418</v>
      </c>
      <c r="I23" s="34">
        <f t="shared" si="0"/>
        <v>245.20000000000002</v>
      </c>
      <c r="J23" s="73">
        <f>G23/F3</f>
        <v>5.9723964868255965E-2</v>
      </c>
      <c r="K23" s="34">
        <v>24000</v>
      </c>
      <c r="L23" s="44">
        <f t="shared" si="1"/>
        <v>345.59999999999997</v>
      </c>
      <c r="M23" s="44">
        <f t="shared" si="2"/>
        <v>4569.6000000000004</v>
      </c>
      <c r="N23" s="74">
        <f>L23/E3</f>
        <v>2.5791044776119398</v>
      </c>
      <c r="O23" s="75">
        <f>M23/F3</f>
        <v>1.4333751568381432</v>
      </c>
    </row>
    <row r="24" spans="1:15" ht="15.75">
      <c r="A24" s="69">
        <v>17</v>
      </c>
      <c r="B24" s="853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100</v>
      </c>
      <c r="D25" s="72"/>
      <c r="E25" s="34"/>
      <c r="F25" s="34">
        <v>5</v>
      </c>
      <c r="G25" s="35">
        <v>155</v>
      </c>
      <c r="H25" s="73">
        <f>F25/E3</f>
        <v>3.7313432835820892E-2</v>
      </c>
      <c r="I25" s="34">
        <f t="shared" si="0"/>
        <v>95</v>
      </c>
      <c r="J25" s="73">
        <f>G25/F3</f>
        <v>4.8619824341279802E-2</v>
      </c>
      <c r="K25" s="34">
        <v>14400</v>
      </c>
      <c r="L25" s="44">
        <f t="shared" si="1"/>
        <v>72</v>
      </c>
      <c r="M25" s="44">
        <f t="shared" si="2"/>
        <v>2232</v>
      </c>
      <c r="N25" s="74">
        <f>L25/E3</f>
        <v>0.53731343283582089</v>
      </c>
      <c r="O25" s="75">
        <f>M25/F3</f>
        <v>0.70012547051442908</v>
      </c>
    </row>
    <row r="26" spans="1:15" ht="15.75">
      <c r="A26" s="69">
        <v>19</v>
      </c>
      <c r="B26" s="853" t="s">
        <v>50</v>
      </c>
      <c r="C26" s="71">
        <v>123.4</v>
      </c>
      <c r="D26" s="34"/>
      <c r="E26" s="72"/>
      <c r="F26" s="34">
        <v>5</v>
      </c>
      <c r="G26" s="35">
        <v>88</v>
      </c>
      <c r="H26" s="73">
        <f>F26/E3</f>
        <v>3.7313432835820892E-2</v>
      </c>
      <c r="I26" s="34">
        <f t="shared" si="0"/>
        <v>118.4</v>
      </c>
      <c r="J26" s="73">
        <f>G26/F3</f>
        <v>2.7603513174404015E-2</v>
      </c>
      <c r="K26" s="34">
        <v>102000</v>
      </c>
      <c r="L26" s="44">
        <f t="shared" si="1"/>
        <v>510</v>
      </c>
      <c r="M26" s="44">
        <f t="shared" si="2"/>
        <v>8976</v>
      </c>
      <c r="N26" s="74">
        <f>L26/E3</f>
        <v>3.8059701492537314</v>
      </c>
      <c r="O26" s="75">
        <f>M26/F3</f>
        <v>2.8155583437892093</v>
      </c>
    </row>
    <row r="27" spans="1:15" ht="15.75">
      <c r="A27" s="69">
        <v>20</v>
      </c>
      <c r="B27" s="853" t="s">
        <v>51</v>
      </c>
      <c r="C27" s="71">
        <v>70</v>
      </c>
      <c r="D27" s="72"/>
      <c r="E27" s="72"/>
      <c r="F27" s="34">
        <v>5</v>
      </c>
      <c r="G27" s="35">
        <v>115</v>
      </c>
      <c r="H27" s="73">
        <f>F27/E3</f>
        <v>3.7313432835820892E-2</v>
      </c>
      <c r="I27" s="34">
        <f t="shared" si="0"/>
        <v>65</v>
      </c>
      <c r="J27" s="73">
        <f>G27/F3</f>
        <v>3.6072772898368882E-2</v>
      </c>
      <c r="K27" s="34">
        <v>107000</v>
      </c>
      <c r="L27" s="44">
        <f t="shared" si="1"/>
        <v>535</v>
      </c>
      <c r="M27" s="44">
        <f t="shared" si="2"/>
        <v>12305</v>
      </c>
      <c r="N27" s="74">
        <f>L27/E3</f>
        <v>3.9925373134328357</v>
      </c>
      <c r="O27" s="75">
        <f>M27/F3</f>
        <v>3.8597867001254706</v>
      </c>
    </row>
    <row r="28" spans="1:15" ht="15.75">
      <c r="A28" s="69">
        <v>21</v>
      </c>
      <c r="B28" s="234" t="s">
        <v>52</v>
      </c>
      <c r="C28" s="71">
        <v>103</v>
      </c>
      <c r="D28" s="72"/>
      <c r="E28" s="72"/>
      <c r="F28" s="34">
        <v>3</v>
      </c>
      <c r="G28" s="35">
        <v>69</v>
      </c>
      <c r="H28" s="73">
        <f>F28/E3</f>
        <v>2.2388059701492536E-2</v>
      </c>
      <c r="I28" s="34">
        <f t="shared" si="0"/>
        <v>100</v>
      </c>
      <c r="J28" s="73">
        <f>G28/F3</f>
        <v>2.1643663739021331E-2</v>
      </c>
      <c r="K28" s="34">
        <v>100000</v>
      </c>
      <c r="L28" s="44">
        <f t="shared" si="1"/>
        <v>300</v>
      </c>
      <c r="M28" s="44">
        <f t="shared" si="2"/>
        <v>6900.0000000000009</v>
      </c>
      <c r="N28" s="74">
        <f>L28/E3</f>
        <v>2.2388059701492535</v>
      </c>
      <c r="O28" s="75">
        <f>M28/F3</f>
        <v>2.1643663739021335</v>
      </c>
    </row>
    <row r="29" spans="1:15" ht="15.75">
      <c r="A29" s="69">
        <v>22</v>
      </c>
      <c r="B29" s="853" t="s">
        <v>53</v>
      </c>
      <c r="C29" s="71">
        <v>42</v>
      </c>
      <c r="D29" s="72"/>
      <c r="E29" s="72"/>
      <c r="F29" s="34">
        <v>1</v>
      </c>
      <c r="G29" s="35">
        <v>23</v>
      </c>
      <c r="H29" s="73">
        <f>F29/E3</f>
        <v>7.462686567164179E-3</v>
      </c>
      <c r="I29" s="34">
        <f t="shared" si="0"/>
        <v>41</v>
      </c>
      <c r="J29" s="73">
        <f>G29/F3</f>
        <v>7.2145545796737766E-3</v>
      </c>
      <c r="K29" s="34">
        <v>255000</v>
      </c>
      <c r="L29" s="44">
        <f t="shared" si="1"/>
        <v>255</v>
      </c>
      <c r="M29" s="44">
        <f t="shared" si="2"/>
        <v>5865</v>
      </c>
      <c r="N29" s="74">
        <f>L29/E3</f>
        <v>1.9029850746268657</v>
      </c>
      <c r="O29" s="76">
        <f>M29/F3</f>
        <v>1.839711417816813</v>
      </c>
    </row>
    <row r="30" spans="1:15" ht="15.75">
      <c r="A30" s="69">
        <v>23</v>
      </c>
      <c r="B30" s="853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77">
        <f>L30/F3</f>
        <v>0</v>
      </c>
      <c r="O30" s="76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87">
        <f>L31/F3</f>
        <v>0</v>
      </c>
      <c r="O31" s="88">
        <f>M31/F3</f>
        <v>0</v>
      </c>
    </row>
    <row r="32" spans="1:15" ht="16.5" thickBot="1">
      <c r="A32" s="936" t="s">
        <v>56</v>
      </c>
      <c r="B32" s="937" t="s">
        <v>57</v>
      </c>
      <c r="C32" s="254" t="s">
        <v>58</v>
      </c>
      <c r="D32" s="1457" t="s">
        <v>59</v>
      </c>
      <c r="E32" s="1457"/>
      <c r="F32" s="1458"/>
      <c r="G32" s="1471"/>
      <c r="H32" s="1472"/>
      <c r="I32" s="1472"/>
      <c r="J32" s="1472"/>
      <c r="K32" s="1472"/>
      <c r="L32" s="1473"/>
      <c r="M32" s="92" t="s">
        <v>60</v>
      </c>
      <c r="N32" s="93">
        <f>SUM(N8,N9,N10,N11,N12,N13,N14,N15,N16,N17,N18,N19,N20,N21,N22,N23,N24,N25,N26,N27,N28,N29,N30,N31)</f>
        <v>1255.5604477611942</v>
      </c>
      <c r="O32" s="94">
        <f>SUM(O8,O9,O10,O11,O12,O13,O14,O15,O16,O17,O18,O19,O20,O21,O22,O23,O24,O25,O26,O27,O28,O29,O30,O31,)</f>
        <v>1481.1566875784192</v>
      </c>
    </row>
    <row r="33" spans="1:15" ht="17.25" thickTop="1" thickBot="1">
      <c r="A33" s="31">
        <v>1</v>
      </c>
      <c r="B33" s="33" t="s">
        <v>121</v>
      </c>
      <c r="C33" s="33">
        <v>65</v>
      </c>
      <c r="D33" s="1447"/>
      <c r="E33" s="1448"/>
      <c r="F33" s="95">
        <v>112</v>
      </c>
      <c r="G33" s="1474"/>
      <c r="H33" s="1475"/>
      <c r="I33" s="1475"/>
      <c r="J33" s="1475"/>
      <c r="K33" s="1475"/>
      <c r="L33" s="1476"/>
      <c r="M33" s="1464"/>
      <c r="N33" s="921" t="s">
        <v>17</v>
      </c>
      <c r="O33" s="922" t="s">
        <v>17</v>
      </c>
    </row>
    <row r="34" spans="1:15" ht="15.75">
      <c r="A34" s="31">
        <v>2</v>
      </c>
      <c r="B34" s="33" t="s">
        <v>125</v>
      </c>
      <c r="C34" s="33">
        <v>10</v>
      </c>
      <c r="D34" s="1096"/>
      <c r="E34" s="1449"/>
      <c r="F34" s="98">
        <v>17</v>
      </c>
      <c r="G34" s="1474"/>
      <c r="H34" s="1475"/>
      <c r="I34" s="1475"/>
      <c r="J34" s="1475"/>
      <c r="K34" s="1475"/>
      <c r="L34" s="1476"/>
      <c r="M34" s="1465"/>
      <c r="N34" s="917" t="s">
        <v>25</v>
      </c>
      <c r="O34" s="918" t="s">
        <v>26</v>
      </c>
    </row>
    <row r="35" spans="1:15" ht="16.5" thickBot="1">
      <c r="A35" s="31">
        <v>3</v>
      </c>
      <c r="B35" s="33" t="s">
        <v>126</v>
      </c>
      <c r="C35" s="34">
        <v>3</v>
      </c>
      <c r="D35" s="1096"/>
      <c r="E35" s="1449"/>
      <c r="F35" s="101">
        <v>5</v>
      </c>
      <c r="G35" s="1474"/>
      <c r="H35" s="1475"/>
      <c r="I35" s="1475"/>
      <c r="J35" s="1475"/>
      <c r="K35" s="1475"/>
      <c r="L35" s="1476"/>
      <c r="M35" s="1466"/>
      <c r="N35" s="919" t="s">
        <v>118</v>
      </c>
      <c r="O35" s="920" t="s">
        <v>118</v>
      </c>
    </row>
    <row r="36" spans="1:15" ht="15" customHeight="1" thickBot="1">
      <c r="A36" s="104">
        <v>4</v>
      </c>
      <c r="B36" s="33"/>
      <c r="C36" s="105"/>
      <c r="D36" s="1096"/>
      <c r="E36" s="1449"/>
      <c r="F36" s="106"/>
      <c r="G36" s="1477"/>
      <c r="H36" s="1478"/>
      <c r="I36" s="1478"/>
      <c r="J36" s="1478"/>
      <c r="K36" s="1478"/>
      <c r="L36" s="1479"/>
      <c r="M36" s="107" t="s">
        <v>60</v>
      </c>
      <c r="N36" s="108">
        <f>N32/1000</f>
        <v>1.2555604477611941</v>
      </c>
      <c r="O36" s="109">
        <f>O32/1000</f>
        <v>1.4811566875784192</v>
      </c>
    </row>
    <row r="37" spans="1:15" ht="18" customHeight="1" thickBot="1">
      <c r="A37" s="110">
        <v>5</v>
      </c>
      <c r="B37" s="111" t="s">
        <v>60</v>
      </c>
      <c r="C37" s="112">
        <f>SUM(C33:C36)</f>
        <v>78</v>
      </c>
      <c r="D37" s="941"/>
      <c r="E37" s="942"/>
      <c r="F37" s="943">
        <f>SUM(F33:F36)</f>
        <v>134</v>
      </c>
      <c r="G37" s="116"/>
      <c r="H37" s="1463"/>
      <c r="I37" s="1463"/>
      <c r="J37" s="117"/>
      <c r="K37" s="118"/>
      <c r="L37" s="1"/>
      <c r="M37" s="1"/>
      <c r="N37" s="1"/>
      <c r="O37" s="1"/>
    </row>
  </sheetData>
  <mergeCells count="17">
    <mergeCell ref="A1:O1"/>
    <mergeCell ref="A2:O2"/>
    <mergeCell ref="A3:D3"/>
    <mergeCell ref="A4:B4"/>
    <mergeCell ref="C4:D4"/>
    <mergeCell ref="H37:I37"/>
    <mergeCell ref="G3:H3"/>
    <mergeCell ref="G4:H4"/>
    <mergeCell ref="I3:O4"/>
    <mergeCell ref="D5:E5"/>
    <mergeCell ref="F5:G5"/>
    <mergeCell ref="L5:M5"/>
    <mergeCell ref="N5:O5"/>
    <mergeCell ref="D32:F32"/>
    <mergeCell ref="G32:L36"/>
    <mergeCell ref="D33:E36"/>
    <mergeCell ref="M33:M35"/>
  </mergeCells>
  <pageMargins left="0.11811023622047245" right="0.11811023622047245" top="0.59055118110236227" bottom="0.15748031496062992" header="0.19685039370078741" footer="0.11811023622047245"/>
  <pageSetup scale="75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37"/>
  <sheetViews>
    <sheetView workbookViewId="0">
      <selection sqref="A1:O37"/>
    </sheetView>
  </sheetViews>
  <sheetFormatPr defaultRowHeight="15"/>
  <cols>
    <col min="1" max="1" width="4.85546875" customWidth="1"/>
    <col min="2" max="2" width="28.28515625" customWidth="1"/>
    <col min="3" max="3" width="10.28515625" customWidth="1"/>
    <col min="4" max="4" width="8.28515625" customWidth="1"/>
    <col min="5" max="5" width="8.5703125" customWidth="1"/>
    <col min="6" max="6" width="10" customWidth="1"/>
    <col min="7" max="7" width="8.42578125" customWidth="1"/>
    <col min="8" max="8" width="11" customWidth="1"/>
    <col min="10" max="10" width="11.140625" customWidth="1"/>
    <col min="12" max="12" width="10.7109375" customWidth="1"/>
    <col min="13" max="13" width="11.5703125" customWidth="1"/>
    <col min="14" max="15" width="9.5703125" customWidth="1"/>
  </cols>
  <sheetData>
    <row r="1" spans="1:15" ht="20.25" thickBot="1">
      <c r="A1" s="1500" t="s">
        <v>0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2"/>
    </row>
    <row r="2" spans="1:15" ht="20.25" thickBot="1">
      <c r="A2" s="1484" t="s">
        <v>1</v>
      </c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6"/>
    </row>
    <row r="3" spans="1:15" ht="20.25" thickBot="1">
      <c r="A3" s="1124" t="s">
        <v>2</v>
      </c>
      <c r="B3" s="1125"/>
      <c r="C3" s="1125"/>
      <c r="D3" s="1126"/>
      <c r="E3" s="3">
        <v>185</v>
      </c>
      <c r="F3" s="2">
        <v>3373</v>
      </c>
      <c r="G3" s="1493" t="s">
        <v>128</v>
      </c>
      <c r="H3" s="1494"/>
      <c r="I3" s="1497" t="s">
        <v>127</v>
      </c>
      <c r="J3" s="1130"/>
      <c r="K3" s="1130"/>
      <c r="L3" s="1130"/>
      <c r="M3" s="1130"/>
      <c r="N3" s="1130"/>
      <c r="O3" s="1131"/>
    </row>
    <row r="4" spans="1:15" ht="21.75" thickTop="1" thickBot="1">
      <c r="A4" s="1487" t="s">
        <v>5</v>
      </c>
      <c r="B4" s="1488"/>
      <c r="C4" s="1503" t="s">
        <v>6</v>
      </c>
      <c r="D4" s="1504"/>
      <c r="E4" s="5">
        <v>0</v>
      </c>
      <c r="F4" s="938">
        <v>464.5</v>
      </c>
      <c r="G4" s="1495" t="s">
        <v>113</v>
      </c>
      <c r="H4" s="1496"/>
      <c r="I4" s="1470"/>
      <c r="J4" s="1132"/>
      <c r="K4" s="1132"/>
      <c r="L4" s="1132"/>
      <c r="M4" s="1132"/>
      <c r="N4" s="1132"/>
      <c r="O4" s="1133"/>
    </row>
    <row r="5" spans="1:15" ht="17.25" thickTop="1" thickBot="1">
      <c r="A5" s="7" t="s">
        <v>8</v>
      </c>
      <c r="B5" s="8" t="s">
        <v>9</v>
      </c>
      <c r="C5" s="8" t="s">
        <v>10</v>
      </c>
      <c r="D5" s="1498" t="s">
        <v>11</v>
      </c>
      <c r="E5" s="1499"/>
      <c r="F5" s="1152" t="s">
        <v>12</v>
      </c>
      <c r="G5" s="1152"/>
      <c r="H5" s="797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8"/>
      <c r="N5" s="1480" t="s">
        <v>17</v>
      </c>
      <c r="O5" s="1452"/>
    </row>
    <row r="6" spans="1:15" ht="16.5" thickTop="1">
      <c r="A6" s="7" t="s">
        <v>18</v>
      </c>
      <c r="B6" s="8" t="s">
        <v>19</v>
      </c>
      <c r="C6" s="8" t="s">
        <v>20</v>
      </c>
      <c r="D6" s="790" t="s">
        <v>21</v>
      </c>
      <c r="E6" s="795" t="s">
        <v>14</v>
      </c>
      <c r="F6" s="796" t="s">
        <v>21</v>
      </c>
      <c r="G6" s="796" t="s">
        <v>14</v>
      </c>
      <c r="H6" s="341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798" t="s">
        <v>26</v>
      </c>
      <c r="N6" s="794" t="s">
        <v>25</v>
      </c>
      <c r="O6" s="939" t="s">
        <v>26</v>
      </c>
    </row>
    <row r="7" spans="1:15" ht="16.5" thickBot="1">
      <c r="A7" s="17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797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0" t="s">
        <v>30</v>
      </c>
      <c r="N7" s="800" t="s">
        <v>31</v>
      </c>
      <c r="O7" s="940" t="s">
        <v>31</v>
      </c>
    </row>
    <row r="8" spans="1:15" ht="15.75">
      <c r="A8" s="20">
        <v>1</v>
      </c>
      <c r="B8" s="933" t="s">
        <v>32</v>
      </c>
      <c r="C8" s="22">
        <v>17250</v>
      </c>
      <c r="D8" s="23"/>
      <c r="E8" s="22"/>
      <c r="F8" s="22">
        <v>6150</v>
      </c>
      <c r="G8" s="24">
        <v>93300</v>
      </c>
      <c r="H8" s="25">
        <f>F8/E3</f>
        <v>33.243243243243242</v>
      </c>
      <c r="I8" s="22">
        <f t="shared" ref="I8:I31" si="0">(C8-F8)+D8</f>
        <v>11100</v>
      </c>
      <c r="J8" s="26">
        <f>G8/F3</f>
        <v>27.660836050993183</v>
      </c>
      <c r="K8" s="24">
        <v>36000</v>
      </c>
      <c r="L8" s="27">
        <f t="shared" ref="L8:L31" si="1">(F8/1000)*K8</f>
        <v>221400</v>
      </c>
      <c r="M8" s="28">
        <f t="shared" ref="M8:M31" si="2">(G8/1000)*K8</f>
        <v>3358800</v>
      </c>
      <c r="N8" s="29">
        <f>L8/E3</f>
        <v>1196.7567567567567</v>
      </c>
      <c r="O8" s="30">
        <f>M8/F3</f>
        <v>995.79009783575452</v>
      </c>
    </row>
    <row r="9" spans="1:15" ht="15.75">
      <c r="A9" s="31">
        <v>2</v>
      </c>
      <c r="B9" s="817" t="s">
        <v>33</v>
      </c>
      <c r="C9" s="33">
        <v>4353</v>
      </c>
      <c r="D9" s="34"/>
      <c r="E9" s="33"/>
      <c r="F9" s="33">
        <v>222</v>
      </c>
      <c r="G9" s="35">
        <v>4869</v>
      </c>
      <c r="H9" s="36">
        <f>F9/E3</f>
        <v>1.2</v>
      </c>
      <c r="I9" s="33">
        <f t="shared" si="0"/>
        <v>4131</v>
      </c>
      <c r="J9" s="37">
        <f>G9/F3</f>
        <v>1.4435220871627632</v>
      </c>
      <c r="K9" s="35">
        <v>33500</v>
      </c>
      <c r="L9" s="38">
        <f t="shared" si="1"/>
        <v>7437</v>
      </c>
      <c r="M9" s="38">
        <f t="shared" si="2"/>
        <v>163111.5</v>
      </c>
      <c r="N9" s="39">
        <f>L9/E3</f>
        <v>40.200000000000003</v>
      </c>
      <c r="O9" s="40">
        <f>M9/F3</f>
        <v>48.357989919952566</v>
      </c>
    </row>
    <row r="10" spans="1:15" ht="15.75">
      <c r="A10" s="31">
        <v>3</v>
      </c>
      <c r="B10" s="817" t="s">
        <v>34</v>
      </c>
      <c r="C10" s="33">
        <v>5464</v>
      </c>
      <c r="D10" s="34"/>
      <c r="E10" s="33"/>
      <c r="F10" s="33">
        <v>65</v>
      </c>
      <c r="G10" s="35">
        <v>1421</v>
      </c>
      <c r="H10" s="36">
        <f>F10/E3</f>
        <v>0.35135135135135137</v>
      </c>
      <c r="I10" s="33">
        <f t="shared" si="0"/>
        <v>5399</v>
      </c>
      <c r="J10" s="37">
        <f>G10/F3</f>
        <v>0.42128668840794548</v>
      </c>
      <c r="K10" s="35">
        <v>98000</v>
      </c>
      <c r="L10" s="38">
        <f t="shared" si="1"/>
        <v>6370</v>
      </c>
      <c r="M10" s="38">
        <f t="shared" si="2"/>
        <v>139258</v>
      </c>
      <c r="N10" s="39">
        <f>L10/E3</f>
        <v>34.432432432432435</v>
      </c>
      <c r="O10" s="40">
        <f>M10/F3</f>
        <v>41.286095463978654</v>
      </c>
    </row>
    <row r="11" spans="1:15" ht="15.75">
      <c r="A11" s="31">
        <v>4</v>
      </c>
      <c r="B11" s="817" t="s">
        <v>35</v>
      </c>
      <c r="C11" s="33">
        <v>20.040000000000006</v>
      </c>
      <c r="D11" s="34"/>
      <c r="E11" s="33"/>
      <c r="F11" s="33">
        <v>0.11</v>
      </c>
      <c r="G11" s="41">
        <v>1.55</v>
      </c>
      <c r="H11" s="42">
        <f>F11/E3</f>
        <v>5.9459459459459464E-4</v>
      </c>
      <c r="I11" s="33">
        <f t="shared" si="0"/>
        <v>19.930000000000007</v>
      </c>
      <c r="J11" s="43">
        <f>G11/F3</f>
        <v>4.5953157426623185E-4</v>
      </c>
      <c r="K11" s="35">
        <v>750000</v>
      </c>
      <c r="L11" s="38">
        <f t="shared" si="1"/>
        <v>82.5</v>
      </c>
      <c r="M11" s="38">
        <f t="shared" si="2"/>
        <v>1162.5</v>
      </c>
      <c r="N11" s="39">
        <f>L11/E3</f>
        <v>0.44594594594594594</v>
      </c>
      <c r="O11" s="40">
        <f>M11/F3</f>
        <v>0.34464868069967386</v>
      </c>
    </row>
    <row r="12" spans="1:15" ht="15.75">
      <c r="A12" s="31">
        <v>5</v>
      </c>
      <c r="B12" s="817" t="s">
        <v>36</v>
      </c>
      <c r="C12" s="33">
        <v>1068</v>
      </c>
      <c r="D12" s="34"/>
      <c r="E12" s="33">
        <v>1000</v>
      </c>
      <c r="F12" s="33">
        <v>23</v>
      </c>
      <c r="G12" s="35">
        <v>455</v>
      </c>
      <c r="H12" s="36">
        <f>F12/E3</f>
        <v>0.12432432432432433</v>
      </c>
      <c r="I12" s="33">
        <f t="shared" si="0"/>
        <v>1045</v>
      </c>
      <c r="J12" s="37">
        <f>G12/F3</f>
        <v>0.13489475244589386</v>
      </c>
      <c r="K12" s="35">
        <v>350000</v>
      </c>
      <c r="L12" s="38">
        <f t="shared" si="1"/>
        <v>8050</v>
      </c>
      <c r="M12" s="38">
        <f t="shared" si="2"/>
        <v>159250</v>
      </c>
      <c r="N12" s="39">
        <f>L12/E3</f>
        <v>43.513513513513516</v>
      </c>
      <c r="O12" s="40">
        <f>M12/F3</f>
        <v>47.21316335606285</v>
      </c>
    </row>
    <row r="13" spans="1:15" ht="15.75">
      <c r="A13" s="31">
        <v>6</v>
      </c>
      <c r="B13" s="817" t="s">
        <v>37</v>
      </c>
      <c r="C13" s="33">
        <v>1391</v>
      </c>
      <c r="D13" s="34"/>
      <c r="E13" s="33"/>
      <c r="F13" s="33">
        <v>50</v>
      </c>
      <c r="G13" s="35">
        <v>1057</v>
      </c>
      <c r="H13" s="36">
        <f>F13/E3</f>
        <v>0.27027027027027029</v>
      </c>
      <c r="I13" s="33">
        <f t="shared" si="0"/>
        <v>1341</v>
      </c>
      <c r="J13" s="37">
        <f>G13/F3</f>
        <v>0.31337088645123035</v>
      </c>
      <c r="K13" s="35">
        <v>204500</v>
      </c>
      <c r="L13" s="38">
        <f t="shared" si="1"/>
        <v>10225</v>
      </c>
      <c r="M13" s="38">
        <f t="shared" si="2"/>
        <v>216156.5</v>
      </c>
      <c r="N13" s="39">
        <f>L13/E3</f>
        <v>55.270270270270274</v>
      </c>
      <c r="O13" s="40">
        <f>M13/F3</f>
        <v>64.084346279276602</v>
      </c>
    </row>
    <row r="14" spans="1:15" ht="15.75">
      <c r="A14" s="31">
        <v>7</v>
      </c>
      <c r="B14" s="817" t="s">
        <v>38</v>
      </c>
      <c r="C14" s="33">
        <v>3637</v>
      </c>
      <c r="D14" s="34"/>
      <c r="E14" s="33">
        <v>3000</v>
      </c>
      <c r="F14" s="33">
        <v>54</v>
      </c>
      <c r="G14" s="35">
        <v>1167</v>
      </c>
      <c r="H14" s="36">
        <f>F14/E3</f>
        <v>0.29189189189189191</v>
      </c>
      <c r="I14" s="33">
        <f t="shared" si="0"/>
        <v>3583</v>
      </c>
      <c r="J14" s="37">
        <f>G14/F3</f>
        <v>0.34598280462496295</v>
      </c>
      <c r="K14" s="35">
        <v>129500</v>
      </c>
      <c r="L14" s="38">
        <f t="shared" si="1"/>
        <v>6993</v>
      </c>
      <c r="M14" s="38">
        <f t="shared" si="2"/>
        <v>151126.5</v>
      </c>
      <c r="N14" s="39">
        <f>L14/E3</f>
        <v>37.799999999999997</v>
      </c>
      <c r="O14" s="40">
        <f>M14/F3</f>
        <v>44.8047731989327</v>
      </c>
    </row>
    <row r="15" spans="1:15" ht="15.75">
      <c r="A15" s="31">
        <v>8</v>
      </c>
      <c r="B15" s="817" t="s">
        <v>39</v>
      </c>
      <c r="C15" s="33">
        <v>1062</v>
      </c>
      <c r="D15" s="33"/>
      <c r="E15" s="33">
        <v>500</v>
      </c>
      <c r="F15" s="33">
        <v>20</v>
      </c>
      <c r="G15" s="35">
        <v>443</v>
      </c>
      <c r="H15" s="36">
        <f>F15/E3</f>
        <v>0.10810810810810811</v>
      </c>
      <c r="I15" s="33">
        <f t="shared" si="0"/>
        <v>1042</v>
      </c>
      <c r="J15" s="37">
        <f>G15/F3</f>
        <v>0.13133708864512303</v>
      </c>
      <c r="K15" s="35">
        <v>219500</v>
      </c>
      <c r="L15" s="38">
        <f t="shared" si="1"/>
        <v>4390</v>
      </c>
      <c r="M15" s="38">
        <f t="shared" si="2"/>
        <v>97238.5</v>
      </c>
      <c r="N15" s="39">
        <f>L15/E3</f>
        <v>23.72972972972973</v>
      </c>
      <c r="O15" s="40">
        <f>M15/F3</f>
        <v>28.828490957604508</v>
      </c>
    </row>
    <row r="16" spans="1:15" ht="15.75">
      <c r="A16" s="31">
        <v>9</v>
      </c>
      <c r="B16" s="817" t="s">
        <v>40</v>
      </c>
      <c r="C16" s="33">
        <v>20</v>
      </c>
      <c r="D16" s="34"/>
      <c r="E16" s="33"/>
      <c r="F16" s="33">
        <v>0</v>
      </c>
      <c r="G16" s="35">
        <f>'16-07-26'!G19+'17-07-26'!F16</f>
        <v>0</v>
      </c>
      <c r="H16" s="36">
        <f>F16/E3</f>
        <v>0</v>
      </c>
      <c r="I16" s="33">
        <f t="shared" si="0"/>
        <v>20</v>
      </c>
      <c r="J16" s="37">
        <f>G16/F3</f>
        <v>0</v>
      </c>
      <c r="K16" s="35">
        <v>348200</v>
      </c>
      <c r="L16" s="38">
        <f t="shared" si="1"/>
        <v>0</v>
      </c>
      <c r="M16" s="44">
        <f t="shared" si="2"/>
        <v>0</v>
      </c>
      <c r="N16" s="39">
        <f>L16/E3</f>
        <v>0</v>
      </c>
      <c r="O16" s="40">
        <f>M16/F3</f>
        <v>0</v>
      </c>
    </row>
    <row r="17" spans="1:15" ht="15.75">
      <c r="A17" s="45">
        <v>10</v>
      </c>
      <c r="B17" s="934" t="s">
        <v>41</v>
      </c>
      <c r="C17" s="928">
        <v>2500</v>
      </c>
      <c r="D17" s="928"/>
      <c r="E17" s="928"/>
      <c r="F17" s="928">
        <v>0</v>
      </c>
      <c r="G17" s="927">
        <f>'16-07-26'!G20+'17-07-26'!F17</f>
        <v>1450</v>
      </c>
      <c r="H17" s="930">
        <f>F17/E3</f>
        <v>0</v>
      </c>
      <c r="I17" s="928">
        <f t="shared" si="0"/>
        <v>2500</v>
      </c>
      <c r="J17" s="930">
        <f>G17/F3</f>
        <v>0.42988437592647494</v>
      </c>
      <c r="K17" s="927">
        <v>172000</v>
      </c>
      <c r="L17" s="931">
        <f t="shared" si="1"/>
        <v>0</v>
      </c>
      <c r="M17" s="931">
        <f t="shared" si="2"/>
        <v>249400</v>
      </c>
      <c r="N17" s="931">
        <f>L17/E3</f>
        <v>0</v>
      </c>
      <c r="O17" s="932">
        <f>M17/F3</f>
        <v>73.940112659353687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267.09999999999997</v>
      </c>
      <c r="D19" s="61"/>
      <c r="E19" s="61">
        <v>250</v>
      </c>
      <c r="F19" s="62">
        <v>8.4</v>
      </c>
      <c r="G19" s="925">
        <v>153.9</v>
      </c>
      <c r="H19" s="64">
        <f>F19/E3</f>
        <v>4.5405405405405407E-2</v>
      </c>
      <c r="I19" s="65">
        <f t="shared" si="0"/>
        <v>258.7</v>
      </c>
      <c r="J19" s="66">
        <f>G19/F3</f>
        <v>4.5627038244885863E-2</v>
      </c>
      <c r="K19" s="60">
        <v>377600</v>
      </c>
      <c r="L19" s="67">
        <f t="shared" si="1"/>
        <v>3171.8400000000006</v>
      </c>
      <c r="M19" s="67">
        <f t="shared" si="2"/>
        <v>58112.640000000007</v>
      </c>
      <c r="N19" s="67">
        <f>L19/E3</f>
        <v>17.145081081081084</v>
      </c>
      <c r="O19" s="68">
        <f>M19/F3</f>
        <v>17.228769641268901</v>
      </c>
    </row>
    <row r="20" spans="1:15" ht="15.75">
      <c r="A20" s="58">
        <v>13</v>
      </c>
      <c r="B20" s="843" t="s">
        <v>44</v>
      </c>
      <c r="C20" s="60">
        <v>249.59999999999997</v>
      </c>
      <c r="D20" s="61"/>
      <c r="E20" s="61">
        <v>200</v>
      </c>
      <c r="F20" s="62">
        <v>4.7</v>
      </c>
      <c r="G20" s="925">
        <v>89.6</v>
      </c>
      <c r="H20" s="66">
        <f>F20/E3</f>
        <v>2.5405405405405406E-2</v>
      </c>
      <c r="I20" s="60">
        <f t="shared" si="0"/>
        <v>244.89999999999998</v>
      </c>
      <c r="J20" s="66">
        <f>G20/F3</f>
        <v>2.6563889712422174E-2</v>
      </c>
      <c r="K20" s="60">
        <v>271400</v>
      </c>
      <c r="L20" s="67">
        <f t="shared" si="1"/>
        <v>1275.5800000000002</v>
      </c>
      <c r="M20" s="67">
        <f t="shared" si="2"/>
        <v>24317.439999999999</v>
      </c>
      <c r="N20" s="67">
        <f>L20/E3</f>
        <v>6.8950270270270275</v>
      </c>
      <c r="O20" s="68">
        <f>M20/F3</f>
        <v>7.2094396679513784</v>
      </c>
    </row>
    <row r="21" spans="1:15" ht="15.75">
      <c r="A21" s="58">
        <v>14</v>
      </c>
      <c r="B21" s="843" t="s">
        <v>45</v>
      </c>
      <c r="C21" s="60">
        <v>3218.3</v>
      </c>
      <c r="D21" s="61"/>
      <c r="E21" s="61">
        <v>2500</v>
      </c>
      <c r="F21" s="62">
        <v>64.8</v>
      </c>
      <c r="G21" s="925">
        <v>1285.7</v>
      </c>
      <c r="H21" s="66">
        <f>F21/E3</f>
        <v>0.35027027027027025</v>
      </c>
      <c r="I21" s="61">
        <f t="shared" si="0"/>
        <v>3153.5</v>
      </c>
      <c r="J21" s="66">
        <f>G21/F3</f>
        <v>0.3811740290542544</v>
      </c>
      <c r="K21" s="60">
        <v>271400</v>
      </c>
      <c r="L21" s="67">
        <f t="shared" si="1"/>
        <v>17586.719999999998</v>
      </c>
      <c r="M21" s="67">
        <f t="shared" si="2"/>
        <v>348938.98000000004</v>
      </c>
      <c r="N21" s="67">
        <f>L21/E3</f>
        <v>95.063351351351344</v>
      </c>
      <c r="O21" s="68">
        <f>M21/F3</f>
        <v>103.45063148532465</v>
      </c>
    </row>
    <row r="22" spans="1:15" ht="15.75">
      <c r="A22" s="69">
        <v>15</v>
      </c>
      <c r="B22" s="853" t="s">
        <v>46</v>
      </c>
      <c r="C22" s="71">
        <v>71</v>
      </c>
      <c r="D22" s="72"/>
      <c r="E22" s="72"/>
      <c r="F22" s="34">
        <v>3</v>
      </c>
      <c r="G22" s="35">
        <v>32</v>
      </c>
      <c r="H22" s="73">
        <f>F22/E3</f>
        <v>1.6216216216216217E-2</v>
      </c>
      <c r="I22" s="34">
        <f t="shared" si="0"/>
        <v>68</v>
      </c>
      <c r="J22" s="73">
        <f>G22/F3</f>
        <v>9.4871034687222053E-3</v>
      </c>
      <c r="K22" s="34">
        <v>41000</v>
      </c>
      <c r="L22" s="44">
        <f t="shared" si="1"/>
        <v>123</v>
      </c>
      <c r="M22" s="44">
        <f t="shared" si="2"/>
        <v>1312</v>
      </c>
      <c r="N22" s="74">
        <f>L22/E3</f>
        <v>0.66486486486486485</v>
      </c>
      <c r="O22" s="75">
        <f>M22/F3</f>
        <v>0.38897124221761042</v>
      </c>
    </row>
    <row r="23" spans="1:15" ht="15.75">
      <c r="A23" s="69">
        <v>16</v>
      </c>
      <c r="B23" s="234" t="s">
        <v>47</v>
      </c>
      <c r="C23" s="71">
        <v>245.20000000000002</v>
      </c>
      <c r="D23" s="72"/>
      <c r="E23" s="72"/>
      <c r="F23" s="34">
        <v>14.4</v>
      </c>
      <c r="G23" s="63">
        <v>204.8</v>
      </c>
      <c r="H23" s="73">
        <f>F23/E3</f>
        <v>7.7837837837837834E-2</v>
      </c>
      <c r="I23" s="34">
        <f t="shared" si="0"/>
        <v>230.8</v>
      </c>
      <c r="J23" s="73">
        <f>G23/F3</f>
        <v>6.0717462199822117E-2</v>
      </c>
      <c r="K23" s="34">
        <v>24000</v>
      </c>
      <c r="L23" s="44">
        <f t="shared" si="1"/>
        <v>345.59999999999997</v>
      </c>
      <c r="M23" s="44">
        <f t="shared" si="2"/>
        <v>4915.2</v>
      </c>
      <c r="N23" s="74">
        <f>L23/E3</f>
        <v>1.8681081081081079</v>
      </c>
      <c r="O23" s="75">
        <f>M23/F3</f>
        <v>1.4572190927957307</v>
      </c>
    </row>
    <row r="24" spans="1:15" ht="15.75">
      <c r="A24" s="69">
        <v>17</v>
      </c>
      <c r="B24" s="853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95</v>
      </c>
      <c r="D25" s="72"/>
      <c r="E25" s="34"/>
      <c r="F25" s="34">
        <v>5</v>
      </c>
      <c r="G25" s="35">
        <v>160</v>
      </c>
      <c r="H25" s="73">
        <f>F25/E3</f>
        <v>2.7027027027027029E-2</v>
      </c>
      <c r="I25" s="34">
        <f t="shared" si="0"/>
        <v>90</v>
      </c>
      <c r="J25" s="73">
        <f>G25/F3</f>
        <v>4.7435517343611032E-2</v>
      </c>
      <c r="K25" s="34">
        <v>14400</v>
      </c>
      <c r="L25" s="44">
        <f t="shared" si="1"/>
        <v>72</v>
      </c>
      <c r="M25" s="44">
        <f t="shared" si="2"/>
        <v>2304</v>
      </c>
      <c r="N25" s="74">
        <f>L25/E3</f>
        <v>0.38918918918918921</v>
      </c>
      <c r="O25" s="75">
        <f>M25/F3</f>
        <v>0.68307144974799883</v>
      </c>
    </row>
    <row r="26" spans="1:15" ht="15.75">
      <c r="A26" s="69">
        <v>19</v>
      </c>
      <c r="B26" s="853" t="s">
        <v>50</v>
      </c>
      <c r="C26" s="71">
        <v>118.4</v>
      </c>
      <c r="D26" s="34"/>
      <c r="E26" s="72"/>
      <c r="F26" s="34">
        <v>5</v>
      </c>
      <c r="G26" s="35">
        <v>93</v>
      </c>
      <c r="H26" s="73">
        <f>F26/E3</f>
        <v>2.7027027027027029E-2</v>
      </c>
      <c r="I26" s="34">
        <f t="shared" si="0"/>
        <v>113.4</v>
      </c>
      <c r="J26" s="73">
        <f>G26/F3</f>
        <v>2.7571894455973911E-2</v>
      </c>
      <c r="K26" s="34">
        <v>102000</v>
      </c>
      <c r="L26" s="44">
        <f t="shared" si="1"/>
        <v>510</v>
      </c>
      <c r="M26" s="44">
        <f t="shared" si="2"/>
        <v>9486</v>
      </c>
      <c r="N26" s="74">
        <f>L26/E3</f>
        <v>2.7567567567567566</v>
      </c>
      <c r="O26" s="75">
        <f>M26/F3</f>
        <v>2.8123332345093388</v>
      </c>
    </row>
    <row r="27" spans="1:15" ht="15.75">
      <c r="A27" s="69">
        <v>20</v>
      </c>
      <c r="B27" s="853" t="s">
        <v>51</v>
      </c>
      <c r="C27" s="71">
        <v>65</v>
      </c>
      <c r="D27" s="72"/>
      <c r="E27" s="72"/>
      <c r="F27" s="34">
        <v>5</v>
      </c>
      <c r="G27" s="35">
        <v>120</v>
      </c>
      <c r="H27" s="73">
        <f>F27/E3</f>
        <v>2.7027027027027029E-2</v>
      </c>
      <c r="I27" s="34">
        <f t="shared" si="0"/>
        <v>60</v>
      </c>
      <c r="J27" s="73">
        <f>G27/F3</f>
        <v>3.5576638007708272E-2</v>
      </c>
      <c r="K27" s="34">
        <v>107000</v>
      </c>
      <c r="L27" s="44">
        <f t="shared" si="1"/>
        <v>535</v>
      </c>
      <c r="M27" s="44">
        <f t="shared" si="2"/>
        <v>12840</v>
      </c>
      <c r="N27" s="74">
        <f>L27/E3</f>
        <v>2.8918918918918921</v>
      </c>
      <c r="O27" s="75">
        <f>M27/F3</f>
        <v>3.8067002668247851</v>
      </c>
    </row>
    <row r="28" spans="1:15" ht="15.75">
      <c r="A28" s="69">
        <v>21</v>
      </c>
      <c r="B28" s="234" t="s">
        <v>52</v>
      </c>
      <c r="C28" s="71">
        <v>100</v>
      </c>
      <c r="D28" s="72"/>
      <c r="E28" s="72"/>
      <c r="F28" s="34">
        <v>3</v>
      </c>
      <c r="G28" s="35">
        <v>72</v>
      </c>
      <c r="H28" s="73">
        <f>F28/E3</f>
        <v>1.6216216216216217E-2</v>
      </c>
      <c r="I28" s="34">
        <f t="shared" si="0"/>
        <v>97</v>
      </c>
      <c r="J28" s="73">
        <f>G28/F3</f>
        <v>2.1345982804624963E-2</v>
      </c>
      <c r="K28" s="34">
        <v>100000</v>
      </c>
      <c r="L28" s="44">
        <f t="shared" si="1"/>
        <v>300</v>
      </c>
      <c r="M28" s="44">
        <f t="shared" si="2"/>
        <v>7199.9999999999991</v>
      </c>
      <c r="N28" s="74">
        <f>L28/E3</f>
        <v>1.6216216216216217</v>
      </c>
      <c r="O28" s="75">
        <f>M28/F3</f>
        <v>2.1345982804624959</v>
      </c>
    </row>
    <row r="29" spans="1:15" ht="15.75">
      <c r="A29" s="69">
        <v>22</v>
      </c>
      <c r="B29" s="853" t="s">
        <v>53</v>
      </c>
      <c r="C29" s="71">
        <v>41</v>
      </c>
      <c r="D29" s="72"/>
      <c r="E29" s="72"/>
      <c r="F29" s="34">
        <v>1</v>
      </c>
      <c r="G29" s="35">
        <v>24</v>
      </c>
      <c r="H29" s="73">
        <f>F29/E3</f>
        <v>5.4054054054054057E-3</v>
      </c>
      <c r="I29" s="34">
        <f t="shared" si="0"/>
        <v>40</v>
      </c>
      <c r="J29" s="73">
        <f>G29/F3</f>
        <v>7.1153276015416544E-3</v>
      </c>
      <c r="K29" s="34">
        <v>255000</v>
      </c>
      <c r="L29" s="44">
        <f t="shared" si="1"/>
        <v>255</v>
      </c>
      <c r="M29" s="44">
        <f t="shared" si="2"/>
        <v>6120</v>
      </c>
      <c r="N29" s="74">
        <f>L29/E3</f>
        <v>1.3783783783783783</v>
      </c>
      <c r="O29" s="76">
        <f>M29/F3</f>
        <v>1.8144085383931219</v>
      </c>
    </row>
    <row r="30" spans="1:15" ht="15.75">
      <c r="A30" s="69">
        <v>23</v>
      </c>
      <c r="B30" s="853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77">
        <f>L30/F3</f>
        <v>0</v>
      </c>
      <c r="O30" s="76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87">
        <f>L31/F3</f>
        <v>0</v>
      </c>
      <c r="O31" s="88">
        <f>M31/F3</f>
        <v>0</v>
      </c>
    </row>
    <row r="32" spans="1:15" ht="16.5" thickBot="1">
      <c r="A32" s="936" t="s">
        <v>56</v>
      </c>
      <c r="B32" s="937" t="s">
        <v>57</v>
      </c>
      <c r="C32" s="254" t="s">
        <v>58</v>
      </c>
      <c r="D32" s="1457" t="s">
        <v>59</v>
      </c>
      <c r="E32" s="1457"/>
      <c r="F32" s="1458"/>
      <c r="G32" s="1471"/>
      <c r="H32" s="1472"/>
      <c r="I32" s="1472"/>
      <c r="J32" s="1472"/>
      <c r="K32" s="1472"/>
      <c r="L32" s="1473"/>
      <c r="M32" s="92" t="s">
        <v>60</v>
      </c>
      <c r="N32" s="93">
        <f>SUM(N8,N9,N10,N11,N12,N13,N14,N15,N16,N17,N18,N19,N20,N21,N22,N23,N24,N25,N26,N27,N28,N29,N30,N31)</f>
        <v>1562.822918918919</v>
      </c>
      <c r="O32" s="94">
        <f>SUM(O8,O9,O10,O11,O12,O13,O14,O15,O16,O17,O18,O19,O20,O21,O22,O23,O24,O25,O26,O27,O28,O29,O30,O31,)</f>
        <v>1485.6358612511117</v>
      </c>
    </row>
    <row r="33" spans="1:15" ht="17.25" thickTop="1" thickBot="1">
      <c r="A33" s="31">
        <v>1</v>
      </c>
      <c r="B33" s="33" t="s">
        <v>126</v>
      </c>
      <c r="C33" s="33">
        <v>34</v>
      </c>
      <c r="D33" s="1447"/>
      <c r="E33" s="1448"/>
      <c r="F33" s="95">
        <v>58</v>
      </c>
      <c r="G33" s="1474"/>
      <c r="H33" s="1475"/>
      <c r="I33" s="1475"/>
      <c r="J33" s="1475"/>
      <c r="K33" s="1475"/>
      <c r="L33" s="1476"/>
      <c r="M33" s="1464"/>
      <c r="N33" s="921" t="s">
        <v>17</v>
      </c>
      <c r="O33" s="922" t="s">
        <v>17</v>
      </c>
    </row>
    <row r="34" spans="1:15" ht="15.75">
      <c r="A34" s="31">
        <v>2</v>
      </c>
      <c r="B34" s="33" t="s">
        <v>129</v>
      </c>
      <c r="C34" s="33">
        <v>34</v>
      </c>
      <c r="D34" s="1096"/>
      <c r="E34" s="1449"/>
      <c r="F34" s="98">
        <v>58</v>
      </c>
      <c r="G34" s="1474"/>
      <c r="H34" s="1475"/>
      <c r="I34" s="1475"/>
      <c r="J34" s="1475"/>
      <c r="K34" s="1475"/>
      <c r="L34" s="1476"/>
      <c r="M34" s="1465"/>
      <c r="N34" s="917" t="s">
        <v>25</v>
      </c>
      <c r="O34" s="918" t="s">
        <v>26</v>
      </c>
    </row>
    <row r="35" spans="1:15" ht="16.5" thickBot="1">
      <c r="A35" s="31">
        <v>3</v>
      </c>
      <c r="B35" s="33" t="s">
        <v>130</v>
      </c>
      <c r="C35" s="34">
        <v>41</v>
      </c>
      <c r="D35" s="1096"/>
      <c r="E35" s="1449"/>
      <c r="F35" s="101">
        <v>69</v>
      </c>
      <c r="G35" s="1474"/>
      <c r="H35" s="1475"/>
      <c r="I35" s="1475"/>
      <c r="J35" s="1475"/>
      <c r="K35" s="1475"/>
      <c r="L35" s="1476"/>
      <c r="M35" s="1466"/>
      <c r="N35" s="919" t="s">
        <v>118</v>
      </c>
      <c r="O35" s="920" t="s">
        <v>118</v>
      </c>
    </row>
    <row r="36" spans="1:15" ht="20.25" thickBot="1">
      <c r="A36" s="104">
        <v>4</v>
      </c>
      <c r="B36" s="33"/>
      <c r="C36" s="105"/>
      <c r="D36" s="1096"/>
      <c r="E36" s="1449"/>
      <c r="F36" s="106"/>
      <c r="G36" s="1477"/>
      <c r="H36" s="1478"/>
      <c r="I36" s="1478"/>
      <c r="J36" s="1478"/>
      <c r="K36" s="1478"/>
      <c r="L36" s="1479"/>
      <c r="M36" s="107" t="s">
        <v>60</v>
      </c>
      <c r="N36" s="108">
        <f>N32/1000</f>
        <v>1.5628229189189189</v>
      </c>
      <c r="O36" s="109">
        <f>O32/1000</f>
        <v>1.4856358612511118</v>
      </c>
    </row>
    <row r="37" spans="1:15" ht="20.25" thickBot="1">
      <c r="A37" s="110">
        <v>5</v>
      </c>
      <c r="B37" s="111" t="s">
        <v>60</v>
      </c>
      <c r="C37" s="112">
        <f>SUM(C33:C36)</f>
        <v>109</v>
      </c>
      <c r="D37" s="941"/>
      <c r="E37" s="942"/>
      <c r="F37" s="944">
        <f>SUM(F33:F36)</f>
        <v>185</v>
      </c>
      <c r="G37" s="116"/>
      <c r="H37" s="1463"/>
      <c r="I37" s="1463"/>
      <c r="J37" s="117"/>
      <c r="K37" s="118"/>
      <c r="L37" s="1"/>
      <c r="M37" s="1"/>
      <c r="N37" s="1"/>
      <c r="O37" s="1"/>
    </row>
  </sheetData>
  <mergeCells count="17">
    <mergeCell ref="H37:I37"/>
    <mergeCell ref="D5:E5"/>
    <mergeCell ref="F5:G5"/>
    <mergeCell ref="L5:M5"/>
    <mergeCell ref="N5:O5"/>
    <mergeCell ref="D32:F32"/>
    <mergeCell ref="G32:L36"/>
    <mergeCell ref="D33:E36"/>
    <mergeCell ref="M33:M35"/>
    <mergeCell ref="A1:O1"/>
    <mergeCell ref="A2:O2"/>
    <mergeCell ref="A3:D3"/>
    <mergeCell ref="G3:H3"/>
    <mergeCell ref="I3:O4"/>
    <mergeCell ref="A4:B4"/>
    <mergeCell ref="C4:D4"/>
    <mergeCell ref="G4:H4"/>
  </mergeCells>
  <pageMargins left="0.15748031496062992" right="0.11811023622047245" top="0.74803149606299213" bottom="7.874015748031496E-2" header="0.31496062992125984" footer="3.937007874015748E-2"/>
  <pageSetup scale="85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45"/>
  <sheetViews>
    <sheetView workbookViewId="0">
      <selection sqref="A1:O38"/>
    </sheetView>
  </sheetViews>
  <sheetFormatPr defaultRowHeight="15"/>
  <cols>
    <col min="2" max="2" width="27.42578125" customWidth="1"/>
    <col min="3" max="3" width="9.5703125" customWidth="1"/>
    <col min="6" max="6" width="10.5703125" customWidth="1"/>
    <col min="12" max="12" width="12.140625" customWidth="1"/>
    <col min="13" max="13" width="12" customWidth="1"/>
    <col min="15" max="15" width="9.7109375" customWidth="1"/>
  </cols>
  <sheetData>
    <row r="1" spans="1:17" ht="20.25" thickBot="1">
      <c r="A1" s="1118" t="s">
        <v>0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2"/>
    </row>
    <row r="2" spans="1:17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7" ht="20.25" thickBot="1">
      <c r="A3" s="1124" t="s">
        <v>2</v>
      </c>
      <c r="B3" s="1125"/>
      <c r="C3" s="1125"/>
      <c r="D3" s="1126"/>
      <c r="E3" s="3">
        <v>190</v>
      </c>
      <c r="F3" s="2">
        <v>3563</v>
      </c>
      <c r="G3" s="1493" t="s">
        <v>132</v>
      </c>
      <c r="H3" s="1494"/>
      <c r="I3" s="1497" t="s">
        <v>131</v>
      </c>
      <c r="J3" s="1130"/>
      <c r="K3" s="1130"/>
      <c r="L3" s="1130"/>
      <c r="M3" s="1130"/>
      <c r="N3" s="1130"/>
      <c r="O3" s="1131"/>
    </row>
    <row r="4" spans="1:17" ht="21.75" thickTop="1" thickBot="1">
      <c r="A4" s="1487" t="s">
        <v>5</v>
      </c>
      <c r="B4" s="1488"/>
      <c r="C4" s="1503" t="s">
        <v>6</v>
      </c>
      <c r="D4" s="1504"/>
      <c r="E4" s="5">
        <v>0</v>
      </c>
      <c r="F4" s="938">
        <v>464.5</v>
      </c>
      <c r="G4" s="959" t="s">
        <v>113</v>
      </c>
      <c r="H4" s="960"/>
      <c r="I4" s="1470"/>
      <c r="J4" s="1132"/>
      <c r="K4" s="1132"/>
      <c r="L4" s="1132"/>
      <c r="M4" s="1132"/>
      <c r="N4" s="1132"/>
      <c r="O4" s="1133"/>
    </row>
    <row r="5" spans="1:17" ht="17.25" thickTop="1" thickBot="1">
      <c r="A5" s="964" t="s">
        <v>8</v>
      </c>
      <c r="B5" s="8" t="s">
        <v>9</v>
      </c>
      <c r="C5" s="8" t="s">
        <v>10</v>
      </c>
      <c r="D5" s="1498" t="s">
        <v>11</v>
      </c>
      <c r="E5" s="1515"/>
      <c r="F5" s="1152" t="s">
        <v>12</v>
      </c>
      <c r="G5" s="1152"/>
      <c r="H5" s="797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8"/>
      <c r="N5" s="1480" t="s">
        <v>17</v>
      </c>
      <c r="O5" s="1452"/>
    </row>
    <row r="6" spans="1:17" ht="16.5" thickTop="1">
      <c r="A6" s="964" t="s">
        <v>18</v>
      </c>
      <c r="B6" s="8" t="s">
        <v>19</v>
      </c>
      <c r="C6" s="8" t="s">
        <v>20</v>
      </c>
      <c r="D6" s="790" t="s">
        <v>21</v>
      </c>
      <c r="E6" s="795" t="s">
        <v>14</v>
      </c>
      <c r="F6" s="796" t="s">
        <v>21</v>
      </c>
      <c r="G6" s="796" t="s">
        <v>14</v>
      </c>
      <c r="H6" s="341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798" t="s">
        <v>26</v>
      </c>
      <c r="N6" s="794" t="s">
        <v>25</v>
      </c>
      <c r="O6" s="939" t="s">
        <v>26</v>
      </c>
      <c r="Q6" s="961"/>
    </row>
    <row r="7" spans="1:17" ht="16.5" thickBot="1">
      <c r="A7" s="965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797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0" t="s">
        <v>30</v>
      </c>
      <c r="N7" s="800" t="s">
        <v>31</v>
      </c>
      <c r="O7" s="940" t="s">
        <v>31</v>
      </c>
      <c r="Q7" s="961"/>
    </row>
    <row r="8" spans="1:17" ht="15.75">
      <c r="A8" s="20">
        <v>1</v>
      </c>
      <c r="B8" s="933" t="s">
        <v>32</v>
      </c>
      <c r="C8" s="22">
        <v>11100</v>
      </c>
      <c r="D8" s="23">
        <v>25000</v>
      </c>
      <c r="E8" s="22"/>
      <c r="F8" s="22">
        <v>7100</v>
      </c>
      <c r="G8" s="24">
        <v>100400</v>
      </c>
      <c r="H8" s="25">
        <f>F8/E3</f>
        <v>37.368421052631582</v>
      </c>
      <c r="I8" s="22">
        <f t="shared" ref="I8:I31" si="0">(C8-F8)+D8</f>
        <v>29000</v>
      </c>
      <c r="J8" s="26">
        <f>G8/F3</f>
        <v>28.178501262980635</v>
      </c>
      <c r="K8" s="24">
        <v>36000</v>
      </c>
      <c r="L8" s="27">
        <f t="shared" ref="L8:L31" si="1">(F8/1000)*K8</f>
        <v>255600</v>
      </c>
      <c r="M8" s="28">
        <f t="shared" ref="M8:M31" si="2">(G8/1000)*K8</f>
        <v>3614400</v>
      </c>
      <c r="N8" s="29">
        <f>L8/E3</f>
        <v>1345.2631578947369</v>
      </c>
      <c r="O8" s="30">
        <f>M8/F3</f>
        <v>1014.4260454673029</v>
      </c>
      <c r="Q8" s="961"/>
    </row>
    <row r="9" spans="1:17" ht="15.75">
      <c r="A9" s="31">
        <v>2</v>
      </c>
      <c r="B9" s="817" t="s">
        <v>33</v>
      </c>
      <c r="C9" s="33">
        <v>4131</v>
      </c>
      <c r="D9" s="34"/>
      <c r="E9" s="33"/>
      <c r="F9" s="33">
        <v>214</v>
      </c>
      <c r="G9" s="35">
        <v>5083</v>
      </c>
      <c r="H9" s="36">
        <f>F9/E3</f>
        <v>1.1263157894736842</v>
      </c>
      <c r="I9" s="33">
        <f t="shared" si="0"/>
        <v>3917</v>
      </c>
      <c r="J9" s="37">
        <f>G9/F3</f>
        <v>1.4266067920291889</v>
      </c>
      <c r="K9" s="35">
        <v>33500</v>
      </c>
      <c r="L9" s="38">
        <f t="shared" si="1"/>
        <v>7169</v>
      </c>
      <c r="M9" s="38">
        <f t="shared" si="2"/>
        <v>170280.5</v>
      </c>
      <c r="N9" s="39">
        <f>L9/E3</f>
        <v>37.731578947368419</v>
      </c>
      <c r="O9" s="40">
        <f>M9/F3</f>
        <v>47.791327532977824</v>
      </c>
      <c r="Q9" s="961"/>
    </row>
    <row r="10" spans="1:17" ht="15.75">
      <c r="A10" s="31">
        <v>3</v>
      </c>
      <c r="B10" s="817" t="s">
        <v>34</v>
      </c>
      <c r="C10" s="33">
        <v>5399</v>
      </c>
      <c r="D10" s="34"/>
      <c r="E10" s="33"/>
      <c r="F10" s="33">
        <v>49</v>
      </c>
      <c r="G10" s="35">
        <v>1470</v>
      </c>
      <c r="H10" s="36">
        <f>F10/E3</f>
        <v>0.25789473684210529</v>
      </c>
      <c r="I10" s="33">
        <f t="shared" si="0"/>
        <v>5350</v>
      </c>
      <c r="J10" s="37">
        <f>G10/F3</f>
        <v>0.412573673870334</v>
      </c>
      <c r="K10" s="35">
        <v>98000</v>
      </c>
      <c r="L10" s="38">
        <f t="shared" si="1"/>
        <v>4802</v>
      </c>
      <c r="M10" s="38">
        <f t="shared" si="2"/>
        <v>144060</v>
      </c>
      <c r="N10" s="39">
        <f>L10/E3</f>
        <v>25.273684210526316</v>
      </c>
      <c r="O10" s="40">
        <f>M10/F3</f>
        <v>40.43222003929273</v>
      </c>
    </row>
    <row r="11" spans="1:17" ht="15.75">
      <c r="A11" s="31">
        <v>4</v>
      </c>
      <c r="B11" s="817" t="s">
        <v>35</v>
      </c>
      <c r="C11" s="33">
        <v>19.930000000000007</v>
      </c>
      <c r="D11" s="34"/>
      <c r="E11" s="33"/>
      <c r="F11" s="33">
        <v>0.11</v>
      </c>
      <c r="G11" s="41">
        <v>1.66</v>
      </c>
      <c r="H11" s="42">
        <f>F11/E3</f>
        <v>5.7894736842105268E-4</v>
      </c>
      <c r="I11" s="33">
        <f t="shared" si="0"/>
        <v>19.820000000000007</v>
      </c>
      <c r="J11" s="43">
        <f>G11/F3</f>
        <v>4.6589952287398259E-4</v>
      </c>
      <c r="K11" s="35">
        <v>750000</v>
      </c>
      <c r="L11" s="38">
        <f t="shared" si="1"/>
        <v>82.5</v>
      </c>
      <c r="M11" s="38">
        <f t="shared" si="2"/>
        <v>1245</v>
      </c>
      <c r="N11" s="39">
        <f>L11/E3</f>
        <v>0.43421052631578949</v>
      </c>
      <c r="O11" s="40">
        <f>M11/F3</f>
        <v>0.34942464215548696</v>
      </c>
    </row>
    <row r="12" spans="1:17" ht="15.75">
      <c r="A12" s="31">
        <v>5</v>
      </c>
      <c r="B12" s="817" t="s">
        <v>36</v>
      </c>
      <c r="C12" s="33">
        <v>1045</v>
      </c>
      <c r="D12" s="34"/>
      <c r="E12" s="33">
        <v>1000</v>
      </c>
      <c r="F12" s="33">
        <v>30.9</v>
      </c>
      <c r="G12" s="35">
        <v>485.9</v>
      </c>
      <c r="H12" s="36">
        <f>F12/E3</f>
        <v>0.1626315789473684</v>
      </c>
      <c r="I12" s="33">
        <f t="shared" si="0"/>
        <v>1014.1</v>
      </c>
      <c r="J12" s="37">
        <f>G12/F3</f>
        <v>0.1363738422677519</v>
      </c>
      <c r="K12" s="35">
        <v>350000</v>
      </c>
      <c r="L12" s="38">
        <f t="shared" si="1"/>
        <v>10814.999999999998</v>
      </c>
      <c r="M12" s="38">
        <f t="shared" si="2"/>
        <v>170065</v>
      </c>
      <c r="N12" s="39">
        <f>L12/E3</f>
        <v>56.921052631578938</v>
      </c>
      <c r="O12" s="40">
        <f>M12/F3</f>
        <v>47.73084479371316</v>
      </c>
    </row>
    <row r="13" spans="1:17" ht="15.75">
      <c r="A13" s="31">
        <v>6</v>
      </c>
      <c r="B13" s="817" t="s">
        <v>37</v>
      </c>
      <c r="C13" s="33">
        <v>1341</v>
      </c>
      <c r="D13" s="34"/>
      <c r="E13" s="33"/>
      <c r="F13" s="33">
        <v>60</v>
      </c>
      <c r="G13" s="35">
        <v>1117</v>
      </c>
      <c r="H13" s="36">
        <f>F13/E3</f>
        <v>0.31578947368421051</v>
      </c>
      <c r="I13" s="33">
        <f t="shared" si="0"/>
        <v>1281</v>
      </c>
      <c r="J13" s="37">
        <f>G13/F3</f>
        <v>0.31349985966881844</v>
      </c>
      <c r="K13" s="35">
        <v>204500</v>
      </c>
      <c r="L13" s="38">
        <f t="shared" si="1"/>
        <v>12270</v>
      </c>
      <c r="M13" s="38">
        <f t="shared" si="2"/>
        <v>228426.5</v>
      </c>
      <c r="N13" s="39">
        <f>L13/E3</f>
        <v>64.578947368421055</v>
      </c>
      <c r="O13" s="40">
        <f>M13/F3</f>
        <v>64.110721302273362</v>
      </c>
    </row>
    <row r="14" spans="1:17" ht="15.75">
      <c r="A14" s="31">
        <v>7</v>
      </c>
      <c r="B14" s="817" t="s">
        <v>38</v>
      </c>
      <c r="C14" s="33">
        <v>3583</v>
      </c>
      <c r="D14" s="34"/>
      <c r="E14" s="33">
        <v>3000</v>
      </c>
      <c r="F14" s="33">
        <v>54</v>
      </c>
      <c r="G14" s="35">
        <v>1221</v>
      </c>
      <c r="H14" s="36">
        <f>F14/E3</f>
        <v>0.28421052631578947</v>
      </c>
      <c r="I14" s="33">
        <f t="shared" si="0"/>
        <v>3529</v>
      </c>
      <c r="J14" s="37">
        <f>G14/F3</f>
        <v>0.34268874543923661</v>
      </c>
      <c r="K14" s="35">
        <v>129500</v>
      </c>
      <c r="L14" s="38">
        <f t="shared" si="1"/>
        <v>6993</v>
      </c>
      <c r="M14" s="38">
        <f t="shared" si="2"/>
        <v>158119.5</v>
      </c>
      <c r="N14" s="39">
        <f>L14/E3</f>
        <v>36.805263157894736</v>
      </c>
      <c r="O14" s="40">
        <f>M14/F3</f>
        <v>44.378192534381142</v>
      </c>
      <c r="Q14" s="962"/>
    </row>
    <row r="15" spans="1:17" ht="15.75">
      <c r="A15" s="31">
        <v>8</v>
      </c>
      <c r="B15" s="817" t="s">
        <v>39</v>
      </c>
      <c r="C15" s="33">
        <v>1042</v>
      </c>
      <c r="D15" s="33"/>
      <c r="E15" s="33">
        <v>500</v>
      </c>
      <c r="F15" s="33">
        <v>20</v>
      </c>
      <c r="G15" s="35">
        <v>463</v>
      </c>
      <c r="H15" s="36">
        <f>F15/E3</f>
        <v>0.10526315789473684</v>
      </c>
      <c r="I15" s="33">
        <f t="shared" si="0"/>
        <v>1022</v>
      </c>
      <c r="J15" s="37">
        <f>G15/F3</f>
        <v>0.12994667415099634</v>
      </c>
      <c r="K15" s="35">
        <v>219500</v>
      </c>
      <c r="L15" s="38">
        <f t="shared" si="1"/>
        <v>4390</v>
      </c>
      <c r="M15" s="38">
        <f t="shared" si="2"/>
        <v>101628.5</v>
      </c>
      <c r="N15" s="39">
        <f>L15/E3</f>
        <v>23.105263157894736</v>
      </c>
      <c r="O15" s="40">
        <f>M15/F3</f>
        <v>28.523294976143699</v>
      </c>
      <c r="Q15" s="963"/>
    </row>
    <row r="16" spans="1:17" ht="15.75">
      <c r="A16" s="31">
        <v>9</v>
      </c>
      <c r="B16" s="817" t="s">
        <v>40</v>
      </c>
      <c r="C16" s="33">
        <v>20</v>
      </c>
      <c r="D16" s="34"/>
      <c r="E16" s="33"/>
      <c r="F16" s="33">
        <v>1</v>
      </c>
      <c r="G16" s="35">
        <v>1</v>
      </c>
      <c r="H16" s="36">
        <f>F16/E3</f>
        <v>5.263157894736842E-3</v>
      </c>
      <c r="I16" s="33">
        <f t="shared" si="0"/>
        <v>19</v>
      </c>
      <c r="J16" s="37">
        <f>G16/F3</f>
        <v>2.8066236317709798E-4</v>
      </c>
      <c r="K16" s="35">
        <v>348200</v>
      </c>
      <c r="L16" s="38">
        <f t="shared" si="1"/>
        <v>348.2</v>
      </c>
      <c r="M16" s="44">
        <f t="shared" si="2"/>
        <v>348.2</v>
      </c>
      <c r="N16" s="39">
        <f>L16/E3</f>
        <v>1.8326315789473684</v>
      </c>
      <c r="O16" s="40">
        <f>M16/F3</f>
        <v>9.7726634858265507E-2</v>
      </c>
      <c r="Q16" s="962"/>
    </row>
    <row r="17" spans="1:15" ht="15.75">
      <c r="A17" s="45">
        <v>10</v>
      </c>
      <c r="B17" s="934" t="s">
        <v>41</v>
      </c>
      <c r="C17" s="928">
        <v>2500</v>
      </c>
      <c r="D17" s="928"/>
      <c r="E17" s="928"/>
      <c r="F17" s="928">
        <v>0</v>
      </c>
      <c r="G17" s="927">
        <f>'16-07-26'!G20+'17-07-26'!F17</f>
        <v>1450</v>
      </c>
      <c r="H17" s="930">
        <f>F17/E3</f>
        <v>0</v>
      </c>
      <c r="I17" s="928">
        <f t="shared" si="0"/>
        <v>2500</v>
      </c>
      <c r="J17" s="930">
        <f>G17/F3</f>
        <v>0.40696042660679205</v>
      </c>
      <c r="K17" s="927">
        <v>172000</v>
      </c>
      <c r="L17" s="931">
        <f t="shared" si="1"/>
        <v>0</v>
      </c>
      <c r="M17" s="931">
        <f t="shared" si="2"/>
        <v>249400</v>
      </c>
      <c r="N17" s="931">
        <f>L17/E3</f>
        <v>0</v>
      </c>
      <c r="O17" s="932">
        <f>M17/F3</f>
        <v>69.99719337636823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258.7</v>
      </c>
      <c r="D19" s="61"/>
      <c r="E19" s="61">
        <v>250</v>
      </c>
      <c r="F19" s="62">
        <v>9</v>
      </c>
      <c r="G19" s="925">
        <v>162.9</v>
      </c>
      <c r="H19" s="64">
        <f>F19/E3</f>
        <v>4.736842105263158E-2</v>
      </c>
      <c r="I19" s="65">
        <f t="shared" si="0"/>
        <v>249.7</v>
      </c>
      <c r="J19" s="66">
        <f>G19/F3</f>
        <v>4.5719898961549259E-2</v>
      </c>
      <c r="K19" s="60">
        <v>377600</v>
      </c>
      <c r="L19" s="67">
        <f t="shared" si="1"/>
        <v>3398.3999999999996</v>
      </c>
      <c r="M19" s="67">
        <f t="shared" si="2"/>
        <v>61511.040000000008</v>
      </c>
      <c r="N19" s="67">
        <f>L19/E3</f>
        <v>17.886315789473681</v>
      </c>
      <c r="O19" s="68">
        <f>M19/F3</f>
        <v>17.263833847881003</v>
      </c>
    </row>
    <row r="20" spans="1:15" ht="15.75">
      <c r="A20" s="58">
        <v>13</v>
      </c>
      <c r="B20" s="843" t="s">
        <v>44</v>
      </c>
      <c r="C20" s="60">
        <v>244.89999999999998</v>
      </c>
      <c r="D20" s="61"/>
      <c r="E20" s="61">
        <v>200</v>
      </c>
      <c r="F20" s="62">
        <v>5</v>
      </c>
      <c r="G20" s="925">
        <v>94.6</v>
      </c>
      <c r="H20" s="66">
        <f>F20/E3</f>
        <v>2.6315789473684209E-2</v>
      </c>
      <c r="I20" s="60">
        <f t="shared" si="0"/>
        <v>239.89999999999998</v>
      </c>
      <c r="J20" s="66">
        <f>G20/F3</f>
        <v>2.6550659556553464E-2</v>
      </c>
      <c r="K20" s="60">
        <v>271400</v>
      </c>
      <c r="L20" s="67">
        <f t="shared" si="1"/>
        <v>1357</v>
      </c>
      <c r="M20" s="67">
        <f t="shared" si="2"/>
        <v>25674.44</v>
      </c>
      <c r="N20" s="67">
        <f>L20/E3</f>
        <v>7.1421052631578945</v>
      </c>
      <c r="O20" s="68">
        <f>M20/F3</f>
        <v>7.20584900364861</v>
      </c>
    </row>
    <row r="21" spans="1:15" ht="15.75">
      <c r="A21" s="58">
        <v>14</v>
      </c>
      <c r="B21" s="843" t="s">
        <v>45</v>
      </c>
      <c r="C21" s="60">
        <v>3153.5</v>
      </c>
      <c r="D21" s="61"/>
      <c r="E21" s="61">
        <v>2500</v>
      </c>
      <c r="F21" s="62">
        <v>69.099999999999994</v>
      </c>
      <c r="G21" s="925">
        <v>1354.8</v>
      </c>
      <c r="H21" s="66">
        <f>F21/E3</f>
        <v>0.36368421052631578</v>
      </c>
      <c r="I21" s="61">
        <f t="shared" si="0"/>
        <v>3084.4</v>
      </c>
      <c r="J21" s="66">
        <f>G21/F3</f>
        <v>0.38024136963233229</v>
      </c>
      <c r="K21" s="60">
        <v>271400</v>
      </c>
      <c r="L21" s="67">
        <f t="shared" si="1"/>
        <v>18753.739999999998</v>
      </c>
      <c r="M21" s="67">
        <f t="shared" si="2"/>
        <v>367692.72</v>
      </c>
      <c r="N21" s="67">
        <f>L21/E3</f>
        <v>98.703894736842088</v>
      </c>
      <c r="O21" s="68">
        <f>M21/F3</f>
        <v>103.19750771821498</v>
      </c>
    </row>
    <row r="22" spans="1:15" ht="15.75">
      <c r="A22" s="69">
        <v>15</v>
      </c>
      <c r="B22" s="853" t="s">
        <v>46</v>
      </c>
      <c r="C22" s="71">
        <v>68</v>
      </c>
      <c r="D22" s="72"/>
      <c r="E22" s="72"/>
      <c r="F22" s="34">
        <v>0</v>
      </c>
      <c r="G22" s="35">
        <v>32</v>
      </c>
      <c r="H22" s="73">
        <f>F22/E3</f>
        <v>0</v>
      </c>
      <c r="I22" s="34">
        <f t="shared" si="0"/>
        <v>68</v>
      </c>
      <c r="J22" s="73">
        <f>G22/F3</f>
        <v>8.9811956216671353E-3</v>
      </c>
      <c r="K22" s="34">
        <v>41000</v>
      </c>
      <c r="L22" s="44">
        <f t="shared" si="1"/>
        <v>0</v>
      </c>
      <c r="M22" s="44">
        <f t="shared" si="2"/>
        <v>1312</v>
      </c>
      <c r="N22" s="74">
        <f>L22/E3</f>
        <v>0</v>
      </c>
      <c r="O22" s="75">
        <f>M22/F3</f>
        <v>0.36822902048835249</v>
      </c>
    </row>
    <row r="23" spans="1:15" ht="15.75">
      <c r="A23" s="69">
        <v>16</v>
      </c>
      <c r="B23" s="234" t="s">
        <v>47</v>
      </c>
      <c r="C23" s="71">
        <v>230.8</v>
      </c>
      <c r="D23" s="72"/>
      <c r="E23" s="72"/>
      <c r="F23" s="34">
        <v>14.4</v>
      </c>
      <c r="G23" s="63">
        <v>219.2</v>
      </c>
      <c r="H23" s="73">
        <f>F23/E3</f>
        <v>7.5789473684210532E-2</v>
      </c>
      <c r="I23" s="34">
        <f t="shared" si="0"/>
        <v>216.4</v>
      </c>
      <c r="J23" s="73">
        <f>G23/F3</f>
        <v>6.1521190008419865E-2</v>
      </c>
      <c r="K23" s="34">
        <v>24000</v>
      </c>
      <c r="L23" s="44">
        <f t="shared" si="1"/>
        <v>345.59999999999997</v>
      </c>
      <c r="M23" s="44">
        <f t="shared" si="2"/>
        <v>5260.7999999999993</v>
      </c>
      <c r="N23" s="74">
        <f>L23/E3</f>
        <v>1.8189473684210524</v>
      </c>
      <c r="O23" s="75">
        <f>M23/F3</f>
        <v>1.4765085602020767</v>
      </c>
    </row>
    <row r="24" spans="1:15" ht="15.75">
      <c r="A24" s="69">
        <v>17</v>
      </c>
      <c r="B24" s="853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90</v>
      </c>
      <c r="D25" s="72"/>
      <c r="E25" s="34"/>
      <c r="F25" s="34">
        <v>5</v>
      </c>
      <c r="G25" s="35">
        <v>165</v>
      </c>
      <c r="H25" s="73">
        <f>F25/E3</f>
        <v>2.6315789473684209E-2</v>
      </c>
      <c r="I25" s="34">
        <f t="shared" si="0"/>
        <v>85</v>
      </c>
      <c r="J25" s="73">
        <f>G25/F3</f>
        <v>4.6309289924221161E-2</v>
      </c>
      <c r="K25" s="34">
        <v>14400</v>
      </c>
      <c r="L25" s="44">
        <f t="shared" si="1"/>
        <v>72</v>
      </c>
      <c r="M25" s="44">
        <f t="shared" si="2"/>
        <v>2376</v>
      </c>
      <c r="N25" s="74">
        <f>L25/E3</f>
        <v>0.37894736842105264</v>
      </c>
      <c r="O25" s="75">
        <f>M25/F3</f>
        <v>0.66685377490878472</v>
      </c>
    </row>
    <row r="26" spans="1:15" ht="15.75">
      <c r="A26" s="69">
        <v>19</v>
      </c>
      <c r="B26" s="853" t="s">
        <v>50</v>
      </c>
      <c r="C26" s="71">
        <v>113.4</v>
      </c>
      <c r="D26" s="34"/>
      <c r="E26" s="72"/>
      <c r="F26" s="34">
        <v>5</v>
      </c>
      <c r="G26" s="35">
        <v>98</v>
      </c>
      <c r="H26" s="73">
        <f>F26/E3</f>
        <v>2.6315789473684209E-2</v>
      </c>
      <c r="I26" s="34">
        <f t="shared" si="0"/>
        <v>108.4</v>
      </c>
      <c r="J26" s="73">
        <f>G26/F3</f>
        <v>2.75049115913556E-2</v>
      </c>
      <c r="K26" s="34">
        <v>102000</v>
      </c>
      <c r="L26" s="44">
        <f t="shared" si="1"/>
        <v>510</v>
      </c>
      <c r="M26" s="44">
        <f t="shared" si="2"/>
        <v>9996</v>
      </c>
      <c r="N26" s="74">
        <f>L26/E3</f>
        <v>2.6842105263157894</v>
      </c>
      <c r="O26" s="75">
        <f>M26/F3</f>
        <v>2.8055009823182711</v>
      </c>
    </row>
    <row r="27" spans="1:15" ht="15.75">
      <c r="A27" s="69">
        <v>20</v>
      </c>
      <c r="B27" s="853" t="s">
        <v>51</v>
      </c>
      <c r="C27" s="71">
        <v>60</v>
      </c>
      <c r="D27" s="72"/>
      <c r="E27" s="72"/>
      <c r="F27" s="34">
        <v>5</v>
      </c>
      <c r="G27" s="35">
        <v>125</v>
      </c>
      <c r="H27" s="73">
        <f>F27/E3</f>
        <v>2.6315789473684209E-2</v>
      </c>
      <c r="I27" s="34">
        <f t="shared" si="0"/>
        <v>55</v>
      </c>
      <c r="J27" s="73">
        <f>G27/F3</f>
        <v>3.5082795397137247E-2</v>
      </c>
      <c r="K27" s="34">
        <v>107000</v>
      </c>
      <c r="L27" s="44">
        <f t="shared" si="1"/>
        <v>535</v>
      </c>
      <c r="M27" s="44">
        <f t="shared" si="2"/>
        <v>13375</v>
      </c>
      <c r="N27" s="74">
        <f>L27/E3</f>
        <v>2.8157894736842106</v>
      </c>
      <c r="O27" s="75">
        <f>M27/F3</f>
        <v>3.7538591074936849</v>
      </c>
    </row>
    <row r="28" spans="1:15" ht="15.75">
      <c r="A28" s="69">
        <v>21</v>
      </c>
      <c r="B28" s="234" t="s">
        <v>52</v>
      </c>
      <c r="C28" s="71">
        <v>97</v>
      </c>
      <c r="D28" s="72"/>
      <c r="E28" s="72"/>
      <c r="F28" s="34">
        <v>3</v>
      </c>
      <c r="G28" s="35">
        <v>75</v>
      </c>
      <c r="H28" s="73">
        <f>F28/E3</f>
        <v>1.5789473684210527E-2</v>
      </c>
      <c r="I28" s="34">
        <f t="shared" si="0"/>
        <v>94</v>
      </c>
      <c r="J28" s="73">
        <f>G28/F3</f>
        <v>2.1049677238282348E-2</v>
      </c>
      <c r="K28" s="34">
        <v>100000</v>
      </c>
      <c r="L28" s="44">
        <f t="shared" si="1"/>
        <v>300</v>
      </c>
      <c r="M28" s="44">
        <f t="shared" si="2"/>
        <v>7500</v>
      </c>
      <c r="N28" s="74">
        <f>L28/E3</f>
        <v>1.5789473684210527</v>
      </c>
      <c r="O28" s="75">
        <f>M28/F3</f>
        <v>2.1049677238282345</v>
      </c>
    </row>
    <row r="29" spans="1:15" ht="15.75">
      <c r="A29" s="69">
        <v>22</v>
      </c>
      <c r="B29" s="853" t="s">
        <v>53</v>
      </c>
      <c r="C29" s="71">
        <v>40</v>
      </c>
      <c r="D29" s="72"/>
      <c r="E29" s="72"/>
      <c r="F29" s="34">
        <v>1</v>
      </c>
      <c r="G29" s="35">
        <v>25</v>
      </c>
      <c r="H29" s="73">
        <f>F29/E3</f>
        <v>5.263157894736842E-3</v>
      </c>
      <c r="I29" s="34">
        <f t="shared" si="0"/>
        <v>39</v>
      </c>
      <c r="J29" s="73">
        <f>G29/F3</f>
        <v>7.0165590794274485E-3</v>
      </c>
      <c r="K29" s="34">
        <v>255000</v>
      </c>
      <c r="L29" s="44">
        <f t="shared" si="1"/>
        <v>255</v>
      </c>
      <c r="M29" s="44">
        <f t="shared" si="2"/>
        <v>6375</v>
      </c>
      <c r="N29" s="74">
        <f>L29/E3</f>
        <v>1.3421052631578947</v>
      </c>
      <c r="O29" s="76">
        <f>M29/F3</f>
        <v>1.7892225652539995</v>
      </c>
    </row>
    <row r="30" spans="1:15" ht="15.75">
      <c r="A30" s="69">
        <v>23</v>
      </c>
      <c r="B30" s="853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77">
        <f>L30/F3</f>
        <v>0</v>
      </c>
      <c r="O30" s="76">
        <f>M30/F3</f>
        <v>0</v>
      </c>
    </row>
    <row r="31" spans="1:15" ht="12.75" customHeight="1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87">
        <f>L31/F3</f>
        <v>0</v>
      </c>
      <c r="O31" s="88">
        <f>M31/F3</f>
        <v>0</v>
      </c>
    </row>
    <row r="32" spans="1:15" ht="16.5" thickBot="1">
      <c r="A32" s="936" t="s">
        <v>56</v>
      </c>
      <c r="B32" s="937" t="s">
        <v>57</v>
      </c>
      <c r="C32" s="254" t="s">
        <v>58</v>
      </c>
      <c r="D32" s="1457" t="s">
        <v>59</v>
      </c>
      <c r="E32" s="1457"/>
      <c r="F32" s="1458"/>
      <c r="G32" s="936" t="s">
        <v>56</v>
      </c>
      <c r="H32" s="1511" t="s">
        <v>57</v>
      </c>
      <c r="I32" s="1512"/>
      <c r="J32" s="1513"/>
      <c r="K32" s="254" t="s">
        <v>58</v>
      </c>
      <c r="L32" s="947" t="s">
        <v>133</v>
      </c>
      <c r="M32" s="92" t="s">
        <v>60</v>
      </c>
      <c r="N32" s="93">
        <f>SUM(N8,N9,N10,N11,N12,N13,N14,N15,N16,N17,N18,N19,N20,N21,N22,N23,N24,N25,N26,N27,N28,N29,N30,N31)</f>
        <v>1726.2970526315792</v>
      </c>
      <c r="O32" s="94">
        <f>SUM(O8,O9,O10,O11,O12,O13,O14,O15,O16,O17,O18,O19,O20,O21,O22,O23,O24,O25,O26,O27,O28,O29,O30,O31,)</f>
        <v>1498.4693236037051</v>
      </c>
    </row>
    <row r="33" spans="1:15" ht="16.5" thickBot="1">
      <c r="A33" s="33">
        <v>1</v>
      </c>
      <c r="B33" s="953" t="s">
        <v>130</v>
      </c>
      <c r="C33" s="966">
        <v>19</v>
      </c>
      <c r="D33" s="1447"/>
      <c r="E33" s="1447"/>
      <c r="F33" s="955">
        <v>33</v>
      </c>
      <c r="G33" s="33">
        <v>6</v>
      </c>
      <c r="H33" s="1101" t="s">
        <v>138</v>
      </c>
      <c r="I33" s="1101"/>
      <c r="J33" s="1101"/>
      <c r="K33" s="33">
        <v>6</v>
      </c>
      <c r="L33" s="955">
        <v>10</v>
      </c>
      <c r="M33" s="1508"/>
      <c r="N33" s="921" t="s">
        <v>17</v>
      </c>
      <c r="O33" s="922" t="s">
        <v>17</v>
      </c>
    </row>
    <row r="34" spans="1:15" ht="15.75">
      <c r="A34" s="33">
        <v>2</v>
      </c>
      <c r="B34" s="33" t="s">
        <v>134</v>
      </c>
      <c r="C34" s="966">
        <v>35</v>
      </c>
      <c r="D34" s="1096"/>
      <c r="E34" s="1096"/>
      <c r="F34" s="955">
        <v>60</v>
      </c>
      <c r="G34" s="33">
        <v>7</v>
      </c>
      <c r="H34" s="1101" t="s">
        <v>139</v>
      </c>
      <c r="I34" s="1101"/>
      <c r="J34" s="1101"/>
      <c r="K34" s="33">
        <v>3</v>
      </c>
      <c r="L34" s="955">
        <v>5</v>
      </c>
      <c r="M34" s="1509"/>
      <c r="N34" s="917" t="s">
        <v>25</v>
      </c>
      <c r="O34" s="918" t="s">
        <v>26</v>
      </c>
    </row>
    <row r="35" spans="1:15" ht="16.5" thickBot="1">
      <c r="A35" s="33">
        <v>3</v>
      </c>
      <c r="B35" s="33" t="s">
        <v>135</v>
      </c>
      <c r="C35" s="967">
        <v>21</v>
      </c>
      <c r="D35" s="1096"/>
      <c r="E35" s="1096"/>
      <c r="F35" s="956">
        <v>36</v>
      </c>
      <c r="G35" s="33">
        <v>8</v>
      </c>
      <c r="H35" s="1101" t="s">
        <v>140</v>
      </c>
      <c r="I35" s="1101"/>
      <c r="J35" s="1101"/>
      <c r="K35" s="34">
        <v>4</v>
      </c>
      <c r="L35" s="956">
        <v>7</v>
      </c>
      <c r="M35" s="1510"/>
      <c r="N35" s="919" t="s">
        <v>118</v>
      </c>
      <c r="O35" s="920" t="s">
        <v>118</v>
      </c>
    </row>
    <row r="36" spans="1:15" ht="20.25" thickBot="1">
      <c r="A36" s="33">
        <v>4</v>
      </c>
      <c r="B36" s="33" t="s">
        <v>136</v>
      </c>
      <c r="C36" s="968">
        <v>11</v>
      </c>
      <c r="D36" s="1096"/>
      <c r="E36" s="1096"/>
      <c r="F36" s="955">
        <v>19</v>
      </c>
      <c r="G36" s="33">
        <v>9</v>
      </c>
      <c r="H36" s="1101" t="s">
        <v>141</v>
      </c>
      <c r="I36" s="1101"/>
      <c r="J36" s="1101"/>
      <c r="K36" s="34">
        <v>6</v>
      </c>
      <c r="L36" s="955">
        <v>10</v>
      </c>
      <c r="M36" s="107" t="s">
        <v>60</v>
      </c>
      <c r="N36" s="108">
        <f>N32/1000</f>
        <v>1.7262970526315791</v>
      </c>
      <c r="O36" s="109">
        <f>O32/1000</f>
        <v>1.4984693236037052</v>
      </c>
    </row>
    <row r="37" spans="1:15" ht="21" thickTop="1" thickBot="1">
      <c r="A37" s="33">
        <v>5</v>
      </c>
      <c r="B37" s="33" t="s">
        <v>137</v>
      </c>
      <c r="C37" s="969">
        <v>4</v>
      </c>
      <c r="D37" s="1514"/>
      <c r="E37" s="1514"/>
      <c r="F37" s="957">
        <v>7</v>
      </c>
      <c r="G37" s="954">
        <v>10</v>
      </c>
      <c r="H37" s="1101" t="s">
        <v>125</v>
      </c>
      <c r="I37" s="1101"/>
      <c r="J37" s="1101"/>
      <c r="K37" s="954">
        <v>2</v>
      </c>
      <c r="L37" s="958">
        <v>3</v>
      </c>
      <c r="M37" s="1"/>
      <c r="N37" s="1"/>
      <c r="O37" s="1"/>
    </row>
    <row r="38" spans="1:15" ht="23.25" thickBot="1">
      <c r="A38" s="970">
        <v>5</v>
      </c>
      <c r="B38" s="971" t="s">
        <v>60</v>
      </c>
      <c r="C38" s="112">
        <f>SUM(C33:C37,K33:K37)</f>
        <v>111</v>
      </c>
      <c r="D38" s="1505">
        <f>SUM(F33:F37,L33:L37)</f>
        <v>190</v>
      </c>
      <c r="E38" s="1506"/>
      <c r="F38" s="1507"/>
    </row>
    <row r="40" spans="1:15" ht="15.75">
      <c r="G40" s="948"/>
      <c r="H40" s="948"/>
      <c r="K40" s="914"/>
      <c r="L40" s="949"/>
      <c r="O40" s="149"/>
    </row>
    <row r="41" spans="1:15" ht="15.75">
      <c r="G41" s="149"/>
      <c r="H41" s="946"/>
      <c r="I41" s="946"/>
      <c r="J41" s="946"/>
      <c r="K41" s="149"/>
      <c r="L41" s="950"/>
    </row>
    <row r="42" spans="1:15" ht="15.75">
      <c r="G42" s="149"/>
      <c r="H42" s="946"/>
      <c r="I42" s="946"/>
      <c r="J42" s="946"/>
      <c r="K42" s="149"/>
      <c r="L42" s="950"/>
    </row>
    <row r="43" spans="1:15" ht="15.75">
      <c r="G43" s="149"/>
      <c r="H43" s="946"/>
      <c r="I43" s="946"/>
      <c r="J43" s="946"/>
      <c r="K43" s="116"/>
      <c r="L43" s="951"/>
    </row>
    <row r="44" spans="1:15" ht="15.75">
      <c r="G44" s="149"/>
      <c r="H44" s="946"/>
      <c r="I44" s="946"/>
      <c r="J44" s="946"/>
      <c r="K44" s="1"/>
      <c r="L44" s="952"/>
    </row>
    <row r="45" spans="1:15" ht="15.75">
      <c r="G45" s="945"/>
      <c r="H45" s="946"/>
      <c r="I45" s="946"/>
      <c r="J45" s="946"/>
      <c r="K45" s="945"/>
      <c r="L45" s="945"/>
    </row>
  </sheetData>
  <mergeCells count="21">
    <mergeCell ref="M33:M35"/>
    <mergeCell ref="H32:J32"/>
    <mergeCell ref="D33:E37"/>
    <mergeCell ref="A1:O1"/>
    <mergeCell ref="A2:O2"/>
    <mergeCell ref="A3:D3"/>
    <mergeCell ref="G3:H3"/>
    <mergeCell ref="I3:O4"/>
    <mergeCell ref="A4:B4"/>
    <mergeCell ref="C4:D4"/>
    <mergeCell ref="D5:E5"/>
    <mergeCell ref="F5:G5"/>
    <mergeCell ref="L5:M5"/>
    <mergeCell ref="N5:O5"/>
    <mergeCell ref="D32:F32"/>
    <mergeCell ref="D38:F38"/>
    <mergeCell ref="H33:J33"/>
    <mergeCell ref="H34:J34"/>
    <mergeCell ref="H36:J36"/>
    <mergeCell ref="H37:J37"/>
    <mergeCell ref="H35:J35"/>
  </mergeCells>
  <pageMargins left="0.15748031496062992" right="0.19685039370078741" top="0.94488188976377963" bottom="0.15748031496062992" header="0.31496062992125984" footer="7.874015748031496E-2"/>
  <pageSetup scale="80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38"/>
  <sheetViews>
    <sheetView workbookViewId="0">
      <selection sqref="A1:O38"/>
    </sheetView>
  </sheetViews>
  <sheetFormatPr defaultRowHeight="15"/>
  <cols>
    <col min="1" max="1" width="4.7109375" customWidth="1"/>
    <col min="2" max="2" width="27" customWidth="1"/>
    <col min="3" max="3" width="9.85546875" customWidth="1"/>
    <col min="8" max="8" width="10.28515625" customWidth="1"/>
    <col min="10" max="10" width="10.5703125" customWidth="1"/>
    <col min="12" max="12" width="12.42578125" customWidth="1"/>
    <col min="13" max="13" width="11.85546875" customWidth="1"/>
  </cols>
  <sheetData>
    <row r="1" spans="1:15" ht="20.25" thickBot="1">
      <c r="A1" s="1118" t="s">
        <v>0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2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152</v>
      </c>
      <c r="F3" s="2">
        <v>3715</v>
      </c>
      <c r="G3" s="1493" t="s">
        <v>143</v>
      </c>
      <c r="H3" s="1494"/>
      <c r="I3" s="1497" t="s">
        <v>142</v>
      </c>
      <c r="J3" s="1130"/>
      <c r="K3" s="1130"/>
      <c r="L3" s="1130"/>
      <c r="M3" s="1130"/>
      <c r="N3" s="1130"/>
      <c r="O3" s="1131"/>
    </row>
    <row r="4" spans="1:15" ht="21.75" thickTop="1" thickBot="1">
      <c r="A4" s="1487" t="s">
        <v>5</v>
      </c>
      <c r="B4" s="1488"/>
      <c r="C4" s="1503" t="s">
        <v>6</v>
      </c>
      <c r="D4" s="1504"/>
      <c r="E4" s="5">
        <v>0</v>
      </c>
      <c r="F4" s="938">
        <v>464.5</v>
      </c>
      <c r="G4" s="959" t="s">
        <v>113</v>
      </c>
      <c r="H4" s="960"/>
      <c r="I4" s="1470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8" t="s">
        <v>9</v>
      </c>
      <c r="C5" s="8" t="s">
        <v>10</v>
      </c>
      <c r="D5" s="1498" t="s">
        <v>11</v>
      </c>
      <c r="E5" s="1515"/>
      <c r="F5" s="1152" t="s">
        <v>12</v>
      </c>
      <c r="G5" s="1152"/>
      <c r="H5" s="797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8"/>
      <c r="N5" s="1480" t="s">
        <v>17</v>
      </c>
      <c r="O5" s="1452"/>
    </row>
    <row r="6" spans="1:15" ht="16.5" thickTop="1">
      <c r="A6" s="964" t="s">
        <v>18</v>
      </c>
      <c r="B6" s="8" t="s">
        <v>19</v>
      </c>
      <c r="C6" s="8" t="s">
        <v>20</v>
      </c>
      <c r="D6" s="790" t="s">
        <v>21</v>
      </c>
      <c r="E6" s="795" t="s">
        <v>14</v>
      </c>
      <c r="F6" s="796" t="s">
        <v>21</v>
      </c>
      <c r="G6" s="796" t="s">
        <v>14</v>
      </c>
      <c r="H6" s="341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798" t="s">
        <v>26</v>
      </c>
      <c r="N6" s="794" t="s">
        <v>25</v>
      </c>
      <c r="O6" s="939" t="s">
        <v>26</v>
      </c>
    </row>
    <row r="7" spans="1:15" ht="16.5" thickBot="1">
      <c r="A7" s="965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797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0" t="s">
        <v>30</v>
      </c>
      <c r="N7" s="800" t="s">
        <v>31</v>
      </c>
      <c r="O7" s="940" t="s">
        <v>31</v>
      </c>
    </row>
    <row r="8" spans="1:15" ht="15.75">
      <c r="A8" s="20">
        <v>1</v>
      </c>
      <c r="B8" s="933" t="s">
        <v>32</v>
      </c>
      <c r="C8" s="22">
        <v>29000</v>
      </c>
      <c r="D8" s="23"/>
      <c r="E8" s="22"/>
      <c r="F8" s="22">
        <v>5200</v>
      </c>
      <c r="G8" s="24">
        <v>105600</v>
      </c>
      <c r="H8" s="25">
        <f>F8/E3</f>
        <v>34.210526315789473</v>
      </c>
      <c r="I8" s="22">
        <f t="shared" ref="I8:I31" si="0">(C8-F8)+D8</f>
        <v>23800</v>
      </c>
      <c r="J8" s="26">
        <f>G8/F3</f>
        <v>28.425302826379543</v>
      </c>
      <c r="K8" s="24">
        <v>36000</v>
      </c>
      <c r="L8" s="27">
        <f t="shared" ref="L8:L31" si="1">(F8/1000)*K8</f>
        <v>187200</v>
      </c>
      <c r="M8" s="28">
        <f t="shared" ref="M8:M31" si="2">(G8/1000)*K8</f>
        <v>3801600</v>
      </c>
      <c r="N8" s="29">
        <f>L8/E3</f>
        <v>1231.578947368421</v>
      </c>
      <c r="O8" s="30">
        <f>M8/F3</f>
        <v>1023.3109017496636</v>
      </c>
    </row>
    <row r="9" spans="1:15" ht="15.75">
      <c r="A9" s="31">
        <v>2</v>
      </c>
      <c r="B9" s="817" t="s">
        <v>33</v>
      </c>
      <c r="C9" s="33">
        <v>3917</v>
      </c>
      <c r="D9" s="34"/>
      <c r="E9" s="33"/>
      <c r="F9" s="33">
        <v>199</v>
      </c>
      <c r="G9" s="35">
        <v>5282</v>
      </c>
      <c r="H9" s="36">
        <f>F9/E3</f>
        <v>1.3092105263157894</v>
      </c>
      <c r="I9" s="33">
        <f t="shared" si="0"/>
        <v>3718</v>
      </c>
      <c r="J9" s="37">
        <f>G9/F3</f>
        <v>1.4218034993270525</v>
      </c>
      <c r="K9" s="35">
        <v>33500</v>
      </c>
      <c r="L9" s="38">
        <f t="shared" si="1"/>
        <v>6666.5</v>
      </c>
      <c r="M9" s="38">
        <f t="shared" si="2"/>
        <v>176947</v>
      </c>
      <c r="N9" s="39">
        <f>L9/E3</f>
        <v>43.858552631578945</v>
      </c>
      <c r="O9" s="40">
        <f>M9/F3</f>
        <v>47.630417227456256</v>
      </c>
    </row>
    <row r="10" spans="1:15" ht="15.75">
      <c r="A10" s="31">
        <v>3</v>
      </c>
      <c r="B10" s="817" t="s">
        <v>34</v>
      </c>
      <c r="C10" s="33">
        <v>5350</v>
      </c>
      <c r="D10" s="34"/>
      <c r="E10" s="33"/>
      <c r="F10" s="33">
        <v>42</v>
      </c>
      <c r="G10" s="35">
        <v>1512</v>
      </c>
      <c r="H10" s="36">
        <f>F10/E3</f>
        <v>0.27631578947368424</v>
      </c>
      <c r="I10" s="33">
        <f t="shared" si="0"/>
        <v>5308</v>
      </c>
      <c r="J10" s="37">
        <f>G10/F3</f>
        <v>0.40699865410497982</v>
      </c>
      <c r="K10" s="35">
        <v>98000</v>
      </c>
      <c r="L10" s="38">
        <f t="shared" si="1"/>
        <v>4116</v>
      </c>
      <c r="M10" s="38">
        <f t="shared" si="2"/>
        <v>148176</v>
      </c>
      <c r="N10" s="39">
        <f>L10/E3</f>
        <v>27.078947368421051</v>
      </c>
      <c r="O10" s="40">
        <f>M10/F3</f>
        <v>39.885868102288022</v>
      </c>
    </row>
    <row r="11" spans="1:15" ht="15.75">
      <c r="A11" s="31">
        <v>4</v>
      </c>
      <c r="B11" s="817" t="s">
        <v>35</v>
      </c>
      <c r="C11" s="33">
        <v>19.820000000000007</v>
      </c>
      <c r="D11" s="34"/>
      <c r="E11" s="33"/>
      <c r="F11" s="33">
        <v>0.11</v>
      </c>
      <c r="G11" s="41">
        <v>1.77</v>
      </c>
      <c r="H11" s="42">
        <f>F11/E3</f>
        <v>7.2368421052631583E-4</v>
      </c>
      <c r="I11" s="33">
        <f t="shared" si="0"/>
        <v>19.710000000000008</v>
      </c>
      <c r="J11" s="43">
        <f>G11/F3</f>
        <v>4.7644683714670254E-4</v>
      </c>
      <c r="K11" s="35">
        <v>750000</v>
      </c>
      <c r="L11" s="38">
        <f t="shared" si="1"/>
        <v>82.5</v>
      </c>
      <c r="M11" s="38">
        <f t="shared" si="2"/>
        <v>1327.5</v>
      </c>
      <c r="N11" s="39">
        <f>L11/E3</f>
        <v>0.54276315789473684</v>
      </c>
      <c r="O11" s="40">
        <f>M11/F3</f>
        <v>0.35733512786002691</v>
      </c>
    </row>
    <row r="12" spans="1:15" ht="15.75">
      <c r="A12" s="31">
        <v>5</v>
      </c>
      <c r="B12" s="817" t="s">
        <v>36</v>
      </c>
      <c r="C12" s="33">
        <v>1014.1</v>
      </c>
      <c r="D12" s="34"/>
      <c r="E12" s="33">
        <v>1000</v>
      </c>
      <c r="F12" s="33">
        <v>22.1</v>
      </c>
      <c r="G12" s="63">
        <v>508.1</v>
      </c>
      <c r="H12" s="36">
        <f>F12/E3</f>
        <v>0.14539473684210527</v>
      </c>
      <c r="I12" s="33">
        <f t="shared" si="0"/>
        <v>992</v>
      </c>
      <c r="J12" s="37">
        <f>G12/F3</f>
        <v>0.13676985195154778</v>
      </c>
      <c r="K12" s="35">
        <v>350000</v>
      </c>
      <c r="L12" s="38">
        <f t="shared" si="1"/>
        <v>7735.0000000000009</v>
      </c>
      <c r="M12" s="38">
        <f t="shared" si="2"/>
        <v>177835</v>
      </c>
      <c r="N12" s="39">
        <f>L12/E3</f>
        <v>50.88815789473685</v>
      </c>
      <c r="O12" s="40">
        <f>M12/F3</f>
        <v>47.869448183041726</v>
      </c>
    </row>
    <row r="13" spans="1:15" ht="15.75">
      <c r="A13" s="31">
        <v>6</v>
      </c>
      <c r="B13" s="817" t="s">
        <v>37</v>
      </c>
      <c r="C13" s="33">
        <v>1281</v>
      </c>
      <c r="D13" s="34"/>
      <c r="E13" s="33"/>
      <c r="F13" s="33">
        <v>30</v>
      </c>
      <c r="G13" s="35">
        <v>1147</v>
      </c>
      <c r="H13" s="36">
        <f>F13/E3</f>
        <v>0.19736842105263158</v>
      </c>
      <c r="I13" s="33">
        <f t="shared" si="0"/>
        <v>1251</v>
      </c>
      <c r="J13" s="37">
        <f>G13/F3</f>
        <v>0.30874831763122479</v>
      </c>
      <c r="K13" s="35">
        <v>204500</v>
      </c>
      <c r="L13" s="38">
        <f t="shared" si="1"/>
        <v>6135</v>
      </c>
      <c r="M13" s="38">
        <f t="shared" si="2"/>
        <v>234561.5</v>
      </c>
      <c r="N13" s="39">
        <f>L13/E3</f>
        <v>40.361842105263158</v>
      </c>
      <c r="O13" s="40">
        <f>M13/F3</f>
        <v>63.139030955585461</v>
      </c>
    </row>
    <row r="14" spans="1:15" ht="15.75">
      <c r="A14" s="31">
        <v>7</v>
      </c>
      <c r="B14" s="817" t="s">
        <v>38</v>
      </c>
      <c r="C14" s="33">
        <v>3529</v>
      </c>
      <c r="D14" s="34"/>
      <c r="E14" s="33">
        <v>3000</v>
      </c>
      <c r="F14" s="33">
        <v>44</v>
      </c>
      <c r="G14" s="35">
        <v>1265</v>
      </c>
      <c r="H14" s="36">
        <f>F14/E3</f>
        <v>0.28947368421052633</v>
      </c>
      <c r="I14" s="33">
        <f t="shared" si="0"/>
        <v>3485</v>
      </c>
      <c r="J14" s="37">
        <f>G14/F3</f>
        <v>0.34051144010767159</v>
      </c>
      <c r="K14" s="35">
        <v>129500</v>
      </c>
      <c r="L14" s="38">
        <f t="shared" si="1"/>
        <v>5698</v>
      </c>
      <c r="M14" s="38">
        <f t="shared" si="2"/>
        <v>163817.5</v>
      </c>
      <c r="N14" s="39">
        <f>L14/E3</f>
        <v>37.486842105263158</v>
      </c>
      <c r="O14" s="40">
        <f>M14/F3</f>
        <v>44.096231493943471</v>
      </c>
    </row>
    <row r="15" spans="1:15" ht="15.75">
      <c r="A15" s="31">
        <v>8</v>
      </c>
      <c r="B15" s="817" t="s">
        <v>39</v>
      </c>
      <c r="C15" s="33">
        <v>1022</v>
      </c>
      <c r="D15" s="33"/>
      <c r="E15" s="33">
        <v>500</v>
      </c>
      <c r="F15" s="33">
        <v>18</v>
      </c>
      <c r="G15" s="35">
        <v>481</v>
      </c>
      <c r="H15" s="36">
        <f>F15/E3</f>
        <v>0.11842105263157894</v>
      </c>
      <c r="I15" s="33">
        <f t="shared" si="0"/>
        <v>1004</v>
      </c>
      <c r="J15" s="37">
        <f>G15/F3</f>
        <v>0.12947510094212653</v>
      </c>
      <c r="K15" s="35">
        <v>219500</v>
      </c>
      <c r="L15" s="38">
        <f t="shared" si="1"/>
        <v>3950.9999999999995</v>
      </c>
      <c r="M15" s="38">
        <f t="shared" si="2"/>
        <v>105579.5</v>
      </c>
      <c r="N15" s="39">
        <f>L15/E3</f>
        <v>25.993421052631575</v>
      </c>
      <c r="O15" s="40">
        <f>M15/F3</f>
        <v>28.419784656796772</v>
      </c>
    </row>
    <row r="16" spans="1:15" ht="15.75">
      <c r="A16" s="31">
        <v>9</v>
      </c>
      <c r="B16" s="817" t="s">
        <v>40</v>
      </c>
      <c r="C16" s="33">
        <v>19</v>
      </c>
      <c r="D16" s="34"/>
      <c r="E16" s="33"/>
      <c r="F16" s="33">
        <v>0</v>
      </c>
      <c r="G16" s="35">
        <v>1</v>
      </c>
      <c r="H16" s="36">
        <f>F16/E3</f>
        <v>0</v>
      </c>
      <c r="I16" s="33">
        <f t="shared" si="0"/>
        <v>19</v>
      </c>
      <c r="J16" s="37">
        <f>G16/F3</f>
        <v>2.6917900403768504E-4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9.372812920592194E-2</v>
      </c>
    </row>
    <row r="17" spans="1:15" ht="15.75">
      <c r="A17" s="45">
        <v>10</v>
      </c>
      <c r="B17" s="934" t="s">
        <v>41</v>
      </c>
      <c r="C17" s="928">
        <v>2500</v>
      </c>
      <c r="D17" s="928"/>
      <c r="E17" s="928"/>
      <c r="F17" s="928">
        <v>0</v>
      </c>
      <c r="G17" s="927">
        <f>'16-07-26'!G20+'17-07-26'!F17</f>
        <v>1450</v>
      </c>
      <c r="H17" s="930">
        <f>F17/E3</f>
        <v>0</v>
      </c>
      <c r="I17" s="928">
        <f t="shared" si="0"/>
        <v>2500</v>
      </c>
      <c r="J17" s="930">
        <f>G17/F3</f>
        <v>0.39030955585464333</v>
      </c>
      <c r="K17" s="927">
        <v>172000</v>
      </c>
      <c r="L17" s="931">
        <f t="shared" si="1"/>
        <v>0</v>
      </c>
      <c r="M17" s="931">
        <f t="shared" si="2"/>
        <v>249400</v>
      </c>
      <c r="N17" s="931">
        <f>L17/E3</f>
        <v>0</v>
      </c>
      <c r="O17" s="932">
        <f>M17/F3</f>
        <v>67.133243606998647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249.7</v>
      </c>
      <c r="D19" s="61"/>
      <c r="E19" s="61">
        <v>250</v>
      </c>
      <c r="F19" s="62">
        <v>7.6</v>
      </c>
      <c r="G19" s="925">
        <v>170.5</v>
      </c>
      <c r="H19" s="64">
        <f>F19/E3</f>
        <v>4.9999999999999996E-2</v>
      </c>
      <c r="I19" s="65">
        <f t="shared" si="0"/>
        <v>242.1</v>
      </c>
      <c r="J19" s="66">
        <f>G19/F3</f>
        <v>4.5895020188425305E-2</v>
      </c>
      <c r="K19" s="60">
        <v>377600</v>
      </c>
      <c r="L19" s="67">
        <f t="shared" si="1"/>
        <v>2869.76</v>
      </c>
      <c r="M19" s="67">
        <f t="shared" si="2"/>
        <v>64380.800000000003</v>
      </c>
      <c r="N19" s="67">
        <f>L19/E3</f>
        <v>18.880000000000003</v>
      </c>
      <c r="O19" s="68">
        <f>M19/F3</f>
        <v>17.329959623149396</v>
      </c>
    </row>
    <row r="20" spans="1:15" ht="15.75">
      <c r="A20" s="58">
        <v>13</v>
      </c>
      <c r="B20" s="843" t="s">
        <v>44</v>
      </c>
      <c r="C20" s="60">
        <v>239.89999999999998</v>
      </c>
      <c r="D20" s="61"/>
      <c r="E20" s="61">
        <v>200</v>
      </c>
      <c r="F20" s="62">
        <v>4.3</v>
      </c>
      <c r="G20" s="925">
        <v>98.9</v>
      </c>
      <c r="H20" s="66">
        <f>F20/E3</f>
        <v>2.8289473684210524E-2</v>
      </c>
      <c r="I20" s="60">
        <f t="shared" si="0"/>
        <v>235.59999999999997</v>
      </c>
      <c r="J20" s="66">
        <f>G20/F3</f>
        <v>2.6621803499327055E-2</v>
      </c>
      <c r="K20" s="60">
        <v>271400</v>
      </c>
      <c r="L20" s="67">
        <f t="shared" si="1"/>
        <v>1167.02</v>
      </c>
      <c r="M20" s="67">
        <f t="shared" si="2"/>
        <v>26841.46</v>
      </c>
      <c r="N20" s="67">
        <f>L20/E3</f>
        <v>7.677763157894737</v>
      </c>
      <c r="O20" s="68">
        <f>M20/F3</f>
        <v>7.2251574697173622</v>
      </c>
    </row>
    <row r="21" spans="1:15" ht="15.75">
      <c r="A21" s="58">
        <v>14</v>
      </c>
      <c r="B21" s="843" t="s">
        <v>45</v>
      </c>
      <c r="C21" s="60">
        <v>3084.4</v>
      </c>
      <c r="D21" s="61"/>
      <c r="E21" s="61">
        <v>2500</v>
      </c>
      <c r="F21" s="62">
        <v>59</v>
      </c>
      <c r="G21" s="925">
        <v>1413.8</v>
      </c>
      <c r="H21" s="66">
        <f>F21/E3</f>
        <v>0.38815789473684209</v>
      </c>
      <c r="I21" s="61">
        <f t="shared" si="0"/>
        <v>3025.4</v>
      </c>
      <c r="J21" s="66">
        <f>G21/F3</f>
        <v>0.38056527590847911</v>
      </c>
      <c r="K21" s="60">
        <v>271400</v>
      </c>
      <c r="L21" s="67">
        <f t="shared" si="1"/>
        <v>16012.599999999999</v>
      </c>
      <c r="M21" s="67">
        <f t="shared" si="2"/>
        <v>383705.32</v>
      </c>
      <c r="N21" s="67">
        <f>L21/E3</f>
        <v>105.34605263157894</v>
      </c>
      <c r="O21" s="68">
        <f>M21/F3</f>
        <v>103.28541588156124</v>
      </c>
    </row>
    <row r="22" spans="1:15" ht="15.75">
      <c r="A22" s="69">
        <v>15</v>
      </c>
      <c r="B22" s="853" t="s">
        <v>46</v>
      </c>
      <c r="C22" s="71">
        <v>68</v>
      </c>
      <c r="D22" s="72"/>
      <c r="E22" s="72"/>
      <c r="F22" s="34">
        <v>3</v>
      </c>
      <c r="G22" s="35">
        <v>35</v>
      </c>
      <c r="H22" s="73">
        <f>F22/E3</f>
        <v>1.9736842105263157E-2</v>
      </c>
      <c r="I22" s="34">
        <f t="shared" si="0"/>
        <v>65</v>
      </c>
      <c r="J22" s="73">
        <f>G22/F3</f>
        <v>9.4212651413189772E-3</v>
      </c>
      <c r="K22" s="34">
        <v>41000</v>
      </c>
      <c r="L22" s="44">
        <f t="shared" si="1"/>
        <v>123</v>
      </c>
      <c r="M22" s="44">
        <f t="shared" si="2"/>
        <v>1435.0000000000002</v>
      </c>
      <c r="N22" s="74">
        <f>L22/E3</f>
        <v>0.80921052631578949</v>
      </c>
      <c r="O22" s="75">
        <f>M22/F3</f>
        <v>0.3862718707940781</v>
      </c>
    </row>
    <row r="23" spans="1:15" ht="15.75">
      <c r="A23" s="69">
        <v>16</v>
      </c>
      <c r="B23" s="234" t="s">
        <v>47</v>
      </c>
      <c r="C23" s="71">
        <v>216.4</v>
      </c>
      <c r="D23" s="72"/>
      <c r="E23" s="72"/>
      <c r="F23" s="34">
        <v>14.4</v>
      </c>
      <c r="G23" s="63">
        <v>233.6</v>
      </c>
      <c r="H23" s="73">
        <f>F23/E3</f>
        <v>9.4736842105263161E-2</v>
      </c>
      <c r="I23" s="34">
        <f t="shared" si="0"/>
        <v>202</v>
      </c>
      <c r="J23" s="73">
        <f>G23/F3</f>
        <v>6.2880215343203233E-2</v>
      </c>
      <c r="K23" s="34">
        <v>24000</v>
      </c>
      <c r="L23" s="44">
        <f t="shared" si="1"/>
        <v>345.59999999999997</v>
      </c>
      <c r="M23" s="44">
        <f t="shared" si="2"/>
        <v>5606.4</v>
      </c>
      <c r="N23" s="74">
        <f>L23/E3</f>
        <v>2.2736842105263158</v>
      </c>
      <c r="O23" s="75">
        <f>M23/F3</f>
        <v>1.5091251682368774</v>
      </c>
    </row>
    <row r="24" spans="1:15" ht="15.75">
      <c r="A24" s="69">
        <v>17</v>
      </c>
      <c r="B24" s="853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85</v>
      </c>
      <c r="D25" s="72"/>
      <c r="E25" s="34"/>
      <c r="F25" s="34">
        <v>5</v>
      </c>
      <c r="G25" s="35">
        <v>170</v>
      </c>
      <c r="H25" s="73">
        <f>F25/E3</f>
        <v>3.2894736842105261E-2</v>
      </c>
      <c r="I25" s="34">
        <f t="shared" si="0"/>
        <v>80</v>
      </c>
      <c r="J25" s="73">
        <f>G25/F3</f>
        <v>4.5760430686406457E-2</v>
      </c>
      <c r="K25" s="34">
        <v>14400</v>
      </c>
      <c r="L25" s="44">
        <f t="shared" si="1"/>
        <v>72</v>
      </c>
      <c r="M25" s="44">
        <f t="shared" si="2"/>
        <v>2448</v>
      </c>
      <c r="N25" s="74">
        <f>L25/E3</f>
        <v>0.47368421052631576</v>
      </c>
      <c r="O25" s="75">
        <f>M25/F3</f>
        <v>0.65895020188425302</v>
      </c>
    </row>
    <row r="26" spans="1:15" ht="15.75">
      <c r="A26" s="69">
        <v>19</v>
      </c>
      <c r="B26" s="853" t="s">
        <v>50</v>
      </c>
      <c r="C26" s="71">
        <v>108.4</v>
      </c>
      <c r="D26" s="34"/>
      <c r="E26" s="72"/>
      <c r="F26" s="34">
        <v>3.5</v>
      </c>
      <c r="G26" s="35">
        <v>101.5</v>
      </c>
      <c r="H26" s="73">
        <f>F26/E3</f>
        <v>2.3026315789473683E-2</v>
      </c>
      <c r="I26" s="34">
        <f t="shared" si="0"/>
        <v>104.9</v>
      </c>
      <c r="J26" s="73">
        <f>G26/F3</f>
        <v>2.7321668909825035E-2</v>
      </c>
      <c r="K26" s="34">
        <v>102000</v>
      </c>
      <c r="L26" s="44">
        <f t="shared" si="1"/>
        <v>357</v>
      </c>
      <c r="M26" s="44">
        <f t="shared" si="2"/>
        <v>10353</v>
      </c>
      <c r="N26" s="74">
        <f>L26/E3</f>
        <v>2.3486842105263159</v>
      </c>
      <c r="O26" s="75">
        <f>M26/F3</f>
        <v>2.7868102288021532</v>
      </c>
    </row>
    <row r="27" spans="1:15" ht="15.75">
      <c r="A27" s="69">
        <v>20</v>
      </c>
      <c r="B27" s="853" t="s">
        <v>51</v>
      </c>
      <c r="C27" s="71">
        <v>55</v>
      </c>
      <c r="D27" s="72"/>
      <c r="E27" s="72"/>
      <c r="F27" s="34">
        <v>5</v>
      </c>
      <c r="G27" s="35">
        <v>130</v>
      </c>
      <c r="H27" s="73">
        <f>F27/E3</f>
        <v>3.2894736842105261E-2</v>
      </c>
      <c r="I27" s="34">
        <f t="shared" si="0"/>
        <v>50</v>
      </c>
      <c r="J27" s="73">
        <f>G27/F3</f>
        <v>3.4993270524899055E-2</v>
      </c>
      <c r="K27" s="34">
        <v>107000</v>
      </c>
      <c r="L27" s="44">
        <f t="shared" si="1"/>
        <v>535</v>
      </c>
      <c r="M27" s="44">
        <f t="shared" si="2"/>
        <v>13910</v>
      </c>
      <c r="N27" s="74">
        <f>L27/E3</f>
        <v>3.5197368421052633</v>
      </c>
      <c r="O27" s="75">
        <f>M27/F3</f>
        <v>3.7442799461641991</v>
      </c>
    </row>
    <row r="28" spans="1:15" ht="15.75">
      <c r="A28" s="69">
        <v>21</v>
      </c>
      <c r="B28" s="234" t="s">
        <v>52</v>
      </c>
      <c r="C28" s="71">
        <v>94</v>
      </c>
      <c r="D28" s="72"/>
      <c r="E28" s="72"/>
      <c r="F28" s="34">
        <v>3</v>
      </c>
      <c r="G28" s="35">
        <v>78</v>
      </c>
      <c r="H28" s="73">
        <f>F28/E3</f>
        <v>1.9736842105263157E-2</v>
      </c>
      <c r="I28" s="34">
        <f t="shared" si="0"/>
        <v>91</v>
      </c>
      <c r="J28" s="73">
        <f>G28/F3</f>
        <v>2.0995962314939436E-2</v>
      </c>
      <c r="K28" s="34">
        <v>100000</v>
      </c>
      <c r="L28" s="44">
        <f t="shared" si="1"/>
        <v>300</v>
      </c>
      <c r="M28" s="44">
        <f t="shared" si="2"/>
        <v>7800</v>
      </c>
      <c r="N28" s="74">
        <f>L28/E3</f>
        <v>1.9736842105263157</v>
      </c>
      <c r="O28" s="75">
        <f>M28/F3</f>
        <v>2.0995962314939436</v>
      </c>
    </row>
    <row r="29" spans="1:15" ht="15.75">
      <c r="A29" s="69">
        <v>22</v>
      </c>
      <c r="B29" s="853" t="s">
        <v>53</v>
      </c>
      <c r="C29" s="71">
        <v>39</v>
      </c>
      <c r="D29" s="72"/>
      <c r="E29" s="72"/>
      <c r="F29" s="34">
        <v>1</v>
      </c>
      <c r="G29" s="35">
        <v>26</v>
      </c>
      <c r="H29" s="73">
        <f>F29/E3</f>
        <v>6.5789473684210523E-3</v>
      </c>
      <c r="I29" s="34">
        <f t="shared" si="0"/>
        <v>38</v>
      </c>
      <c r="J29" s="73">
        <f>G29/F3</f>
        <v>6.9986541049798113E-3</v>
      </c>
      <c r="K29" s="34">
        <v>255000</v>
      </c>
      <c r="L29" s="44">
        <f t="shared" si="1"/>
        <v>255</v>
      </c>
      <c r="M29" s="44">
        <f t="shared" si="2"/>
        <v>6630</v>
      </c>
      <c r="N29" s="74">
        <f>L29/E3</f>
        <v>1.6776315789473684</v>
      </c>
      <c r="O29" s="76">
        <f>M29/F3</f>
        <v>1.7846567967698519</v>
      </c>
    </row>
    <row r="30" spans="1:15" ht="15.75">
      <c r="A30" s="69">
        <v>23</v>
      </c>
      <c r="B30" s="853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4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145">
        <f t="shared" si="1"/>
        <v>0</v>
      </c>
      <c r="M31" s="86">
        <f t="shared" si="2"/>
        <v>0</v>
      </c>
      <c r="N31" s="982">
        <f>L31/F3</f>
        <v>0</v>
      </c>
      <c r="O31" s="983">
        <f>M31/F3</f>
        <v>0</v>
      </c>
    </row>
    <row r="32" spans="1:15" ht="16.5" thickBot="1">
      <c r="A32" s="936" t="s">
        <v>56</v>
      </c>
      <c r="B32" s="972" t="s">
        <v>57</v>
      </c>
      <c r="C32" s="254" t="s">
        <v>58</v>
      </c>
      <c r="D32" s="1457" t="s">
        <v>59</v>
      </c>
      <c r="E32" s="1457"/>
      <c r="F32" s="1458"/>
      <c r="G32" s="936" t="s">
        <v>56</v>
      </c>
      <c r="H32" s="1511" t="s">
        <v>57</v>
      </c>
      <c r="I32" s="1512"/>
      <c r="J32" s="1513"/>
      <c r="K32" s="254" t="s">
        <v>58</v>
      </c>
      <c r="L32" s="973" t="s">
        <v>133</v>
      </c>
      <c r="M32" s="92" t="s">
        <v>60</v>
      </c>
      <c r="N32" s="984">
        <f>SUM(N8,N9,N10,N11,N12,N13,N14,N15,N16,N17,N18,N19,N20,N21,N22,N23,N24,N25,N26,N27,N28,N29,N30,N31)</f>
        <v>1602.7696052631579</v>
      </c>
      <c r="O32" s="985">
        <f>SUM(O8,O9,O10,O11,O12,O13,O14,O15,O16,O17,O18,O19,O20,O21,O22,O23,O24,O25,O26,O27,O28,O29,O30,O31,)</f>
        <v>1502.7462126514126</v>
      </c>
    </row>
    <row r="33" spans="1:15" ht="16.5" thickBot="1">
      <c r="A33" s="33">
        <v>1</v>
      </c>
      <c r="B33" s="953" t="s">
        <v>125</v>
      </c>
      <c r="C33" s="966">
        <v>15</v>
      </c>
      <c r="D33" s="1447"/>
      <c r="E33" s="1447"/>
      <c r="F33" s="955">
        <v>26</v>
      </c>
      <c r="G33" s="33"/>
      <c r="H33" s="1101"/>
      <c r="I33" s="1101"/>
      <c r="J33" s="1101"/>
      <c r="K33" s="33"/>
      <c r="L33" s="955"/>
      <c r="M33" s="1098"/>
      <c r="N33" s="974" t="s">
        <v>17</v>
      </c>
      <c r="O33" s="977" t="s">
        <v>17</v>
      </c>
    </row>
    <row r="34" spans="1:15" ht="15.75">
      <c r="A34" s="33">
        <v>2</v>
      </c>
      <c r="B34" s="33" t="s">
        <v>144</v>
      </c>
      <c r="C34" s="966">
        <v>24</v>
      </c>
      <c r="D34" s="1096"/>
      <c r="E34" s="1096"/>
      <c r="F34" s="955">
        <v>41</v>
      </c>
      <c r="G34" s="33"/>
      <c r="H34" s="1101"/>
      <c r="I34" s="1101"/>
      <c r="J34" s="1101"/>
      <c r="K34" s="33"/>
      <c r="L34" s="955"/>
      <c r="M34" s="1099"/>
      <c r="N34" s="975" t="s">
        <v>25</v>
      </c>
      <c r="O34" s="978" t="s">
        <v>26</v>
      </c>
    </row>
    <row r="35" spans="1:15" ht="16.5" thickBot="1">
      <c r="A35" s="33">
        <v>3</v>
      </c>
      <c r="B35" s="33" t="s">
        <v>145</v>
      </c>
      <c r="C35" s="967">
        <v>49</v>
      </c>
      <c r="D35" s="1096"/>
      <c r="E35" s="1096"/>
      <c r="F35" s="956">
        <v>85</v>
      </c>
      <c r="G35" s="33"/>
      <c r="H35" s="1101"/>
      <c r="I35" s="1101"/>
      <c r="J35" s="1101"/>
      <c r="K35" s="34"/>
      <c r="L35" s="956"/>
      <c r="M35" s="1100"/>
      <c r="N35" s="976" t="s">
        <v>118</v>
      </c>
      <c r="O35" s="979" t="s">
        <v>118</v>
      </c>
    </row>
    <row r="36" spans="1:15" ht="20.25" thickBot="1">
      <c r="A36" s="33"/>
      <c r="B36" s="33"/>
      <c r="C36" s="968"/>
      <c r="D36" s="1096"/>
      <c r="E36" s="1096"/>
      <c r="F36" s="955"/>
      <c r="G36" s="33"/>
      <c r="H36" s="1101"/>
      <c r="I36" s="1101"/>
      <c r="J36" s="1101"/>
      <c r="K36" s="34"/>
      <c r="L36" s="955"/>
      <c r="M36" s="107" t="s">
        <v>60</v>
      </c>
      <c r="N36" s="986">
        <f>N32/1000</f>
        <v>1.6027696052631579</v>
      </c>
      <c r="O36" s="980">
        <f>O32/1000</f>
        <v>1.5027462126514126</v>
      </c>
    </row>
    <row r="37" spans="1:15" ht="21" thickTop="1" thickBot="1">
      <c r="A37" s="33"/>
      <c r="B37" s="33"/>
      <c r="C37" s="969"/>
      <c r="D37" s="1514"/>
      <c r="E37" s="1514"/>
      <c r="F37" s="957"/>
      <c r="G37" s="954"/>
      <c r="H37" s="1101"/>
      <c r="I37" s="1101"/>
      <c r="J37" s="1101"/>
      <c r="K37" s="954"/>
      <c r="L37" s="958"/>
      <c r="M37" s="1"/>
      <c r="N37" s="1"/>
      <c r="O37" s="1"/>
    </row>
    <row r="38" spans="1:15" ht="23.25" thickBot="1">
      <c r="A38" s="970">
        <v>4</v>
      </c>
      <c r="B38" s="971" t="s">
        <v>60</v>
      </c>
      <c r="C38" s="112">
        <f>SUM(C33:C37,K33:K37)</f>
        <v>88</v>
      </c>
      <c r="D38" s="1505">
        <f>SUM(F33:F37,L33:L37)</f>
        <v>152</v>
      </c>
      <c r="E38" s="1506"/>
      <c r="F38" s="1507"/>
    </row>
  </sheetData>
  <mergeCells count="21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</mergeCells>
  <pageMargins left="0.12" right="0.17" top="0.74803149606299213" bottom="0.17" header="0.31496062992125984" footer="0.08"/>
  <pageSetup scale="85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8"/>
  <sheetViews>
    <sheetView topLeftCell="A15" workbookViewId="0">
      <selection activeCell="G13" sqref="G13"/>
    </sheetView>
  </sheetViews>
  <sheetFormatPr defaultRowHeight="15"/>
  <cols>
    <col min="1" max="1" width="4.28515625" customWidth="1"/>
    <col min="2" max="2" width="27.5703125" customWidth="1"/>
    <col min="3" max="3" width="9.7109375" customWidth="1"/>
    <col min="8" max="8" width="10.7109375" customWidth="1"/>
    <col min="10" max="10" width="10.85546875" customWidth="1"/>
    <col min="12" max="12" width="10.5703125" customWidth="1"/>
    <col min="13" max="13" width="12" customWidth="1"/>
  </cols>
  <sheetData>
    <row r="1" spans="1:15" ht="20.25" thickBot="1">
      <c r="A1" s="1118" t="s">
        <v>0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2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179</v>
      </c>
      <c r="F3" s="2">
        <v>3894</v>
      </c>
      <c r="G3" s="1493" t="s">
        <v>148</v>
      </c>
      <c r="H3" s="1494"/>
      <c r="I3" s="1497" t="s">
        <v>146</v>
      </c>
      <c r="J3" s="1130"/>
      <c r="K3" s="1130"/>
      <c r="L3" s="1130"/>
      <c r="M3" s="1130"/>
      <c r="N3" s="1130"/>
      <c r="O3" s="1131"/>
    </row>
    <row r="4" spans="1:15" ht="21.75" thickTop="1" thickBot="1">
      <c r="A4" s="1487" t="s">
        <v>5</v>
      </c>
      <c r="B4" s="1488"/>
      <c r="C4" s="1503" t="s">
        <v>6</v>
      </c>
      <c r="D4" s="1504"/>
      <c r="E4" s="5">
        <v>0</v>
      </c>
      <c r="F4" s="938">
        <v>464.5</v>
      </c>
      <c r="G4" s="1495" t="s">
        <v>113</v>
      </c>
      <c r="H4" s="1496"/>
      <c r="I4" s="1470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8" t="s">
        <v>9</v>
      </c>
      <c r="C5" s="8" t="s">
        <v>10</v>
      </c>
      <c r="D5" s="1498" t="s">
        <v>11</v>
      </c>
      <c r="E5" s="1515"/>
      <c r="F5" s="1152" t="s">
        <v>12</v>
      </c>
      <c r="G5" s="1152"/>
      <c r="H5" s="797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8"/>
      <c r="N5" s="1480" t="s">
        <v>17</v>
      </c>
      <c r="O5" s="1452"/>
    </row>
    <row r="6" spans="1:15" ht="16.5" thickTop="1">
      <c r="A6" s="964" t="s">
        <v>18</v>
      </c>
      <c r="B6" s="8" t="s">
        <v>19</v>
      </c>
      <c r="C6" s="8" t="s">
        <v>20</v>
      </c>
      <c r="D6" s="790" t="s">
        <v>21</v>
      </c>
      <c r="E6" s="795" t="s">
        <v>14</v>
      </c>
      <c r="F6" s="796" t="s">
        <v>21</v>
      </c>
      <c r="G6" s="796" t="s">
        <v>14</v>
      </c>
      <c r="H6" s="341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798" t="s">
        <v>26</v>
      </c>
      <c r="N6" s="794" t="s">
        <v>25</v>
      </c>
      <c r="O6" s="939" t="s">
        <v>26</v>
      </c>
    </row>
    <row r="7" spans="1:15" ht="16.5" thickBot="1">
      <c r="A7" s="965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797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0" t="s">
        <v>30</v>
      </c>
      <c r="N7" s="800" t="s">
        <v>31</v>
      </c>
      <c r="O7" s="940" t="s">
        <v>31</v>
      </c>
    </row>
    <row r="8" spans="1:15" ht="15.75">
      <c r="A8" s="20">
        <v>1</v>
      </c>
      <c r="B8" s="933" t="s">
        <v>32</v>
      </c>
      <c r="C8" s="22">
        <v>23800</v>
      </c>
      <c r="D8" s="23"/>
      <c r="E8" s="22"/>
      <c r="F8" s="22">
        <v>4250</v>
      </c>
      <c r="G8" s="24">
        <v>109850</v>
      </c>
      <c r="H8" s="25">
        <f>F8/E3</f>
        <v>23.743016759776538</v>
      </c>
      <c r="I8" s="22">
        <f t="shared" ref="I8:I31" si="0">(C8-F8)+D8</f>
        <v>19550</v>
      </c>
      <c r="J8" s="26">
        <f>G8/F3</f>
        <v>28.210066769388803</v>
      </c>
      <c r="K8" s="24">
        <v>36000</v>
      </c>
      <c r="L8" s="27">
        <f t="shared" ref="L8:L31" si="1">(F8/1000)*K8</f>
        <v>153000</v>
      </c>
      <c r="M8" s="28">
        <f t="shared" ref="M8:M31" si="2">(G8/1000)*K8</f>
        <v>3954600</v>
      </c>
      <c r="N8" s="29">
        <f>L8/E3</f>
        <v>854.74860335195535</v>
      </c>
      <c r="O8" s="30">
        <f>M8/F3</f>
        <v>1015.562403697997</v>
      </c>
    </row>
    <row r="9" spans="1:15" ht="15.75">
      <c r="A9" s="31">
        <v>2</v>
      </c>
      <c r="B9" s="817" t="s">
        <v>33</v>
      </c>
      <c r="C9" s="33">
        <v>3718</v>
      </c>
      <c r="D9" s="34"/>
      <c r="E9" s="33"/>
      <c r="F9" s="33">
        <v>244</v>
      </c>
      <c r="G9" s="35">
        <v>5526</v>
      </c>
      <c r="H9" s="36">
        <f>F9/E3</f>
        <v>1.3631284916201116</v>
      </c>
      <c r="I9" s="33">
        <f t="shared" si="0"/>
        <v>3474</v>
      </c>
      <c r="J9" s="37">
        <f>G9/F3</f>
        <v>1.4191063174114023</v>
      </c>
      <c r="K9" s="35">
        <v>33500</v>
      </c>
      <c r="L9" s="38">
        <f t="shared" si="1"/>
        <v>8174</v>
      </c>
      <c r="M9" s="38">
        <f t="shared" si="2"/>
        <v>185121</v>
      </c>
      <c r="N9" s="39">
        <f>L9/E3</f>
        <v>45.66480446927374</v>
      </c>
      <c r="O9" s="40">
        <f>M9/F3</f>
        <v>47.540061633281972</v>
      </c>
    </row>
    <row r="10" spans="1:15" ht="15.75">
      <c r="A10" s="31">
        <v>3</v>
      </c>
      <c r="B10" s="817" t="s">
        <v>34</v>
      </c>
      <c r="C10" s="33">
        <v>5308</v>
      </c>
      <c r="D10" s="34"/>
      <c r="E10" s="33"/>
      <c r="F10" s="33">
        <v>53</v>
      </c>
      <c r="G10" s="35">
        <v>1565</v>
      </c>
      <c r="H10" s="36">
        <f>F10/E3</f>
        <v>0.29608938547486036</v>
      </c>
      <c r="I10" s="33">
        <f t="shared" si="0"/>
        <v>5255</v>
      </c>
      <c r="J10" s="37">
        <f>G10/F3</f>
        <v>0.40190035952747816</v>
      </c>
      <c r="K10" s="35">
        <v>98000</v>
      </c>
      <c r="L10" s="38">
        <f t="shared" si="1"/>
        <v>5194</v>
      </c>
      <c r="M10" s="38">
        <f t="shared" si="2"/>
        <v>153370</v>
      </c>
      <c r="N10" s="39">
        <f>L10/E3</f>
        <v>29.016759776536311</v>
      </c>
      <c r="O10" s="40">
        <f>M10/F3</f>
        <v>39.386235233692858</v>
      </c>
    </row>
    <row r="11" spans="1:15" ht="15.75">
      <c r="A11" s="31">
        <v>4</v>
      </c>
      <c r="B11" s="817" t="s">
        <v>35</v>
      </c>
      <c r="C11" s="33">
        <v>19.710000000000008</v>
      </c>
      <c r="D11" s="34"/>
      <c r="E11" s="33"/>
      <c r="F11" s="33">
        <v>0.08</v>
      </c>
      <c r="G11" s="41">
        <v>1.85</v>
      </c>
      <c r="H11" s="42">
        <f>F11/E3</f>
        <v>4.4692737430167598E-4</v>
      </c>
      <c r="I11" s="33">
        <f t="shared" si="0"/>
        <v>19.63000000000001</v>
      </c>
      <c r="J11" s="43">
        <f>G11/F3</f>
        <v>4.7508988186954293E-4</v>
      </c>
      <c r="K11" s="35">
        <v>750000</v>
      </c>
      <c r="L11" s="38">
        <f t="shared" si="1"/>
        <v>60.000000000000007</v>
      </c>
      <c r="M11" s="38">
        <f t="shared" si="2"/>
        <v>1387.5</v>
      </c>
      <c r="N11" s="39">
        <f>L11/E3</f>
        <v>0.33519553072625702</v>
      </c>
      <c r="O11" s="40">
        <f>M11/F3</f>
        <v>0.35631741140215717</v>
      </c>
    </row>
    <row r="12" spans="1:15" ht="15.75">
      <c r="A12" s="31">
        <v>5</v>
      </c>
      <c r="B12" s="817" t="s">
        <v>36</v>
      </c>
      <c r="C12" s="33">
        <v>992</v>
      </c>
      <c r="D12" s="34"/>
      <c r="E12" s="33">
        <v>1000</v>
      </c>
      <c r="F12" s="33">
        <v>27.3</v>
      </c>
      <c r="G12" s="63">
        <v>535.29999999999995</v>
      </c>
      <c r="H12" s="36">
        <f>F12/E3</f>
        <v>0.15251396648044693</v>
      </c>
      <c r="I12" s="33">
        <f t="shared" si="0"/>
        <v>964.7</v>
      </c>
      <c r="J12" s="37">
        <f>G12/F3</f>
        <v>0.1374678993323061</v>
      </c>
      <c r="K12" s="35">
        <v>350000</v>
      </c>
      <c r="L12" s="38">
        <f t="shared" si="1"/>
        <v>9555</v>
      </c>
      <c r="M12" s="38">
        <f t="shared" si="2"/>
        <v>187355</v>
      </c>
      <c r="N12" s="39">
        <f>L12/E3</f>
        <v>53.379888268156428</v>
      </c>
      <c r="O12" s="40">
        <f>M12/F3</f>
        <v>48.113764766307142</v>
      </c>
    </row>
    <row r="13" spans="1:15" ht="15.75">
      <c r="A13" s="31">
        <v>6</v>
      </c>
      <c r="B13" s="817" t="s">
        <v>37</v>
      </c>
      <c r="C13" s="33">
        <v>1251</v>
      </c>
      <c r="D13" s="34"/>
      <c r="E13" s="33"/>
      <c r="F13" s="33">
        <v>60</v>
      </c>
      <c r="G13" s="35">
        <v>1207</v>
      </c>
      <c r="H13" s="36">
        <f>F13/E3</f>
        <v>0.33519553072625696</v>
      </c>
      <c r="I13" s="33">
        <f t="shared" si="0"/>
        <v>1191</v>
      </c>
      <c r="J13" s="37">
        <f>G13/F3</f>
        <v>0.30996404725218285</v>
      </c>
      <c r="K13" s="35">
        <v>204500</v>
      </c>
      <c r="L13" s="38">
        <f t="shared" si="1"/>
        <v>12270</v>
      </c>
      <c r="M13" s="38">
        <f t="shared" si="2"/>
        <v>246831.50000000003</v>
      </c>
      <c r="N13" s="39">
        <f>L13/E3</f>
        <v>68.547486033519547</v>
      </c>
      <c r="O13" s="40">
        <f>M13/F3</f>
        <v>63.387647663071398</v>
      </c>
    </row>
    <row r="14" spans="1:15" ht="15.75">
      <c r="A14" s="31">
        <v>7</v>
      </c>
      <c r="B14" s="817" t="s">
        <v>38</v>
      </c>
      <c r="C14" s="33">
        <v>3485</v>
      </c>
      <c r="D14" s="34"/>
      <c r="E14" s="33">
        <v>3000</v>
      </c>
      <c r="F14" s="33">
        <v>54</v>
      </c>
      <c r="G14" s="35">
        <v>1319</v>
      </c>
      <c r="H14" s="36">
        <f>F14/E3</f>
        <v>0.3016759776536313</v>
      </c>
      <c r="I14" s="33">
        <f t="shared" si="0"/>
        <v>3431</v>
      </c>
      <c r="J14" s="37">
        <f>G14/F3</f>
        <v>0.33872624550590652</v>
      </c>
      <c r="K14" s="35">
        <v>129500</v>
      </c>
      <c r="L14" s="38">
        <f t="shared" si="1"/>
        <v>6993</v>
      </c>
      <c r="M14" s="38">
        <f t="shared" si="2"/>
        <v>170810.5</v>
      </c>
      <c r="N14" s="39">
        <f>L14/E3</f>
        <v>39.067039106145252</v>
      </c>
      <c r="O14" s="40">
        <f>M14/F3</f>
        <v>43.865048793014893</v>
      </c>
    </row>
    <row r="15" spans="1:15" ht="15.75">
      <c r="A15" s="31">
        <v>8</v>
      </c>
      <c r="B15" s="817" t="s">
        <v>39</v>
      </c>
      <c r="C15" s="33">
        <v>1004</v>
      </c>
      <c r="D15" s="33"/>
      <c r="E15" s="33">
        <v>500</v>
      </c>
      <c r="F15" s="33">
        <v>17</v>
      </c>
      <c r="G15" s="35">
        <v>498</v>
      </c>
      <c r="H15" s="36">
        <f>F15/E3</f>
        <v>9.4972067039106142E-2</v>
      </c>
      <c r="I15" s="33">
        <f t="shared" si="0"/>
        <v>987</v>
      </c>
      <c r="J15" s="37">
        <f>G15/F3</f>
        <v>0.12788906009244994</v>
      </c>
      <c r="K15" s="35">
        <v>219500</v>
      </c>
      <c r="L15" s="38">
        <f t="shared" si="1"/>
        <v>3731.5000000000005</v>
      </c>
      <c r="M15" s="38">
        <f t="shared" si="2"/>
        <v>109311</v>
      </c>
      <c r="N15" s="39">
        <f>L15/E3</f>
        <v>20.846368715083802</v>
      </c>
      <c r="O15" s="40">
        <f>M15/F3</f>
        <v>28.071648690292758</v>
      </c>
    </row>
    <row r="16" spans="1:15" ht="15.75">
      <c r="A16" s="31">
        <v>9</v>
      </c>
      <c r="B16" s="817" t="s">
        <v>40</v>
      </c>
      <c r="C16" s="33">
        <v>19</v>
      </c>
      <c r="D16" s="34"/>
      <c r="E16" s="33"/>
      <c r="F16" s="33">
        <v>0</v>
      </c>
      <c r="G16" s="35">
        <v>1</v>
      </c>
      <c r="H16" s="36">
        <f>F16/E3</f>
        <v>0</v>
      </c>
      <c r="I16" s="33">
        <f t="shared" si="0"/>
        <v>19</v>
      </c>
      <c r="J16" s="37">
        <f>G16/F3</f>
        <v>2.5680534155110427E-4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8.9419619928094496E-2</v>
      </c>
    </row>
    <row r="17" spans="1:15" ht="15.75">
      <c r="A17" s="45">
        <v>10</v>
      </c>
      <c r="B17" s="934" t="s">
        <v>41</v>
      </c>
      <c r="C17" s="928">
        <v>2500</v>
      </c>
      <c r="D17" s="928"/>
      <c r="E17" s="928"/>
      <c r="F17" s="928">
        <v>0</v>
      </c>
      <c r="G17" s="927">
        <f>'16-07-26'!G20+'17-07-26'!F17</f>
        <v>1450</v>
      </c>
      <c r="H17" s="930">
        <f>F17/E3</f>
        <v>0</v>
      </c>
      <c r="I17" s="928">
        <f t="shared" si="0"/>
        <v>2500</v>
      </c>
      <c r="J17" s="930">
        <f>G17/F3</f>
        <v>0.37236774524910116</v>
      </c>
      <c r="K17" s="927">
        <v>172000</v>
      </c>
      <c r="L17" s="931">
        <f t="shared" si="1"/>
        <v>0</v>
      </c>
      <c r="M17" s="931">
        <f t="shared" si="2"/>
        <v>249400</v>
      </c>
      <c r="N17" s="931">
        <f>L17/E3</f>
        <v>0</v>
      </c>
      <c r="O17" s="932">
        <f>M17/F3</f>
        <v>64.047252182845398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242.1</v>
      </c>
      <c r="D19" s="61"/>
      <c r="E19" s="61">
        <v>250</v>
      </c>
      <c r="F19" s="62">
        <v>9</v>
      </c>
      <c r="G19" s="925">
        <v>179.5</v>
      </c>
      <c r="H19" s="64">
        <f>F19/E3</f>
        <v>5.027932960893855E-2</v>
      </c>
      <c r="I19" s="65">
        <f t="shared" si="0"/>
        <v>233.1</v>
      </c>
      <c r="J19" s="66">
        <f>G19/F3</f>
        <v>4.6096558808423213E-2</v>
      </c>
      <c r="K19" s="60">
        <v>377600</v>
      </c>
      <c r="L19" s="67">
        <f t="shared" si="1"/>
        <v>3398.3999999999996</v>
      </c>
      <c r="M19" s="67">
        <f t="shared" si="2"/>
        <v>67779.199999999997</v>
      </c>
      <c r="N19" s="67">
        <f>L19/E3</f>
        <v>18.985474860335195</v>
      </c>
      <c r="O19" s="68">
        <f>M19/F3</f>
        <v>17.406060606060606</v>
      </c>
    </row>
    <row r="20" spans="1:15" ht="15.75">
      <c r="A20" s="58">
        <v>13</v>
      </c>
      <c r="B20" s="843" t="s">
        <v>44</v>
      </c>
      <c r="C20" s="60">
        <v>235.59999999999997</v>
      </c>
      <c r="D20" s="61"/>
      <c r="E20" s="61">
        <v>200</v>
      </c>
      <c r="F20" s="62">
        <v>5</v>
      </c>
      <c r="G20" s="925">
        <v>103.5</v>
      </c>
      <c r="H20" s="66">
        <f>F20/E3</f>
        <v>2.7932960893854747E-2</v>
      </c>
      <c r="I20" s="60">
        <f t="shared" si="0"/>
        <v>230.59999999999997</v>
      </c>
      <c r="J20" s="66">
        <f>G20/F3</f>
        <v>2.6579352850539292E-2</v>
      </c>
      <c r="K20" s="60">
        <v>271400</v>
      </c>
      <c r="L20" s="67">
        <f t="shared" si="1"/>
        <v>1357</v>
      </c>
      <c r="M20" s="67">
        <f t="shared" si="2"/>
        <v>28089.899999999998</v>
      </c>
      <c r="N20" s="67">
        <f>L20/E3</f>
        <v>7.5810055865921786</v>
      </c>
      <c r="O20" s="68">
        <f>M20/F3</f>
        <v>7.213636363636363</v>
      </c>
    </row>
    <row r="21" spans="1:15" ht="15.75">
      <c r="A21" s="58">
        <v>14</v>
      </c>
      <c r="B21" s="843" t="s">
        <v>45</v>
      </c>
      <c r="C21" s="60">
        <v>3025.4</v>
      </c>
      <c r="D21" s="61"/>
      <c r="E21" s="61">
        <v>2500</v>
      </c>
      <c r="F21" s="62">
        <v>69.099999999999994</v>
      </c>
      <c r="G21" s="925">
        <v>1482.9</v>
      </c>
      <c r="H21" s="66">
        <f>F21/E3</f>
        <v>0.38603351955307258</v>
      </c>
      <c r="I21" s="61">
        <f t="shared" si="0"/>
        <v>2956.3</v>
      </c>
      <c r="J21" s="66">
        <f>G21/F3</f>
        <v>0.38081664098613255</v>
      </c>
      <c r="K21" s="60">
        <v>271400</v>
      </c>
      <c r="L21" s="67">
        <f t="shared" si="1"/>
        <v>18753.739999999998</v>
      </c>
      <c r="M21" s="67">
        <f t="shared" si="2"/>
        <v>402459.06000000006</v>
      </c>
      <c r="N21" s="67">
        <f>L21/E3</f>
        <v>104.7694972067039</v>
      </c>
      <c r="O21" s="68">
        <f>M21/F3</f>
        <v>103.35363636363638</v>
      </c>
    </row>
    <row r="22" spans="1:15" ht="15.75">
      <c r="A22" s="69">
        <v>15</v>
      </c>
      <c r="B22" s="853" t="s">
        <v>46</v>
      </c>
      <c r="C22" s="71">
        <v>65</v>
      </c>
      <c r="D22" s="72"/>
      <c r="E22" s="72"/>
      <c r="F22" s="34">
        <v>0</v>
      </c>
      <c r="G22" s="35">
        <v>35</v>
      </c>
      <c r="H22" s="73">
        <f>F22/E3</f>
        <v>0</v>
      </c>
      <c r="I22" s="34">
        <f t="shared" si="0"/>
        <v>65</v>
      </c>
      <c r="J22" s="73">
        <f>G22/F3</f>
        <v>8.9881869542886485E-3</v>
      </c>
      <c r="K22" s="34">
        <v>41000</v>
      </c>
      <c r="L22" s="44">
        <f t="shared" si="1"/>
        <v>0</v>
      </c>
      <c r="M22" s="44">
        <f t="shared" si="2"/>
        <v>1435.0000000000002</v>
      </c>
      <c r="N22" s="74">
        <f>L22/E3</f>
        <v>0</v>
      </c>
      <c r="O22" s="75">
        <f>M22/F3</f>
        <v>0.36851566512583467</v>
      </c>
    </row>
    <row r="23" spans="1:15" ht="15.75">
      <c r="A23" s="69">
        <v>16</v>
      </c>
      <c r="B23" s="234" t="s">
        <v>47</v>
      </c>
      <c r="C23" s="71">
        <v>202</v>
      </c>
      <c r="D23" s="72"/>
      <c r="E23" s="72"/>
      <c r="F23" s="34">
        <v>14.4</v>
      </c>
      <c r="G23" s="63">
        <v>248</v>
      </c>
      <c r="H23" s="73">
        <f>F23/E3</f>
        <v>8.0446927374301674E-2</v>
      </c>
      <c r="I23" s="34">
        <f t="shared" si="0"/>
        <v>187.6</v>
      </c>
      <c r="J23" s="73">
        <f>G23/F3</f>
        <v>6.3687724704673862E-2</v>
      </c>
      <c r="K23" s="34">
        <v>24000</v>
      </c>
      <c r="L23" s="44">
        <f t="shared" si="1"/>
        <v>345.59999999999997</v>
      </c>
      <c r="M23" s="44">
        <f t="shared" si="2"/>
        <v>5952</v>
      </c>
      <c r="N23" s="74">
        <f>L23/E3</f>
        <v>1.93072625698324</v>
      </c>
      <c r="O23" s="75">
        <f>M23/F3</f>
        <v>1.5285053929121726</v>
      </c>
    </row>
    <row r="24" spans="1:15" ht="15.75">
      <c r="A24" s="69">
        <v>17</v>
      </c>
      <c r="B24" s="853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80</v>
      </c>
      <c r="D25" s="72"/>
      <c r="E25" s="34"/>
      <c r="F25" s="34">
        <v>5</v>
      </c>
      <c r="G25" s="35">
        <v>175</v>
      </c>
      <c r="H25" s="73">
        <f>F25/E3</f>
        <v>2.7932960893854747E-2</v>
      </c>
      <c r="I25" s="34">
        <f t="shared" si="0"/>
        <v>75</v>
      </c>
      <c r="J25" s="73">
        <f>G25/F3</f>
        <v>4.4940934771443244E-2</v>
      </c>
      <c r="K25" s="34">
        <v>14400</v>
      </c>
      <c r="L25" s="44">
        <f t="shared" si="1"/>
        <v>72</v>
      </c>
      <c r="M25" s="44">
        <f t="shared" si="2"/>
        <v>2520</v>
      </c>
      <c r="N25" s="74">
        <f>L25/E3</f>
        <v>0.4022346368715084</v>
      </c>
      <c r="O25" s="75">
        <f>M25/F3</f>
        <v>0.64714946070878276</v>
      </c>
    </row>
    <row r="26" spans="1:15" ht="15.75">
      <c r="A26" s="69">
        <v>19</v>
      </c>
      <c r="B26" s="853" t="s">
        <v>50</v>
      </c>
      <c r="C26" s="71">
        <v>104.9</v>
      </c>
      <c r="D26" s="34"/>
      <c r="E26" s="72"/>
      <c r="F26" s="34">
        <v>4.5</v>
      </c>
      <c r="G26" s="63">
        <v>106.5</v>
      </c>
      <c r="H26" s="73">
        <f>F26/E3</f>
        <v>2.5139664804469275E-2</v>
      </c>
      <c r="I26" s="34">
        <f t="shared" si="0"/>
        <v>100.4</v>
      </c>
      <c r="J26" s="73">
        <f>G26/F3</f>
        <v>2.7349768875192602E-2</v>
      </c>
      <c r="K26" s="34">
        <v>102000</v>
      </c>
      <c r="L26" s="44">
        <f t="shared" si="1"/>
        <v>458.99999999999994</v>
      </c>
      <c r="M26" s="44">
        <f t="shared" si="2"/>
        <v>10863</v>
      </c>
      <c r="N26" s="74">
        <f>L26/E3</f>
        <v>2.5642458100558656</v>
      </c>
      <c r="O26" s="75">
        <f>M26/F3</f>
        <v>2.7896764252696458</v>
      </c>
    </row>
    <row r="27" spans="1:15" ht="15.75">
      <c r="A27" s="69">
        <v>20</v>
      </c>
      <c r="B27" s="853" t="s">
        <v>51</v>
      </c>
      <c r="C27" s="71">
        <v>50</v>
      </c>
      <c r="D27" s="72"/>
      <c r="E27" s="72"/>
      <c r="F27" s="34">
        <v>5</v>
      </c>
      <c r="G27" s="35">
        <v>135</v>
      </c>
      <c r="H27" s="73">
        <f>F27/E3</f>
        <v>2.7932960893854747E-2</v>
      </c>
      <c r="I27" s="34">
        <f t="shared" si="0"/>
        <v>45</v>
      </c>
      <c r="J27" s="73">
        <f>G27/F3</f>
        <v>3.4668721109399073E-2</v>
      </c>
      <c r="K27" s="34">
        <v>107000</v>
      </c>
      <c r="L27" s="44">
        <f t="shared" si="1"/>
        <v>535</v>
      </c>
      <c r="M27" s="44">
        <f t="shared" si="2"/>
        <v>14445.000000000002</v>
      </c>
      <c r="N27" s="74">
        <f>L27/E3</f>
        <v>2.988826815642458</v>
      </c>
      <c r="O27" s="75">
        <f>M27/F3</f>
        <v>3.7095531587057016</v>
      </c>
    </row>
    <row r="28" spans="1:15" ht="15.75">
      <c r="A28" s="69">
        <v>21</v>
      </c>
      <c r="B28" s="234" t="s">
        <v>52</v>
      </c>
      <c r="C28" s="71">
        <v>91</v>
      </c>
      <c r="D28" s="72"/>
      <c r="E28" s="72"/>
      <c r="F28" s="34">
        <v>3</v>
      </c>
      <c r="G28" s="35">
        <v>81</v>
      </c>
      <c r="H28" s="73">
        <f>F28/E3</f>
        <v>1.6759776536312849E-2</v>
      </c>
      <c r="I28" s="34">
        <f t="shared" si="0"/>
        <v>88</v>
      </c>
      <c r="J28" s="73">
        <f>G28/F3</f>
        <v>2.0801232665639446E-2</v>
      </c>
      <c r="K28" s="34">
        <v>100000</v>
      </c>
      <c r="L28" s="44">
        <f t="shared" si="1"/>
        <v>300</v>
      </c>
      <c r="M28" s="44">
        <f t="shared" si="2"/>
        <v>8100</v>
      </c>
      <c r="N28" s="74">
        <f>L28/E3</f>
        <v>1.6759776536312849</v>
      </c>
      <c r="O28" s="75">
        <f>M28/F3</f>
        <v>2.0801232665639446</v>
      </c>
    </row>
    <row r="29" spans="1:15" ht="15.75">
      <c r="A29" s="69">
        <v>22</v>
      </c>
      <c r="B29" s="853" t="s">
        <v>53</v>
      </c>
      <c r="C29" s="71">
        <v>38</v>
      </c>
      <c r="D29" s="72"/>
      <c r="E29" s="72"/>
      <c r="F29" s="34">
        <v>1</v>
      </c>
      <c r="G29" s="35">
        <v>27</v>
      </c>
      <c r="H29" s="73">
        <f>F29/E3</f>
        <v>5.5865921787709499E-3</v>
      </c>
      <c r="I29" s="34">
        <f t="shared" si="0"/>
        <v>37</v>
      </c>
      <c r="J29" s="73">
        <f>G29/F3</f>
        <v>6.9337442218798152E-3</v>
      </c>
      <c r="K29" s="34">
        <v>255000</v>
      </c>
      <c r="L29" s="44">
        <f t="shared" si="1"/>
        <v>255</v>
      </c>
      <c r="M29" s="44">
        <f t="shared" si="2"/>
        <v>6885</v>
      </c>
      <c r="N29" s="74">
        <f>L29/E3</f>
        <v>1.4245810055865922</v>
      </c>
      <c r="O29" s="76">
        <f>M29/F3</f>
        <v>1.7681047765793529</v>
      </c>
    </row>
    <row r="30" spans="1:15" ht="15.75">
      <c r="A30" s="69">
        <v>23</v>
      </c>
      <c r="B30" s="853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4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145">
        <f t="shared" si="1"/>
        <v>0</v>
      </c>
      <c r="M31" s="86">
        <f t="shared" si="2"/>
        <v>0</v>
      </c>
      <c r="N31" s="982">
        <f>L31/F3</f>
        <v>0</v>
      </c>
      <c r="O31" s="983">
        <f>M31/F3</f>
        <v>0</v>
      </c>
    </row>
    <row r="32" spans="1:15" ht="16.5" thickBot="1">
      <c r="A32" s="936" t="s">
        <v>56</v>
      </c>
      <c r="B32" s="972" t="s">
        <v>57</v>
      </c>
      <c r="C32" s="254" t="s">
        <v>58</v>
      </c>
      <c r="D32" s="1457" t="s">
        <v>59</v>
      </c>
      <c r="E32" s="1457"/>
      <c r="F32" s="1458"/>
      <c r="G32" s="936" t="s">
        <v>56</v>
      </c>
      <c r="H32" s="1511" t="s">
        <v>57</v>
      </c>
      <c r="I32" s="1512"/>
      <c r="J32" s="1513"/>
      <c r="K32" s="254" t="s">
        <v>58</v>
      </c>
      <c r="L32" s="973" t="s">
        <v>133</v>
      </c>
      <c r="M32" s="92" t="s">
        <v>60</v>
      </c>
      <c r="N32" s="984">
        <f>SUM(N8,N9,N10,N11,N12,N13,N14,N15,N16,N17,N18,N19,N20,N21,N22,N23,N24,N25,N26,N27,N28,N29,N30,N31)</f>
        <v>1253.9287150837988</v>
      </c>
      <c r="O32" s="985">
        <f>SUM(O8,O9,O10,O11,O12,O13,O14,O15,O16,O17,O18,O19,O20,O21,O22,O23,O24,O25,O26,O27,O28,O29,O30,O31,)</f>
        <v>1491.2847611710324</v>
      </c>
    </row>
    <row r="33" spans="1:16" ht="16.5" thickBot="1">
      <c r="A33" s="33">
        <v>1</v>
      </c>
      <c r="B33" s="953" t="s">
        <v>145</v>
      </c>
      <c r="C33" s="966">
        <v>15</v>
      </c>
      <c r="D33" s="1447"/>
      <c r="E33" s="1447"/>
      <c r="F33" s="955">
        <v>26</v>
      </c>
      <c r="G33" s="33"/>
      <c r="H33" s="1101"/>
      <c r="I33" s="1101"/>
      <c r="J33" s="1101"/>
      <c r="K33" s="33"/>
      <c r="L33" s="955"/>
      <c r="M33" s="1098"/>
      <c r="N33" s="974" t="s">
        <v>17</v>
      </c>
      <c r="O33" s="987" t="s">
        <v>17</v>
      </c>
      <c r="P33" s="988"/>
    </row>
    <row r="34" spans="1:16" ht="15.75">
      <c r="A34" s="33">
        <v>2</v>
      </c>
      <c r="B34" s="33" t="s">
        <v>126</v>
      </c>
      <c r="C34" s="966">
        <v>22</v>
      </c>
      <c r="D34" s="1096"/>
      <c r="E34" s="1096"/>
      <c r="F34" s="955">
        <v>37</v>
      </c>
      <c r="G34" s="33"/>
      <c r="H34" s="1101"/>
      <c r="I34" s="1101"/>
      <c r="J34" s="1101"/>
      <c r="K34" s="33"/>
      <c r="L34" s="955"/>
      <c r="M34" s="1099"/>
      <c r="N34" s="975" t="s">
        <v>25</v>
      </c>
      <c r="O34" s="978" t="s">
        <v>26</v>
      </c>
    </row>
    <row r="35" spans="1:16" ht="16.5" thickBot="1">
      <c r="A35" s="33">
        <v>3</v>
      </c>
      <c r="B35" s="33" t="s">
        <v>147</v>
      </c>
      <c r="C35" s="967">
        <v>8</v>
      </c>
      <c r="D35" s="1096"/>
      <c r="E35" s="1096"/>
      <c r="F35" s="956">
        <v>14</v>
      </c>
      <c r="G35" s="33"/>
      <c r="H35" s="1101"/>
      <c r="I35" s="1101"/>
      <c r="J35" s="1101"/>
      <c r="K35" s="34"/>
      <c r="L35" s="956"/>
      <c r="M35" s="1100"/>
      <c r="N35" s="976" t="s">
        <v>118</v>
      </c>
      <c r="O35" s="979" t="s">
        <v>118</v>
      </c>
    </row>
    <row r="36" spans="1:16" ht="20.25" thickBot="1">
      <c r="A36" s="33">
        <v>4</v>
      </c>
      <c r="B36" s="33" t="s">
        <v>115</v>
      </c>
      <c r="C36" s="968">
        <v>60</v>
      </c>
      <c r="D36" s="1096"/>
      <c r="E36" s="1096"/>
      <c r="F36" s="955">
        <v>102</v>
      </c>
      <c r="G36" s="33"/>
      <c r="H36" s="1101"/>
      <c r="I36" s="1101"/>
      <c r="J36" s="1101"/>
      <c r="K36" s="34"/>
      <c r="L36" s="955"/>
      <c r="M36" s="107" t="s">
        <v>60</v>
      </c>
      <c r="N36" s="986">
        <f>N32/1000</f>
        <v>1.2539287150837988</v>
      </c>
      <c r="O36" s="980">
        <f>O32/1000</f>
        <v>1.4912847611710325</v>
      </c>
    </row>
    <row r="37" spans="1:16" ht="21" thickTop="1" thickBot="1">
      <c r="A37" s="33"/>
      <c r="B37" s="33"/>
      <c r="C37" s="969"/>
      <c r="D37" s="1514"/>
      <c r="E37" s="1514"/>
      <c r="F37" s="957"/>
      <c r="G37" s="954"/>
      <c r="H37" s="1101"/>
      <c r="I37" s="1101"/>
      <c r="J37" s="1101"/>
      <c r="K37" s="954"/>
      <c r="L37" s="958"/>
      <c r="M37" s="1"/>
      <c r="N37" s="1"/>
      <c r="O37" s="1"/>
    </row>
    <row r="38" spans="1:16" ht="23.25" thickBot="1">
      <c r="A38" s="970">
        <v>4</v>
      </c>
      <c r="B38" s="971" t="s">
        <v>60</v>
      </c>
      <c r="C38" s="112">
        <f>SUM(C33:C37,K33:K37)</f>
        <v>105</v>
      </c>
      <c r="D38" s="1505">
        <f>SUM(F33:F37,L33:L37)</f>
        <v>179</v>
      </c>
      <c r="E38" s="1506"/>
      <c r="F38" s="1507"/>
    </row>
  </sheetData>
  <mergeCells count="22">
    <mergeCell ref="D38:F38"/>
    <mergeCell ref="G4:H4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</mergeCells>
  <pageMargins left="0.17" right="0.2" top="0.87" bottom="0.23" header="0.31496062992125984" footer="0.09"/>
  <pageSetup scale="8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C1:S38"/>
  <sheetViews>
    <sheetView topLeftCell="C17" workbookViewId="0">
      <selection activeCell="C1" sqref="C1:Q38"/>
    </sheetView>
  </sheetViews>
  <sheetFormatPr defaultRowHeight="15"/>
  <cols>
    <col min="3" max="3" width="5.42578125" customWidth="1"/>
    <col min="4" max="4" width="27" customWidth="1"/>
    <col min="10" max="10" width="11.28515625" customWidth="1"/>
    <col min="13" max="13" width="9.85546875" customWidth="1"/>
    <col min="14" max="15" width="12.7109375" customWidth="1"/>
    <col min="17" max="17" width="10" customWidth="1"/>
    <col min="19" max="19" width="11.5703125" customWidth="1"/>
  </cols>
  <sheetData>
    <row r="1" spans="3:19" ht="20.25" thickBot="1">
      <c r="C1" s="1118" t="s">
        <v>0</v>
      </c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1"/>
      <c r="P1" s="1501"/>
      <c r="Q1" s="1502"/>
    </row>
    <row r="2" spans="3:19" ht="20.25" thickBot="1">
      <c r="C2" s="1121" t="s">
        <v>1</v>
      </c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3"/>
    </row>
    <row r="3" spans="3:19" ht="20.25" thickBot="1">
      <c r="C3" s="1124" t="s">
        <v>2</v>
      </c>
      <c r="D3" s="1125"/>
      <c r="E3" s="1125"/>
      <c r="F3" s="1126"/>
      <c r="G3" s="3">
        <v>172</v>
      </c>
      <c r="H3" s="2">
        <v>4066</v>
      </c>
      <c r="I3" s="1493" t="s">
        <v>150</v>
      </c>
      <c r="J3" s="1494"/>
      <c r="K3" s="1497" t="s">
        <v>149</v>
      </c>
      <c r="L3" s="1130"/>
      <c r="M3" s="1130"/>
      <c r="N3" s="1130"/>
      <c r="O3" s="1130"/>
      <c r="P3" s="1130"/>
      <c r="Q3" s="1131"/>
    </row>
    <row r="4" spans="3:19" ht="21.75" thickTop="1" thickBot="1">
      <c r="C4" s="1487" t="s">
        <v>5</v>
      </c>
      <c r="D4" s="1488"/>
      <c r="E4" s="1503" t="s">
        <v>6</v>
      </c>
      <c r="F4" s="1504"/>
      <c r="G4" s="5">
        <v>0</v>
      </c>
      <c r="H4" s="938">
        <v>464.5</v>
      </c>
      <c r="I4" s="1495" t="s">
        <v>113</v>
      </c>
      <c r="J4" s="1496"/>
      <c r="K4" s="1470"/>
      <c r="L4" s="1132"/>
      <c r="M4" s="1132"/>
      <c r="N4" s="1132"/>
      <c r="O4" s="1132"/>
      <c r="P4" s="1132"/>
      <c r="Q4" s="1133"/>
    </row>
    <row r="5" spans="3:19" ht="17.25" thickTop="1" thickBot="1">
      <c r="C5" s="964" t="s">
        <v>8</v>
      </c>
      <c r="D5" s="8" t="s">
        <v>9</v>
      </c>
      <c r="E5" s="8" t="s">
        <v>10</v>
      </c>
      <c r="F5" s="1498" t="s">
        <v>11</v>
      </c>
      <c r="G5" s="1515"/>
      <c r="H5" s="1152" t="s">
        <v>12</v>
      </c>
      <c r="I5" s="1152"/>
      <c r="J5" s="1002" t="s">
        <v>13</v>
      </c>
      <c r="K5" s="179" t="s">
        <v>9</v>
      </c>
      <c r="L5" s="11" t="s">
        <v>14</v>
      </c>
      <c r="M5" s="12" t="s">
        <v>15</v>
      </c>
      <c r="N5" s="1108" t="s">
        <v>16</v>
      </c>
      <c r="O5" s="1109"/>
      <c r="P5" s="1110" t="s">
        <v>17</v>
      </c>
      <c r="Q5" s="1111"/>
      <c r="S5" s="962"/>
    </row>
    <row r="6" spans="3:19" ht="16.5" thickTop="1">
      <c r="C6" s="964" t="s">
        <v>18</v>
      </c>
      <c r="D6" s="8" t="s">
        <v>19</v>
      </c>
      <c r="E6" s="8" t="s">
        <v>20</v>
      </c>
      <c r="F6" s="790" t="s">
        <v>21</v>
      </c>
      <c r="G6" s="795" t="s">
        <v>14</v>
      </c>
      <c r="H6" s="796" t="s">
        <v>21</v>
      </c>
      <c r="I6" s="796" t="s">
        <v>14</v>
      </c>
      <c r="J6" s="1003" t="s">
        <v>22</v>
      </c>
      <c r="K6" s="179" t="s">
        <v>23</v>
      </c>
      <c r="L6" s="343" t="s">
        <v>22</v>
      </c>
      <c r="M6" s="12" t="s">
        <v>24</v>
      </c>
      <c r="N6" s="800" t="s">
        <v>25</v>
      </c>
      <c r="O6" s="800" t="s">
        <v>26</v>
      </c>
      <c r="P6" s="999" t="s">
        <v>25</v>
      </c>
      <c r="Q6" s="939" t="s">
        <v>26</v>
      </c>
      <c r="S6" s="963"/>
    </row>
    <row r="7" spans="3:19" ht="16.5" thickBot="1">
      <c r="C7" s="965"/>
      <c r="D7" s="8"/>
      <c r="E7" s="8" t="s">
        <v>27</v>
      </c>
      <c r="F7" s="8" t="s">
        <v>27</v>
      </c>
      <c r="G7" s="8" t="s">
        <v>27</v>
      </c>
      <c r="H7" s="18" t="s">
        <v>27</v>
      </c>
      <c r="I7" s="18" t="s">
        <v>27</v>
      </c>
      <c r="J7" s="1004" t="s">
        <v>28</v>
      </c>
      <c r="K7" s="10" t="s">
        <v>27</v>
      </c>
      <c r="L7" s="799" t="s">
        <v>28</v>
      </c>
      <c r="M7" s="12" t="s">
        <v>29</v>
      </c>
      <c r="N7" s="12" t="s">
        <v>30</v>
      </c>
      <c r="O7" s="12" t="s">
        <v>30</v>
      </c>
      <c r="P7" s="1000" t="s">
        <v>31</v>
      </c>
      <c r="Q7" s="1001" t="s">
        <v>31</v>
      </c>
      <c r="S7" s="962"/>
    </row>
    <row r="8" spans="3:19" ht="15.75">
      <c r="C8" s="20">
        <v>1</v>
      </c>
      <c r="D8" s="933" t="s">
        <v>32</v>
      </c>
      <c r="E8" s="22">
        <v>19550</v>
      </c>
      <c r="F8" s="23"/>
      <c r="G8" s="22"/>
      <c r="H8" s="22">
        <v>4200</v>
      </c>
      <c r="I8" s="24">
        <v>114050</v>
      </c>
      <c r="J8" s="25">
        <f>H8/G3</f>
        <v>24.418604651162791</v>
      </c>
      <c r="K8" s="22">
        <f t="shared" ref="K8:K31" si="0">(E8-H8)+F8</f>
        <v>15350</v>
      </c>
      <c r="L8" s="26">
        <f>I8/H3</f>
        <v>28.049680275454993</v>
      </c>
      <c r="M8" s="24">
        <v>36000</v>
      </c>
      <c r="N8" s="27">
        <f t="shared" ref="N8:N31" si="1">(H8/1000)*M8</f>
        <v>151200</v>
      </c>
      <c r="O8" s="28">
        <f t="shared" ref="O8:O31" si="2">(I8/1000)*M8</f>
        <v>4105800</v>
      </c>
      <c r="P8" s="29">
        <f>N8/G3</f>
        <v>879.06976744186045</v>
      </c>
      <c r="Q8" s="30">
        <f>O8/H3</f>
        <v>1009.7884899163797</v>
      </c>
    </row>
    <row r="9" spans="3:19" ht="15.75">
      <c r="C9" s="31">
        <v>2</v>
      </c>
      <c r="D9" s="817" t="s">
        <v>33</v>
      </c>
      <c r="E9" s="33">
        <v>3474</v>
      </c>
      <c r="F9" s="34"/>
      <c r="G9" s="33"/>
      <c r="H9" s="33">
        <v>247</v>
      </c>
      <c r="I9" s="35">
        <v>5773</v>
      </c>
      <c r="J9" s="36">
        <f>H9/G3</f>
        <v>1.4360465116279071</v>
      </c>
      <c r="K9" s="33">
        <f t="shared" si="0"/>
        <v>3227</v>
      </c>
      <c r="L9" s="37">
        <f>I9/H3</f>
        <v>1.4198229217904574</v>
      </c>
      <c r="M9" s="35">
        <v>33500</v>
      </c>
      <c r="N9" s="38">
        <f t="shared" si="1"/>
        <v>8274.5</v>
      </c>
      <c r="O9" s="38">
        <f t="shared" si="2"/>
        <v>193395.5</v>
      </c>
      <c r="P9" s="39">
        <f>N9/G3</f>
        <v>48.107558139534881</v>
      </c>
      <c r="Q9" s="40">
        <f>O9/H3</f>
        <v>47.564067879980321</v>
      </c>
    </row>
    <row r="10" spans="3:19" ht="15.75">
      <c r="C10" s="31">
        <v>3</v>
      </c>
      <c r="D10" s="817" t="s">
        <v>34</v>
      </c>
      <c r="E10" s="33">
        <v>5255</v>
      </c>
      <c r="F10" s="34"/>
      <c r="G10" s="33"/>
      <c r="H10" s="33">
        <v>60</v>
      </c>
      <c r="I10" s="35">
        <v>1625</v>
      </c>
      <c r="J10" s="36">
        <f>H10/G3</f>
        <v>0.34883720930232559</v>
      </c>
      <c r="K10" s="33">
        <f t="shared" si="0"/>
        <v>5195</v>
      </c>
      <c r="L10" s="37">
        <f>I10/H3</f>
        <v>0.39965568125922285</v>
      </c>
      <c r="M10" s="35">
        <v>98000</v>
      </c>
      <c r="N10" s="38">
        <f t="shared" si="1"/>
        <v>5880</v>
      </c>
      <c r="O10" s="38">
        <f t="shared" si="2"/>
        <v>159250</v>
      </c>
      <c r="P10" s="39">
        <f>N10/G3</f>
        <v>34.186046511627907</v>
      </c>
      <c r="Q10" s="40">
        <f>O10/H3</f>
        <v>39.166256763403837</v>
      </c>
    </row>
    <row r="11" spans="3:19" ht="15.75">
      <c r="C11" s="31">
        <v>4</v>
      </c>
      <c r="D11" s="817" t="s">
        <v>35</v>
      </c>
      <c r="E11" s="33">
        <v>19.63000000000001</v>
      </c>
      <c r="F11" s="34"/>
      <c r="G11" s="33"/>
      <c r="H11" s="33">
        <v>0.08</v>
      </c>
      <c r="I11" s="41">
        <v>1.93</v>
      </c>
      <c r="J11" s="42">
        <f>H11/G3</f>
        <v>4.6511627906976747E-4</v>
      </c>
      <c r="K11" s="33">
        <f t="shared" si="0"/>
        <v>19.550000000000011</v>
      </c>
      <c r="L11" s="43">
        <f>I11/H3</f>
        <v>4.7466797835710769E-4</v>
      </c>
      <c r="M11" s="35">
        <v>750000</v>
      </c>
      <c r="N11" s="38">
        <f t="shared" si="1"/>
        <v>60.000000000000007</v>
      </c>
      <c r="O11" s="38">
        <f t="shared" si="2"/>
        <v>1447.5</v>
      </c>
      <c r="P11" s="39">
        <f>N11/G3</f>
        <v>0.34883720930232565</v>
      </c>
      <c r="Q11" s="40">
        <f>O11/H3</f>
        <v>0.35600098376783079</v>
      </c>
    </row>
    <row r="12" spans="3:19" ht="15.75">
      <c r="C12" s="31">
        <v>5</v>
      </c>
      <c r="D12" s="817" t="s">
        <v>36</v>
      </c>
      <c r="E12" s="33">
        <v>964.7</v>
      </c>
      <c r="F12" s="34"/>
      <c r="G12" s="33">
        <v>1000</v>
      </c>
      <c r="H12" s="33">
        <v>26</v>
      </c>
      <c r="I12" s="63">
        <v>561.29999999999995</v>
      </c>
      <c r="J12" s="36">
        <f>H12/G3</f>
        <v>0.15116279069767441</v>
      </c>
      <c r="K12" s="33">
        <f t="shared" si="0"/>
        <v>938.7</v>
      </c>
      <c r="L12" s="37">
        <f>I12/H3</f>
        <v>0.13804722085587801</v>
      </c>
      <c r="M12" s="35">
        <v>350000</v>
      </c>
      <c r="N12" s="38">
        <f t="shared" si="1"/>
        <v>9100</v>
      </c>
      <c r="O12" s="38">
        <f t="shared" si="2"/>
        <v>196454.99999999997</v>
      </c>
      <c r="P12" s="39">
        <f>N12/G3</f>
        <v>52.906976744186046</v>
      </c>
      <c r="Q12" s="40">
        <f>O12/H3</f>
        <v>48.316527299557301</v>
      </c>
    </row>
    <row r="13" spans="3:19" ht="15.75">
      <c r="C13" s="31">
        <v>6</v>
      </c>
      <c r="D13" s="817" t="s">
        <v>37</v>
      </c>
      <c r="E13" s="33">
        <v>1191</v>
      </c>
      <c r="F13" s="34"/>
      <c r="G13" s="33"/>
      <c r="H13" s="33">
        <v>60</v>
      </c>
      <c r="I13" s="35">
        <v>1267</v>
      </c>
      <c r="J13" s="36">
        <f>H13/G3</f>
        <v>0.34883720930232559</v>
      </c>
      <c r="K13" s="33">
        <f t="shared" si="0"/>
        <v>1131</v>
      </c>
      <c r="L13" s="37">
        <f>I13/H3</f>
        <v>0.31160846040334483</v>
      </c>
      <c r="M13" s="35">
        <v>204500</v>
      </c>
      <c r="N13" s="38">
        <f t="shared" si="1"/>
        <v>12270</v>
      </c>
      <c r="O13" s="38">
        <f t="shared" si="2"/>
        <v>259101.49999999997</v>
      </c>
      <c r="P13" s="39">
        <f>N13/G3</f>
        <v>71.337209302325576</v>
      </c>
      <c r="Q13" s="40">
        <f>O13/H3</f>
        <v>63.723930152484009</v>
      </c>
    </row>
    <row r="14" spans="3:19" ht="15.75">
      <c r="C14" s="31">
        <v>7</v>
      </c>
      <c r="D14" s="817" t="s">
        <v>38</v>
      </c>
      <c r="E14" s="33">
        <v>3431</v>
      </c>
      <c r="F14" s="34"/>
      <c r="G14" s="33">
        <v>3000</v>
      </c>
      <c r="H14" s="33">
        <v>54</v>
      </c>
      <c r="I14" s="35">
        <v>1373</v>
      </c>
      <c r="J14" s="36">
        <f>H14/G3</f>
        <v>0.31395348837209303</v>
      </c>
      <c r="K14" s="33">
        <f t="shared" si="0"/>
        <v>3377</v>
      </c>
      <c r="L14" s="37">
        <f>I14/H3</f>
        <v>0.33767830791933101</v>
      </c>
      <c r="M14" s="35">
        <v>129500</v>
      </c>
      <c r="N14" s="38">
        <f t="shared" si="1"/>
        <v>6993</v>
      </c>
      <c r="O14" s="38">
        <f t="shared" si="2"/>
        <v>177803.5</v>
      </c>
      <c r="P14" s="39">
        <f>N14/G3</f>
        <v>40.656976744186046</v>
      </c>
      <c r="Q14" s="40">
        <f>O14/H3</f>
        <v>43.729340875553369</v>
      </c>
    </row>
    <row r="15" spans="3:19" ht="15.75">
      <c r="C15" s="31">
        <v>8</v>
      </c>
      <c r="D15" s="817" t="s">
        <v>39</v>
      </c>
      <c r="E15" s="33">
        <v>987</v>
      </c>
      <c r="F15" s="33"/>
      <c r="G15" s="33">
        <v>500</v>
      </c>
      <c r="H15" s="33">
        <v>20</v>
      </c>
      <c r="I15" s="35">
        <v>518</v>
      </c>
      <c r="J15" s="36">
        <f>H15/G3</f>
        <v>0.11627906976744186</v>
      </c>
      <c r="K15" s="33">
        <f t="shared" si="0"/>
        <v>967</v>
      </c>
      <c r="L15" s="37">
        <f>I15/H3</f>
        <v>0.12739793408755534</v>
      </c>
      <c r="M15" s="35">
        <v>219500</v>
      </c>
      <c r="N15" s="38">
        <f t="shared" si="1"/>
        <v>4390</v>
      </c>
      <c r="O15" s="38">
        <f t="shared" si="2"/>
        <v>113701</v>
      </c>
      <c r="P15" s="39">
        <f>N15/G3</f>
        <v>25.523255813953487</v>
      </c>
      <c r="Q15" s="40">
        <f>O15/H3</f>
        <v>27.963846532218398</v>
      </c>
    </row>
    <row r="16" spans="3:19" ht="15.75">
      <c r="C16" s="31">
        <v>9</v>
      </c>
      <c r="D16" s="817" t="s">
        <v>40</v>
      </c>
      <c r="E16" s="33">
        <v>19</v>
      </c>
      <c r="F16" s="34"/>
      <c r="G16" s="33"/>
      <c r="H16" s="33">
        <v>0</v>
      </c>
      <c r="I16" s="35">
        <v>1</v>
      </c>
      <c r="J16" s="36">
        <f>H16/G3</f>
        <v>0</v>
      </c>
      <c r="K16" s="33">
        <f t="shared" si="0"/>
        <v>19</v>
      </c>
      <c r="L16" s="37">
        <f>I16/H3</f>
        <v>2.4594195769798326E-4</v>
      </c>
      <c r="M16" s="35">
        <v>348200</v>
      </c>
      <c r="N16" s="38">
        <f t="shared" si="1"/>
        <v>0</v>
      </c>
      <c r="O16" s="44">
        <f t="shared" si="2"/>
        <v>348.2</v>
      </c>
      <c r="P16" s="39">
        <f>N16/G3</f>
        <v>0</v>
      </c>
      <c r="Q16" s="40">
        <f>O16/H3</f>
        <v>8.5636989670437771E-2</v>
      </c>
    </row>
    <row r="17" spans="3:19" ht="15.75">
      <c r="C17" s="991">
        <v>10</v>
      </c>
      <c r="D17" s="992" t="s">
        <v>41</v>
      </c>
      <c r="E17" s="993">
        <v>2500</v>
      </c>
      <c r="F17" s="993"/>
      <c r="G17" s="993"/>
      <c r="H17" s="993">
        <v>0</v>
      </c>
      <c r="I17" s="994">
        <f>'16-07-26'!I20+'17-07-26'!H17</f>
        <v>2500</v>
      </c>
      <c r="J17" s="995">
        <f>H17/G3</f>
        <v>0</v>
      </c>
      <c r="K17" s="993">
        <f t="shared" si="0"/>
        <v>2500</v>
      </c>
      <c r="L17" s="995">
        <f>I17/H3</f>
        <v>0.61485489424495821</v>
      </c>
      <c r="M17" s="994">
        <v>172000</v>
      </c>
      <c r="N17" s="996">
        <f t="shared" si="1"/>
        <v>0</v>
      </c>
      <c r="O17" s="996">
        <f t="shared" si="2"/>
        <v>430000</v>
      </c>
      <c r="P17" s="996">
        <f>N17/G3</f>
        <v>0</v>
      </c>
      <c r="Q17" s="997">
        <f>O17/H3</f>
        <v>105.75504181013281</v>
      </c>
    </row>
    <row r="18" spans="3:19" ht="15.75">
      <c r="C18" s="52">
        <v>11</v>
      </c>
      <c r="D18" s="218" t="s">
        <v>122</v>
      </c>
      <c r="E18" s="54">
        <v>0</v>
      </c>
      <c r="F18" s="54"/>
      <c r="G18" s="54"/>
      <c r="H18" s="54">
        <v>0</v>
      </c>
      <c r="I18" s="926">
        <f>'16-07-26'!I21+'17-07-26'!H18</f>
        <v>48</v>
      </c>
      <c r="J18" s="924">
        <f>H18/G3</f>
        <v>0</v>
      </c>
      <c r="K18" s="54">
        <f t="shared" si="0"/>
        <v>0</v>
      </c>
      <c r="L18" s="55">
        <f>I18/H3</f>
        <v>1.1805213969503197E-2</v>
      </c>
      <c r="M18" s="54">
        <v>200000</v>
      </c>
      <c r="N18" s="56">
        <f t="shared" si="1"/>
        <v>0</v>
      </c>
      <c r="O18" s="56">
        <f t="shared" si="2"/>
        <v>9600</v>
      </c>
      <c r="P18" s="56">
        <f>N18/G3</f>
        <v>0</v>
      </c>
      <c r="Q18" s="57">
        <f>O18/H3</f>
        <v>2.3610427939006393</v>
      </c>
    </row>
    <row r="19" spans="3:19" ht="15.75">
      <c r="C19" s="58">
        <v>12</v>
      </c>
      <c r="D19" s="843" t="s">
        <v>43</v>
      </c>
      <c r="E19" s="60">
        <v>233.1</v>
      </c>
      <c r="F19" s="61"/>
      <c r="G19" s="61">
        <v>250</v>
      </c>
      <c r="H19" s="62">
        <v>9</v>
      </c>
      <c r="I19" s="925">
        <v>188.5</v>
      </c>
      <c r="J19" s="64">
        <f>H19/G3</f>
        <v>5.232558139534884E-2</v>
      </c>
      <c r="K19" s="65">
        <f t="shared" si="0"/>
        <v>224.1</v>
      </c>
      <c r="L19" s="66">
        <f>I19/H3</f>
        <v>4.636005902606985E-2</v>
      </c>
      <c r="M19" s="60">
        <v>377600</v>
      </c>
      <c r="N19" s="67">
        <f t="shared" si="1"/>
        <v>3398.3999999999996</v>
      </c>
      <c r="O19" s="67">
        <f t="shared" si="2"/>
        <v>71177.600000000006</v>
      </c>
      <c r="P19" s="67">
        <f>N19/G3</f>
        <v>19.758139534883718</v>
      </c>
      <c r="Q19" s="68">
        <v>17.505558288243975</v>
      </c>
    </row>
    <row r="20" spans="3:19" ht="15.75">
      <c r="C20" s="58">
        <v>13</v>
      </c>
      <c r="D20" s="843" t="s">
        <v>44</v>
      </c>
      <c r="E20" s="60">
        <v>230.59999999999997</v>
      </c>
      <c r="F20" s="61"/>
      <c r="G20" s="61">
        <v>200</v>
      </c>
      <c r="H20" s="62">
        <v>5</v>
      </c>
      <c r="I20" s="925">
        <v>108.5</v>
      </c>
      <c r="J20" s="66">
        <f>H20/G3</f>
        <v>2.9069767441860465E-2</v>
      </c>
      <c r="K20" s="60">
        <f t="shared" si="0"/>
        <v>225.59999999999997</v>
      </c>
      <c r="L20" s="66">
        <f>I20/H3</f>
        <v>2.6684702410231187E-2</v>
      </c>
      <c r="M20" s="60">
        <v>271400</v>
      </c>
      <c r="N20" s="67">
        <f t="shared" si="1"/>
        <v>1357</v>
      </c>
      <c r="O20" s="67">
        <f t="shared" si="2"/>
        <v>29446.9</v>
      </c>
      <c r="P20" s="67">
        <f>N20/G3</f>
        <v>7.8895348837209305</v>
      </c>
      <c r="Q20" s="68">
        <v>7.2422282341367437</v>
      </c>
      <c r="S20" s="990"/>
    </row>
    <row r="21" spans="3:19" ht="15.75">
      <c r="C21" s="58">
        <v>14</v>
      </c>
      <c r="D21" s="843" t="s">
        <v>45</v>
      </c>
      <c r="E21" s="60">
        <v>2956.3</v>
      </c>
      <c r="F21" s="61"/>
      <c r="G21" s="61">
        <v>2500</v>
      </c>
      <c r="H21" s="62">
        <v>69.099999999999994</v>
      </c>
      <c r="I21" s="925">
        <v>1552</v>
      </c>
      <c r="J21" s="66">
        <f>H21/G3</f>
        <v>0.40174418604651158</v>
      </c>
      <c r="K21" s="61">
        <f t="shared" si="0"/>
        <v>2887.2000000000003</v>
      </c>
      <c r="L21" s="66">
        <f>I21/H3</f>
        <v>0.38170191834727002</v>
      </c>
      <c r="M21" s="60">
        <v>271400</v>
      </c>
      <c r="N21" s="67">
        <f t="shared" si="1"/>
        <v>18753.739999999998</v>
      </c>
      <c r="O21" s="67">
        <f t="shared" si="2"/>
        <v>421212.8</v>
      </c>
      <c r="P21" s="67">
        <f>N21/G3</f>
        <v>109.03337209302325</v>
      </c>
      <c r="Q21" s="68">
        <v>103.59390063944909</v>
      </c>
      <c r="S21" s="990"/>
    </row>
    <row r="22" spans="3:19" ht="15.75">
      <c r="C22" s="69">
        <v>15</v>
      </c>
      <c r="D22" s="853" t="s">
        <v>46</v>
      </c>
      <c r="E22" s="71">
        <v>65</v>
      </c>
      <c r="F22" s="72"/>
      <c r="G22" s="72"/>
      <c r="H22" s="34">
        <v>3</v>
      </c>
      <c r="I22" s="35">
        <v>40</v>
      </c>
      <c r="J22" s="73">
        <f>H22/G3</f>
        <v>1.7441860465116279E-2</v>
      </c>
      <c r="K22" s="34">
        <f t="shared" si="0"/>
        <v>62</v>
      </c>
      <c r="L22" s="73">
        <f>I22/H3</f>
        <v>9.8376783079193314E-3</v>
      </c>
      <c r="M22" s="34">
        <v>41000</v>
      </c>
      <c r="N22" s="44">
        <f t="shared" si="1"/>
        <v>123</v>
      </c>
      <c r="O22" s="44">
        <f t="shared" si="2"/>
        <v>1640</v>
      </c>
      <c r="P22" s="74">
        <f>N22/G3</f>
        <v>0.71511627906976749</v>
      </c>
      <c r="Q22" s="75">
        <f>O22/H3</f>
        <v>0.40334481062469257</v>
      </c>
      <c r="S22" s="990"/>
    </row>
    <row r="23" spans="3:19" ht="15.75">
      <c r="C23" s="69">
        <v>16</v>
      </c>
      <c r="D23" s="234" t="s">
        <v>47</v>
      </c>
      <c r="E23" s="71">
        <v>187.6</v>
      </c>
      <c r="F23" s="72"/>
      <c r="G23" s="72"/>
      <c r="H23" s="34">
        <v>14.4</v>
      </c>
      <c r="I23" s="63">
        <v>262.39999999999998</v>
      </c>
      <c r="J23" s="73">
        <f>H23/G3</f>
        <v>8.3720930232558138E-2</v>
      </c>
      <c r="K23" s="34">
        <f t="shared" si="0"/>
        <v>173.2</v>
      </c>
      <c r="L23" s="73">
        <f>I23/H3</f>
        <v>6.4535169699950809E-2</v>
      </c>
      <c r="M23" s="34">
        <v>24000</v>
      </c>
      <c r="N23" s="44">
        <f t="shared" si="1"/>
        <v>345.59999999999997</v>
      </c>
      <c r="O23" s="44">
        <f t="shared" si="2"/>
        <v>6297.5999999999995</v>
      </c>
      <c r="P23" s="74">
        <f>N23/G3</f>
        <v>2.0093023255813951</v>
      </c>
      <c r="Q23" s="75">
        <f>O23/H3</f>
        <v>1.5488440727988193</v>
      </c>
      <c r="S23" s="989"/>
    </row>
    <row r="24" spans="3:19" ht="15.75">
      <c r="C24" s="69">
        <v>17</v>
      </c>
      <c r="D24" s="853" t="s">
        <v>48</v>
      </c>
      <c r="E24" s="71">
        <v>380</v>
      </c>
      <c r="F24" s="72"/>
      <c r="G24" s="72"/>
      <c r="H24" s="34">
        <v>0</v>
      </c>
      <c r="I24" s="35">
        <f>'16-07-26'!I27+'17-07-26'!H24</f>
        <v>380</v>
      </c>
      <c r="J24" s="73">
        <f>H24/G3</f>
        <v>0</v>
      </c>
      <c r="K24" s="34">
        <f t="shared" si="0"/>
        <v>380</v>
      </c>
      <c r="L24" s="73">
        <f>I24/H3</f>
        <v>9.3457943925233641E-2</v>
      </c>
      <c r="M24" s="34">
        <v>13210</v>
      </c>
      <c r="N24" s="44">
        <f t="shared" si="1"/>
        <v>0</v>
      </c>
      <c r="O24" s="44">
        <f t="shared" si="2"/>
        <v>5019.8</v>
      </c>
      <c r="P24" s="74">
        <f>N24/G3</f>
        <v>0</v>
      </c>
      <c r="Q24" s="75">
        <f>O24/H3</f>
        <v>1.2345794392523366</v>
      </c>
      <c r="S24" s="989"/>
    </row>
    <row r="25" spans="3:19" ht="15.75">
      <c r="C25" s="69">
        <v>18</v>
      </c>
      <c r="D25" s="853" t="s">
        <v>49</v>
      </c>
      <c r="E25" s="71">
        <v>75</v>
      </c>
      <c r="F25" s="72"/>
      <c r="G25" s="34"/>
      <c r="H25" s="34">
        <v>5</v>
      </c>
      <c r="I25" s="35">
        <v>180</v>
      </c>
      <c r="J25" s="73">
        <f>H25/G3</f>
        <v>2.9069767441860465E-2</v>
      </c>
      <c r="K25" s="34">
        <f t="shared" si="0"/>
        <v>70</v>
      </c>
      <c r="L25" s="73">
        <f>I25/H3</f>
        <v>4.4269552385636991E-2</v>
      </c>
      <c r="M25" s="34">
        <v>14400</v>
      </c>
      <c r="N25" s="44">
        <f t="shared" si="1"/>
        <v>72</v>
      </c>
      <c r="O25" s="44">
        <f t="shared" si="2"/>
        <v>2592</v>
      </c>
      <c r="P25" s="74">
        <f>N25/G3</f>
        <v>0.41860465116279072</v>
      </c>
      <c r="Q25" s="75">
        <f>O25/H3</f>
        <v>0.63748155435317266</v>
      </c>
    </row>
    <row r="26" spans="3:19" ht="15.75">
      <c r="C26" s="69">
        <v>19</v>
      </c>
      <c r="D26" s="853" t="s">
        <v>50</v>
      </c>
      <c r="E26" s="71">
        <v>100.4</v>
      </c>
      <c r="F26" s="34"/>
      <c r="G26" s="72"/>
      <c r="H26" s="34">
        <v>3.5</v>
      </c>
      <c r="I26" s="63">
        <v>110</v>
      </c>
      <c r="J26" s="73">
        <f>H26/G3</f>
        <v>2.0348837209302327E-2</v>
      </c>
      <c r="K26" s="34">
        <f t="shared" si="0"/>
        <v>96.9</v>
      </c>
      <c r="L26" s="73">
        <f>I26/H3</f>
        <v>2.7053615346778161E-2</v>
      </c>
      <c r="M26" s="34">
        <v>102000</v>
      </c>
      <c r="N26" s="44">
        <f t="shared" si="1"/>
        <v>357</v>
      </c>
      <c r="O26" s="44">
        <f t="shared" si="2"/>
        <v>11220</v>
      </c>
      <c r="P26" s="74">
        <f>N26/G3</f>
        <v>2.0755813953488373</v>
      </c>
      <c r="Q26" s="75">
        <f>O26/H3</f>
        <v>2.7594687653713725</v>
      </c>
    </row>
    <row r="27" spans="3:19" ht="15.75">
      <c r="C27" s="69">
        <v>20</v>
      </c>
      <c r="D27" s="853" t="s">
        <v>51</v>
      </c>
      <c r="E27" s="71">
        <v>45</v>
      </c>
      <c r="F27" s="72"/>
      <c r="G27" s="72"/>
      <c r="H27" s="34">
        <v>5</v>
      </c>
      <c r="I27" s="35">
        <v>140</v>
      </c>
      <c r="J27" s="73">
        <f>H27/G3</f>
        <v>2.9069767441860465E-2</v>
      </c>
      <c r="K27" s="34">
        <f t="shared" si="0"/>
        <v>40</v>
      </c>
      <c r="L27" s="73">
        <f>I27/H3</f>
        <v>3.443187407771766E-2</v>
      </c>
      <c r="M27" s="34">
        <v>107000</v>
      </c>
      <c r="N27" s="44">
        <f t="shared" si="1"/>
        <v>535</v>
      </c>
      <c r="O27" s="44">
        <f t="shared" si="2"/>
        <v>14980.000000000002</v>
      </c>
      <c r="P27" s="74">
        <f>N27/G3</f>
        <v>3.11046511627907</v>
      </c>
      <c r="Q27" s="75">
        <f>O27/H3</f>
        <v>3.6842105263157898</v>
      </c>
    </row>
    <row r="28" spans="3:19" ht="15.75">
      <c r="C28" s="69">
        <v>21</v>
      </c>
      <c r="D28" s="234" t="s">
        <v>52</v>
      </c>
      <c r="E28" s="71">
        <v>88</v>
      </c>
      <c r="F28" s="72"/>
      <c r="G28" s="72"/>
      <c r="H28" s="34">
        <v>3</v>
      </c>
      <c r="I28" s="35">
        <v>84</v>
      </c>
      <c r="J28" s="73">
        <f>H28/G3</f>
        <v>1.7441860465116279E-2</v>
      </c>
      <c r="K28" s="34">
        <f t="shared" si="0"/>
        <v>85</v>
      </c>
      <c r="L28" s="73">
        <f>I28/H3</f>
        <v>2.0659124446630595E-2</v>
      </c>
      <c r="M28" s="34">
        <v>100000</v>
      </c>
      <c r="N28" s="44">
        <f t="shared" si="1"/>
        <v>300</v>
      </c>
      <c r="O28" s="44">
        <f t="shared" si="2"/>
        <v>8400</v>
      </c>
      <c r="P28" s="74">
        <f>N28/G3</f>
        <v>1.7441860465116279</v>
      </c>
      <c r="Q28" s="75">
        <f>O28/H3</f>
        <v>2.0659124446630597</v>
      </c>
    </row>
    <row r="29" spans="3:19" ht="15.75">
      <c r="C29" s="69">
        <v>22</v>
      </c>
      <c r="D29" s="853" t="s">
        <v>53</v>
      </c>
      <c r="E29" s="71">
        <v>37</v>
      </c>
      <c r="F29" s="72"/>
      <c r="G29" s="72"/>
      <c r="H29" s="34">
        <v>1</v>
      </c>
      <c r="I29" s="35">
        <v>28</v>
      </c>
      <c r="J29" s="73">
        <f>H29/G3</f>
        <v>5.8139534883720929E-3</v>
      </c>
      <c r="K29" s="34">
        <f t="shared" si="0"/>
        <v>36</v>
      </c>
      <c r="L29" s="73">
        <f>I29/H3</f>
        <v>6.8863748155435318E-3</v>
      </c>
      <c r="M29" s="34">
        <v>255000</v>
      </c>
      <c r="N29" s="44">
        <f t="shared" si="1"/>
        <v>255</v>
      </c>
      <c r="O29" s="44">
        <f t="shared" si="2"/>
        <v>7140</v>
      </c>
      <c r="P29" s="74">
        <f>N29/G3</f>
        <v>1.4825581395348837</v>
      </c>
      <c r="Q29" s="76">
        <f>O29/H3</f>
        <v>1.7560255779636005</v>
      </c>
    </row>
    <row r="30" spans="3:19" ht="15.75">
      <c r="C30" s="69">
        <v>23</v>
      </c>
      <c r="D30" s="853" t="s">
        <v>54</v>
      </c>
      <c r="E30" s="71">
        <v>480</v>
      </c>
      <c r="F30" s="72"/>
      <c r="G30" s="72"/>
      <c r="H30" s="34">
        <v>0</v>
      </c>
      <c r="I30" s="35">
        <f>'16-07-26'!I33+'17-07-26'!H30</f>
        <v>480</v>
      </c>
      <c r="J30" s="73">
        <f>H30/G3</f>
        <v>0</v>
      </c>
      <c r="K30" s="34">
        <f t="shared" si="0"/>
        <v>480</v>
      </c>
      <c r="L30" s="73">
        <f>I30/H3</f>
        <v>0.11805213969503198</v>
      </c>
      <c r="M30" s="34">
        <v>56000</v>
      </c>
      <c r="N30" s="44">
        <f t="shared" si="1"/>
        <v>0</v>
      </c>
      <c r="O30" s="44">
        <f t="shared" si="2"/>
        <v>26880</v>
      </c>
      <c r="P30" s="981">
        <f>N30/H3</f>
        <v>0</v>
      </c>
      <c r="Q30" s="74">
        <f>O30/H3</f>
        <v>6.6109198229217903</v>
      </c>
    </row>
    <row r="31" spans="3:19" ht="16.5" thickBot="1">
      <c r="C31" s="78">
        <v>24</v>
      </c>
      <c r="D31" s="935" t="s">
        <v>55</v>
      </c>
      <c r="E31" s="80">
        <v>0</v>
      </c>
      <c r="F31" s="81"/>
      <c r="G31" s="81"/>
      <c r="H31" s="82">
        <v>0</v>
      </c>
      <c r="I31" s="83">
        <f>'16-07-26'!I34+'17-07-26'!H31</f>
        <v>0</v>
      </c>
      <c r="J31" s="84">
        <f>H31/G3</f>
        <v>0</v>
      </c>
      <c r="K31" s="85">
        <f t="shared" si="0"/>
        <v>0</v>
      </c>
      <c r="L31" s="84">
        <f>I31/H3</f>
        <v>0</v>
      </c>
      <c r="M31" s="85">
        <v>90000</v>
      </c>
      <c r="N31" s="145">
        <f t="shared" si="1"/>
        <v>0</v>
      </c>
      <c r="O31" s="86">
        <f t="shared" si="2"/>
        <v>0</v>
      </c>
      <c r="P31" s="982">
        <f>N31/H3</f>
        <v>0</v>
      </c>
      <c r="Q31" s="983">
        <f>O31/H3</f>
        <v>0</v>
      </c>
    </row>
    <row r="32" spans="3:19" ht="16.5" thickBot="1">
      <c r="C32" s="936" t="s">
        <v>56</v>
      </c>
      <c r="D32" s="972" t="s">
        <v>57</v>
      </c>
      <c r="E32" s="254" t="s">
        <v>58</v>
      </c>
      <c r="F32" s="1457" t="s">
        <v>59</v>
      </c>
      <c r="G32" s="1457"/>
      <c r="H32" s="1458"/>
      <c r="I32" s="936" t="s">
        <v>56</v>
      </c>
      <c r="J32" s="1511" t="s">
        <v>57</v>
      </c>
      <c r="K32" s="1512"/>
      <c r="L32" s="1513"/>
      <c r="M32" s="254" t="s">
        <v>58</v>
      </c>
      <c r="N32" s="973" t="s">
        <v>133</v>
      </c>
      <c r="O32" s="92" t="s">
        <v>60</v>
      </c>
      <c r="P32" s="984">
        <f>SUM(P8,P9,P10,P11,P12,P13,P14,P15,P16,P17,P18,P19,P20,P21,P22,P23,P24,P25,P26,P27,P28,P29,P30,P31)</f>
        <v>1300.3734883720924</v>
      </c>
      <c r="Q32" s="985">
        <f>SUM(Q8,Q9,Q10,Q11,Q12,Q13,Q14,Q15,Q16,Q17,Q18,Q19,Q20,Q21,Q22,Q23,Q24,Q25,Q26,Q27,Q28,Q29,Q30,Q31,)</f>
        <v>1537.852656173143</v>
      </c>
    </row>
    <row r="33" spans="3:17" ht="16.5" thickBot="1">
      <c r="C33" s="33">
        <v>1</v>
      </c>
      <c r="D33" s="953" t="s">
        <v>115</v>
      </c>
      <c r="E33" s="966">
        <v>102</v>
      </c>
      <c r="F33" s="1447"/>
      <c r="G33" s="1447"/>
      <c r="H33" s="955">
        <v>172</v>
      </c>
      <c r="I33" s="33"/>
      <c r="J33" s="1101"/>
      <c r="K33" s="1101"/>
      <c r="L33" s="1101"/>
      <c r="M33" s="33"/>
      <c r="N33" s="955"/>
      <c r="O33" s="1098"/>
      <c r="P33" s="974" t="s">
        <v>17</v>
      </c>
      <c r="Q33" s="998" t="s">
        <v>17</v>
      </c>
    </row>
    <row r="34" spans="3:17" ht="15.75">
      <c r="C34" s="33"/>
      <c r="D34" s="33"/>
      <c r="E34" s="966"/>
      <c r="F34" s="1096"/>
      <c r="G34" s="1096"/>
      <c r="H34" s="955"/>
      <c r="I34" s="33"/>
      <c r="J34" s="1101"/>
      <c r="K34" s="1101"/>
      <c r="L34" s="1101"/>
      <c r="M34" s="33"/>
      <c r="N34" s="955"/>
      <c r="O34" s="1099"/>
      <c r="P34" s="975" t="s">
        <v>25</v>
      </c>
      <c r="Q34" s="978" t="s">
        <v>26</v>
      </c>
    </row>
    <row r="35" spans="3:17" ht="16.5" thickBot="1">
      <c r="C35" s="33"/>
      <c r="D35" s="33"/>
      <c r="E35" s="967"/>
      <c r="F35" s="1096"/>
      <c r="G35" s="1096"/>
      <c r="H35" s="956"/>
      <c r="I35" s="33"/>
      <c r="J35" s="1101"/>
      <c r="K35" s="1101"/>
      <c r="L35" s="1101"/>
      <c r="M35" s="34"/>
      <c r="N35" s="956"/>
      <c r="O35" s="1100"/>
      <c r="P35" s="976" t="s">
        <v>118</v>
      </c>
      <c r="Q35" s="979" t="s">
        <v>118</v>
      </c>
    </row>
    <row r="36" spans="3:17" ht="20.25" thickBot="1">
      <c r="C36" s="33"/>
      <c r="D36" s="33"/>
      <c r="E36" s="968"/>
      <c r="F36" s="1096"/>
      <c r="G36" s="1096"/>
      <c r="H36" s="955"/>
      <c r="I36" s="33"/>
      <c r="J36" s="1101"/>
      <c r="K36" s="1101"/>
      <c r="L36" s="1101"/>
      <c r="M36" s="34"/>
      <c r="N36" s="955"/>
      <c r="O36" s="107" t="s">
        <v>60</v>
      </c>
      <c r="P36" s="986">
        <f>P32/1000</f>
        <v>1.3003734883720923</v>
      </c>
      <c r="Q36" s="980">
        <f>Q32/1000</f>
        <v>1.5378526561731429</v>
      </c>
    </row>
    <row r="37" spans="3:17" ht="21" thickTop="1" thickBot="1">
      <c r="C37" s="33"/>
      <c r="D37" s="33"/>
      <c r="E37" s="969"/>
      <c r="F37" s="1514"/>
      <c r="G37" s="1514"/>
      <c r="H37" s="957"/>
      <c r="I37" s="954"/>
      <c r="J37" s="1101"/>
      <c r="K37" s="1101"/>
      <c r="L37" s="1101"/>
      <c r="M37" s="954"/>
      <c r="N37" s="958"/>
      <c r="O37" s="1"/>
      <c r="P37" s="1"/>
      <c r="Q37" s="1"/>
    </row>
    <row r="38" spans="3:17" ht="23.25" thickBot="1">
      <c r="C38" s="970">
        <v>4</v>
      </c>
      <c r="D38" s="971" t="s">
        <v>60</v>
      </c>
      <c r="E38" s="112">
        <f>SUM(E33:E37,M33:M37)</f>
        <v>102</v>
      </c>
      <c r="F38" s="1505">
        <f>SUM(H33:H37,N33:N37)</f>
        <v>172</v>
      </c>
      <c r="G38" s="1506"/>
      <c r="H38" s="1507"/>
    </row>
  </sheetData>
  <mergeCells count="22">
    <mergeCell ref="F38:H38"/>
    <mergeCell ref="F33:G37"/>
    <mergeCell ref="J33:L33"/>
    <mergeCell ref="O33:O35"/>
    <mergeCell ref="J34:L34"/>
    <mergeCell ref="J35:L35"/>
    <mergeCell ref="J36:L36"/>
    <mergeCell ref="J37:L37"/>
    <mergeCell ref="F5:G5"/>
    <mergeCell ref="H5:I5"/>
    <mergeCell ref="N5:O5"/>
    <mergeCell ref="P5:Q5"/>
    <mergeCell ref="F32:H32"/>
    <mergeCell ref="J32:L32"/>
    <mergeCell ref="C1:Q1"/>
    <mergeCell ref="C2:Q2"/>
    <mergeCell ref="C3:F3"/>
    <mergeCell ref="I3:J3"/>
    <mergeCell ref="K3:Q4"/>
    <mergeCell ref="C4:D4"/>
    <mergeCell ref="E4:F4"/>
    <mergeCell ref="I4:J4"/>
  </mergeCells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38"/>
  <sheetViews>
    <sheetView workbookViewId="0">
      <selection sqref="A1:O38"/>
    </sheetView>
  </sheetViews>
  <sheetFormatPr defaultRowHeight="15"/>
  <cols>
    <col min="1" max="1" width="5.42578125" customWidth="1"/>
    <col min="2" max="2" width="26.5703125" customWidth="1"/>
    <col min="3" max="3" width="10" customWidth="1"/>
    <col min="8" max="8" width="10.7109375" customWidth="1"/>
    <col min="10" max="10" width="11" customWidth="1"/>
    <col min="12" max="12" width="10.85546875" customWidth="1"/>
    <col min="13" max="13" width="12" customWidth="1"/>
    <col min="14" max="14" width="10.28515625" customWidth="1"/>
    <col min="15" max="15" width="9.7109375" customWidth="1"/>
  </cols>
  <sheetData>
    <row r="1" spans="1:15" ht="20.25" thickBot="1">
      <c r="A1" s="1118" t="s">
        <v>0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2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102</v>
      </c>
      <c r="F3" s="2">
        <v>4168</v>
      </c>
      <c r="G3" s="1493" t="s">
        <v>151</v>
      </c>
      <c r="H3" s="1494"/>
      <c r="I3" s="1497" t="s">
        <v>152</v>
      </c>
      <c r="J3" s="1130"/>
      <c r="K3" s="1130"/>
      <c r="L3" s="1130"/>
      <c r="M3" s="1130"/>
      <c r="N3" s="1130"/>
      <c r="O3" s="1131"/>
    </row>
    <row r="4" spans="1:15" ht="21.75" thickTop="1" thickBot="1">
      <c r="A4" s="1487" t="s">
        <v>5</v>
      </c>
      <c r="B4" s="1488"/>
      <c r="C4" s="1503" t="s">
        <v>6</v>
      </c>
      <c r="D4" s="1504"/>
      <c r="E4" s="5">
        <v>0</v>
      </c>
      <c r="F4" s="938">
        <v>464.5</v>
      </c>
      <c r="G4" s="1495" t="s">
        <v>113</v>
      </c>
      <c r="H4" s="1496"/>
      <c r="I4" s="1470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8" t="s">
        <v>9</v>
      </c>
      <c r="C5" s="8" t="s">
        <v>10</v>
      </c>
      <c r="D5" s="1498" t="s">
        <v>11</v>
      </c>
      <c r="E5" s="1515"/>
      <c r="F5" s="1152" t="s">
        <v>12</v>
      </c>
      <c r="G5" s="1152"/>
      <c r="H5" s="1002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8" t="s">
        <v>19</v>
      </c>
      <c r="C6" s="8" t="s">
        <v>20</v>
      </c>
      <c r="D6" s="790" t="s">
        <v>21</v>
      </c>
      <c r="E6" s="79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15350</v>
      </c>
      <c r="D8" s="23"/>
      <c r="E8" s="22"/>
      <c r="F8" s="22">
        <v>2250</v>
      </c>
      <c r="G8" s="24">
        <v>116300</v>
      </c>
      <c r="H8" s="25">
        <f>F8/E3</f>
        <v>22.058823529411764</v>
      </c>
      <c r="I8" s="22">
        <f t="shared" ref="I8:I31" si="0">(C8-F8)+D8</f>
        <v>13100</v>
      </c>
      <c r="J8" s="26">
        <f>G8/F3</f>
        <v>27.90307101727447</v>
      </c>
      <c r="K8" s="24">
        <v>36000</v>
      </c>
      <c r="L8" s="27">
        <f t="shared" ref="L8:L31" si="1">(F8/1000)*K8</f>
        <v>81000</v>
      </c>
      <c r="M8" s="28">
        <f t="shared" ref="M8:M31" si="2">(G8/1000)*K8</f>
        <v>4186800</v>
      </c>
      <c r="N8" s="29">
        <f>L8/E3</f>
        <v>794.11764705882354</v>
      </c>
      <c r="O8" s="30">
        <f>M8/F3</f>
        <v>1004.5105566218811</v>
      </c>
    </row>
    <row r="9" spans="1:15" ht="15.75">
      <c r="A9" s="31">
        <v>2</v>
      </c>
      <c r="B9" s="817" t="s">
        <v>33</v>
      </c>
      <c r="C9" s="33">
        <v>3227</v>
      </c>
      <c r="D9" s="34"/>
      <c r="E9" s="33"/>
      <c r="F9" s="33">
        <v>170</v>
      </c>
      <c r="G9" s="35">
        <v>5943</v>
      </c>
      <c r="H9" s="36">
        <f>F9/E3</f>
        <v>1.6666666666666667</v>
      </c>
      <c r="I9" s="33">
        <f t="shared" si="0"/>
        <v>3057</v>
      </c>
      <c r="J9" s="37">
        <f>G9/F3</f>
        <v>1.4258637236084453</v>
      </c>
      <c r="K9" s="35">
        <v>33500</v>
      </c>
      <c r="L9" s="38">
        <f t="shared" si="1"/>
        <v>5695</v>
      </c>
      <c r="M9" s="38">
        <f t="shared" si="2"/>
        <v>199090.5</v>
      </c>
      <c r="N9" s="39">
        <f>L9/E3</f>
        <v>55.833333333333336</v>
      </c>
      <c r="O9" s="40">
        <f>M9/F3</f>
        <v>47.766434740882914</v>
      </c>
    </row>
    <row r="10" spans="1:15" ht="15.75">
      <c r="A10" s="31">
        <v>3</v>
      </c>
      <c r="B10" s="817" t="s">
        <v>34</v>
      </c>
      <c r="C10" s="33">
        <v>5195</v>
      </c>
      <c r="D10" s="34"/>
      <c r="E10" s="33"/>
      <c r="F10" s="33">
        <v>40</v>
      </c>
      <c r="G10" s="35">
        <v>1665</v>
      </c>
      <c r="H10" s="36">
        <f>F10/E3</f>
        <v>0.39215686274509803</v>
      </c>
      <c r="I10" s="33">
        <f t="shared" si="0"/>
        <v>5155</v>
      </c>
      <c r="J10" s="37">
        <f>G10/F3</f>
        <v>0.39947216890595011</v>
      </c>
      <c r="K10" s="35">
        <v>98000</v>
      </c>
      <c r="L10" s="38">
        <f t="shared" si="1"/>
        <v>3920</v>
      </c>
      <c r="M10" s="38">
        <f t="shared" si="2"/>
        <v>163170</v>
      </c>
      <c r="N10" s="39">
        <f>L10/E3</f>
        <v>38.431372549019606</v>
      </c>
      <c r="O10" s="40">
        <f>M10/F3</f>
        <v>39.148272552783112</v>
      </c>
    </row>
    <row r="11" spans="1:15" ht="15.75">
      <c r="A11" s="31">
        <v>4</v>
      </c>
      <c r="B11" s="817" t="s">
        <v>35</v>
      </c>
      <c r="C11" s="33">
        <v>19.550000000000011</v>
      </c>
      <c r="D11" s="34"/>
      <c r="E11" s="33"/>
      <c r="F11" s="33">
        <v>0</v>
      </c>
      <c r="G11" s="41">
        <v>1.93</v>
      </c>
      <c r="H11" s="42">
        <f>F11/E3</f>
        <v>0</v>
      </c>
      <c r="I11" s="33">
        <f t="shared" si="0"/>
        <v>19.550000000000011</v>
      </c>
      <c r="J11" s="43">
        <f>G11/F3</f>
        <v>4.6305182341650671E-4</v>
      </c>
      <c r="K11" s="35">
        <v>750000</v>
      </c>
      <c r="L11" s="38">
        <f t="shared" si="1"/>
        <v>0</v>
      </c>
      <c r="M11" s="38">
        <f t="shared" si="2"/>
        <v>1447.5</v>
      </c>
      <c r="N11" s="39">
        <f>L11/E3</f>
        <v>0</v>
      </c>
      <c r="O11" s="40">
        <f>M11/F3</f>
        <v>0.34728886756238003</v>
      </c>
    </row>
    <row r="12" spans="1:15" ht="15.75">
      <c r="A12" s="31">
        <v>5</v>
      </c>
      <c r="B12" s="817" t="s">
        <v>36</v>
      </c>
      <c r="C12" s="33">
        <v>938.7</v>
      </c>
      <c r="D12" s="34"/>
      <c r="E12" s="33">
        <v>1000</v>
      </c>
      <c r="F12" s="33">
        <v>16.899999999999999</v>
      </c>
      <c r="G12" s="63">
        <v>578.20000000000005</v>
      </c>
      <c r="H12" s="36">
        <f>F12/E3</f>
        <v>0.16568627450980392</v>
      </c>
      <c r="I12" s="33">
        <f t="shared" si="0"/>
        <v>921.80000000000007</v>
      </c>
      <c r="J12" s="37">
        <f>G12/F3</f>
        <v>0.13872360844529752</v>
      </c>
      <c r="K12" s="35">
        <v>350000</v>
      </c>
      <c r="L12" s="38">
        <f t="shared" si="1"/>
        <v>5914.9999999999991</v>
      </c>
      <c r="M12" s="38">
        <f t="shared" si="2"/>
        <v>202370.00000000003</v>
      </c>
      <c r="N12" s="39">
        <f>L12/E3</f>
        <v>57.99019607843136</v>
      </c>
      <c r="O12" s="40">
        <f>M12/F3</f>
        <v>48.55326295585413</v>
      </c>
    </row>
    <row r="13" spans="1:15" ht="15.75">
      <c r="A13" s="31">
        <v>6</v>
      </c>
      <c r="B13" s="817" t="s">
        <v>37</v>
      </c>
      <c r="C13" s="33">
        <v>1131</v>
      </c>
      <c r="D13" s="34"/>
      <c r="E13" s="33"/>
      <c r="F13" s="159">
        <v>70</v>
      </c>
      <c r="G13" s="142">
        <v>1337</v>
      </c>
      <c r="H13" s="36">
        <f>F13/E3</f>
        <v>0.68627450980392157</v>
      </c>
      <c r="I13" s="33">
        <f t="shared" si="0"/>
        <v>1061</v>
      </c>
      <c r="J13" s="37">
        <f>G13/F3</f>
        <v>0.32077735124760076</v>
      </c>
      <c r="K13" s="35">
        <v>204500</v>
      </c>
      <c r="L13" s="38">
        <f t="shared" si="1"/>
        <v>14315.000000000002</v>
      </c>
      <c r="M13" s="38">
        <f t="shared" si="2"/>
        <v>273416.5</v>
      </c>
      <c r="N13" s="39">
        <f>L13/E3</f>
        <v>140.34313725490199</v>
      </c>
      <c r="O13" s="40">
        <f>M13/F3</f>
        <v>65.598968330134355</v>
      </c>
    </row>
    <row r="14" spans="1:15" ht="15.75">
      <c r="A14" s="31">
        <v>7</v>
      </c>
      <c r="B14" s="817" t="s">
        <v>38</v>
      </c>
      <c r="C14" s="33">
        <v>3377</v>
      </c>
      <c r="D14" s="34"/>
      <c r="E14" s="1016">
        <v>3000</v>
      </c>
      <c r="F14" s="33">
        <v>54</v>
      </c>
      <c r="G14" s="35">
        <v>1427</v>
      </c>
      <c r="H14" s="1017">
        <f>F14/E3</f>
        <v>0.52941176470588236</v>
      </c>
      <c r="I14" s="33">
        <f t="shared" si="0"/>
        <v>3323</v>
      </c>
      <c r="J14" s="37">
        <f>G14/F3</f>
        <v>0.34237044145873319</v>
      </c>
      <c r="K14" s="35">
        <v>129500</v>
      </c>
      <c r="L14" s="38">
        <f t="shared" si="1"/>
        <v>6993</v>
      </c>
      <c r="M14" s="38">
        <f t="shared" si="2"/>
        <v>184796.5</v>
      </c>
      <c r="N14" s="39">
        <f>L14/E3</f>
        <v>68.558823529411768</v>
      </c>
      <c r="O14" s="40">
        <f>M14/F3</f>
        <v>44.336972168905952</v>
      </c>
    </row>
    <row r="15" spans="1:15" ht="15.75">
      <c r="A15" s="31">
        <v>8</v>
      </c>
      <c r="B15" s="817" t="s">
        <v>39</v>
      </c>
      <c r="C15" s="33">
        <v>967</v>
      </c>
      <c r="D15" s="33"/>
      <c r="E15" s="33">
        <v>500</v>
      </c>
      <c r="F15" s="1018">
        <v>18</v>
      </c>
      <c r="G15" s="1019">
        <v>536</v>
      </c>
      <c r="H15" s="36">
        <f>F15/E3</f>
        <v>0.17647058823529413</v>
      </c>
      <c r="I15" s="33">
        <f t="shared" si="0"/>
        <v>949</v>
      </c>
      <c r="J15" s="37">
        <f>G15/F3</f>
        <v>0.12859884836852206</v>
      </c>
      <c r="K15" s="35">
        <v>219500</v>
      </c>
      <c r="L15" s="38">
        <f t="shared" si="1"/>
        <v>3950.9999999999995</v>
      </c>
      <c r="M15" s="38">
        <f t="shared" si="2"/>
        <v>117652</v>
      </c>
      <c r="N15" s="39">
        <f>L15/E3</f>
        <v>38.735294117647051</v>
      </c>
      <c r="O15" s="40">
        <f>M15/F3</f>
        <v>28.227447216890596</v>
      </c>
    </row>
    <row r="16" spans="1:15" ht="15.75">
      <c r="A16" s="31">
        <v>9</v>
      </c>
      <c r="B16" s="817" t="s">
        <v>40</v>
      </c>
      <c r="C16" s="33">
        <v>19</v>
      </c>
      <c r="D16" s="34"/>
      <c r="E16" s="33"/>
      <c r="F16" s="33">
        <v>0</v>
      </c>
      <c r="G16" s="35">
        <v>1</v>
      </c>
      <c r="H16" s="36">
        <f>F16/E3</f>
        <v>0</v>
      </c>
      <c r="I16" s="33">
        <f t="shared" si="0"/>
        <v>19</v>
      </c>
      <c r="J16" s="37">
        <f>G16/F3</f>
        <v>2.3992322456813819E-4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8.3541266794625715E-2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994">
        <f>'16-07-26'!G20+'17-07-26'!F17</f>
        <v>1450</v>
      </c>
      <c r="H17" s="995">
        <f>F17/E3</f>
        <v>0</v>
      </c>
      <c r="I17" s="993">
        <f t="shared" si="0"/>
        <v>2500</v>
      </c>
      <c r="J17" s="995">
        <f>G17/F3</f>
        <v>0.34788867562380038</v>
      </c>
      <c r="K17" s="994">
        <v>172000</v>
      </c>
      <c r="L17" s="996">
        <f t="shared" si="1"/>
        <v>0</v>
      </c>
      <c r="M17" s="996">
        <f t="shared" si="2"/>
        <v>249400</v>
      </c>
      <c r="N17" s="996">
        <f>L17/E3</f>
        <v>0</v>
      </c>
      <c r="O17" s="997">
        <f>M17/F3</f>
        <v>59.836852207293667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224.1</v>
      </c>
      <c r="D19" s="61"/>
      <c r="E19" s="61">
        <v>250</v>
      </c>
      <c r="F19" s="62">
        <v>6.1</v>
      </c>
      <c r="G19" s="925">
        <v>194.5</v>
      </c>
      <c r="H19" s="64">
        <f>F19/E3</f>
        <v>5.9803921568627447E-2</v>
      </c>
      <c r="I19" s="65">
        <f t="shared" si="0"/>
        <v>218</v>
      </c>
      <c r="J19" s="66">
        <f>G19/F3</f>
        <v>4.6665067178502877E-2</v>
      </c>
      <c r="K19" s="60">
        <v>377600</v>
      </c>
      <c r="L19" s="67">
        <f t="shared" si="1"/>
        <v>2303.3599999999997</v>
      </c>
      <c r="M19" s="67">
        <f t="shared" si="2"/>
        <v>73443.199999999997</v>
      </c>
      <c r="N19" s="67">
        <f>L19/E3</f>
        <v>22.581960784313722</v>
      </c>
      <c r="O19" s="68">
        <v>17.505558288243975</v>
      </c>
    </row>
    <row r="20" spans="1:15" ht="15.75">
      <c r="A20" s="58">
        <v>13</v>
      </c>
      <c r="B20" s="843" t="s">
        <v>44</v>
      </c>
      <c r="C20" s="60">
        <v>225.59999999999997</v>
      </c>
      <c r="D20" s="61"/>
      <c r="E20" s="61">
        <v>200</v>
      </c>
      <c r="F20" s="62">
        <v>3.4</v>
      </c>
      <c r="G20" s="925">
        <v>111.9</v>
      </c>
      <c r="H20" s="66">
        <f>F20/E3</f>
        <v>3.3333333333333333E-2</v>
      </c>
      <c r="I20" s="60">
        <f t="shared" si="0"/>
        <v>222.19999999999996</v>
      </c>
      <c r="J20" s="66">
        <f>G20/F3</f>
        <v>2.6847408829174666E-2</v>
      </c>
      <c r="K20" s="60">
        <v>271400</v>
      </c>
      <c r="L20" s="67">
        <f t="shared" si="1"/>
        <v>922.76</v>
      </c>
      <c r="M20" s="67">
        <f t="shared" si="2"/>
        <v>30369.66</v>
      </c>
      <c r="N20" s="67">
        <f>L20/E3</f>
        <v>9.0466666666666669</v>
      </c>
      <c r="O20" s="68">
        <v>7.2422282341367437</v>
      </c>
    </row>
    <row r="21" spans="1:15" ht="15.75">
      <c r="A21" s="58">
        <v>14</v>
      </c>
      <c r="B21" s="843" t="s">
        <v>45</v>
      </c>
      <c r="C21" s="60">
        <v>2887.2000000000003</v>
      </c>
      <c r="D21" s="61"/>
      <c r="E21" s="61">
        <v>2500</v>
      </c>
      <c r="F21" s="62">
        <v>47.5</v>
      </c>
      <c r="G21" s="925">
        <v>1599.5</v>
      </c>
      <c r="H21" s="66">
        <f>F21/E3</f>
        <v>0.46568627450980393</v>
      </c>
      <c r="I21" s="61">
        <f t="shared" si="0"/>
        <v>2839.7000000000003</v>
      </c>
      <c r="J21" s="66">
        <f>G21/F3</f>
        <v>0.38375719769673705</v>
      </c>
      <c r="K21" s="60">
        <v>271400</v>
      </c>
      <c r="L21" s="67">
        <f t="shared" si="1"/>
        <v>12891.5</v>
      </c>
      <c r="M21" s="67">
        <f t="shared" si="2"/>
        <v>434104.3</v>
      </c>
      <c r="N21" s="67">
        <f>L21/E3</f>
        <v>126.38725490196079</v>
      </c>
      <c r="O21" s="68">
        <v>103.59390063944909</v>
      </c>
    </row>
    <row r="22" spans="1:15" ht="15.75">
      <c r="A22" s="69">
        <v>15</v>
      </c>
      <c r="B22" s="853" t="s">
        <v>46</v>
      </c>
      <c r="C22" s="71">
        <v>62</v>
      </c>
      <c r="D22" s="72"/>
      <c r="E22" s="72"/>
      <c r="F22" s="34">
        <v>0</v>
      </c>
      <c r="G22" s="35">
        <v>40</v>
      </c>
      <c r="H22" s="73">
        <f>F22/E3</f>
        <v>0</v>
      </c>
      <c r="I22" s="34">
        <f t="shared" si="0"/>
        <v>62</v>
      </c>
      <c r="J22" s="73">
        <f>G22/F3</f>
        <v>9.5969289827255271E-3</v>
      </c>
      <c r="K22" s="34">
        <v>41000</v>
      </c>
      <c r="L22" s="44">
        <f t="shared" si="1"/>
        <v>0</v>
      </c>
      <c r="M22" s="44">
        <f t="shared" si="2"/>
        <v>1640</v>
      </c>
      <c r="N22" s="74">
        <f>L22/E3</f>
        <v>0</v>
      </c>
      <c r="O22" s="75">
        <f>M22/F3</f>
        <v>0.39347408829174663</v>
      </c>
    </row>
    <row r="23" spans="1:15" ht="15.75">
      <c r="A23" s="69">
        <v>16</v>
      </c>
      <c r="B23" s="234" t="s">
        <v>47</v>
      </c>
      <c r="C23" s="71">
        <v>173.2</v>
      </c>
      <c r="D23" s="72"/>
      <c r="E23" s="72"/>
      <c r="F23" s="34">
        <v>14.4</v>
      </c>
      <c r="G23" s="63">
        <v>276.8</v>
      </c>
      <c r="H23" s="73">
        <f>F23/E3</f>
        <v>0.14117647058823529</v>
      </c>
      <c r="I23" s="34">
        <f t="shared" si="0"/>
        <v>158.79999999999998</v>
      </c>
      <c r="J23" s="73">
        <f>G23/F3</f>
        <v>6.6410748560460656E-2</v>
      </c>
      <c r="K23" s="34">
        <v>24000</v>
      </c>
      <c r="L23" s="44">
        <f t="shared" si="1"/>
        <v>345.59999999999997</v>
      </c>
      <c r="M23" s="44">
        <f t="shared" si="2"/>
        <v>6643.2</v>
      </c>
      <c r="N23" s="74">
        <f>L23/E3</f>
        <v>3.3882352941176466</v>
      </c>
      <c r="O23" s="75">
        <f>M23/F3</f>
        <v>1.5938579654510556</v>
      </c>
    </row>
    <row r="24" spans="1:15" ht="15.75">
      <c r="A24" s="69">
        <v>17</v>
      </c>
      <c r="B24" s="853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70</v>
      </c>
      <c r="D25" s="72"/>
      <c r="E25" s="34"/>
      <c r="F25" s="34">
        <v>5</v>
      </c>
      <c r="G25" s="35">
        <v>185</v>
      </c>
      <c r="H25" s="73">
        <f>F25/E3</f>
        <v>4.9019607843137254E-2</v>
      </c>
      <c r="I25" s="34">
        <f t="shared" si="0"/>
        <v>65</v>
      </c>
      <c r="J25" s="73">
        <f>G25/F3</f>
        <v>4.4385796545105563E-2</v>
      </c>
      <c r="K25" s="34">
        <v>14400</v>
      </c>
      <c r="L25" s="44">
        <f t="shared" si="1"/>
        <v>72</v>
      </c>
      <c r="M25" s="44">
        <f t="shared" si="2"/>
        <v>2664</v>
      </c>
      <c r="N25" s="74">
        <f>L25/E3</f>
        <v>0.70588235294117652</v>
      </c>
      <c r="O25" s="75">
        <f>M25/F3</f>
        <v>0.63915547024952013</v>
      </c>
    </row>
    <row r="26" spans="1:15" ht="15.75">
      <c r="A26" s="69">
        <v>19</v>
      </c>
      <c r="B26" s="853" t="s">
        <v>50</v>
      </c>
      <c r="C26" s="71">
        <v>96.9</v>
      </c>
      <c r="D26" s="34"/>
      <c r="E26" s="72"/>
      <c r="F26" s="34">
        <v>3.5</v>
      </c>
      <c r="G26" s="63">
        <v>113.5</v>
      </c>
      <c r="H26" s="73">
        <f>F26/E3</f>
        <v>3.4313725490196081E-2</v>
      </c>
      <c r="I26" s="34">
        <f t="shared" si="0"/>
        <v>93.4</v>
      </c>
      <c r="J26" s="73">
        <f>G26/F3</f>
        <v>2.7231285988483685E-2</v>
      </c>
      <c r="K26" s="34">
        <v>102000</v>
      </c>
      <c r="L26" s="44">
        <f t="shared" si="1"/>
        <v>357</v>
      </c>
      <c r="M26" s="44">
        <f t="shared" si="2"/>
        <v>11577</v>
      </c>
      <c r="N26" s="74">
        <f>L26/E3</f>
        <v>3.5</v>
      </c>
      <c r="O26" s="75">
        <f>M26/F3</f>
        <v>2.7775911708253358</v>
      </c>
    </row>
    <row r="27" spans="1:15" ht="15.75">
      <c r="A27" s="69">
        <v>20</v>
      </c>
      <c r="B27" s="853" t="s">
        <v>51</v>
      </c>
      <c r="C27" s="71">
        <v>40</v>
      </c>
      <c r="D27" s="72"/>
      <c r="E27" s="72"/>
      <c r="F27" s="34">
        <v>5</v>
      </c>
      <c r="G27" s="35">
        <v>145</v>
      </c>
      <c r="H27" s="73">
        <f>F27/E3</f>
        <v>4.9019607843137254E-2</v>
      </c>
      <c r="I27" s="34">
        <f t="shared" si="0"/>
        <v>35</v>
      </c>
      <c r="J27" s="73">
        <f>G27/F3</f>
        <v>3.4788867562380039E-2</v>
      </c>
      <c r="K27" s="34">
        <v>107000</v>
      </c>
      <c r="L27" s="44">
        <f t="shared" si="1"/>
        <v>535</v>
      </c>
      <c r="M27" s="44">
        <f t="shared" si="2"/>
        <v>15514.999999999998</v>
      </c>
      <c r="N27" s="74">
        <f>L27/E3</f>
        <v>5.2450980392156863</v>
      </c>
      <c r="O27" s="75">
        <f>M27/F3</f>
        <v>3.7224088291746638</v>
      </c>
    </row>
    <row r="28" spans="1:15" ht="15.75">
      <c r="A28" s="69">
        <v>21</v>
      </c>
      <c r="B28" s="234" t="s">
        <v>52</v>
      </c>
      <c r="C28" s="71">
        <v>85</v>
      </c>
      <c r="D28" s="72"/>
      <c r="E28" s="72"/>
      <c r="F28" s="34">
        <v>3</v>
      </c>
      <c r="G28" s="35">
        <v>87</v>
      </c>
      <c r="H28" s="73">
        <f>F28/E3</f>
        <v>2.9411764705882353E-2</v>
      </c>
      <c r="I28" s="34">
        <f t="shared" si="0"/>
        <v>82</v>
      </c>
      <c r="J28" s="73">
        <f>G28/F3</f>
        <v>2.0873320537428023E-2</v>
      </c>
      <c r="K28" s="34">
        <v>100000</v>
      </c>
      <c r="L28" s="44">
        <f t="shared" si="1"/>
        <v>300</v>
      </c>
      <c r="M28" s="44">
        <f t="shared" si="2"/>
        <v>8700</v>
      </c>
      <c r="N28" s="74">
        <f>L28/E3</f>
        <v>2.9411764705882355</v>
      </c>
      <c r="O28" s="75">
        <f>M28/F3</f>
        <v>2.0873320537428022</v>
      </c>
    </row>
    <row r="29" spans="1:15" ht="15.75">
      <c r="A29" s="69">
        <v>22</v>
      </c>
      <c r="B29" s="853" t="s">
        <v>53</v>
      </c>
      <c r="C29" s="71">
        <v>36</v>
      </c>
      <c r="D29" s="72"/>
      <c r="E29" s="72"/>
      <c r="F29" s="34">
        <v>1</v>
      </c>
      <c r="G29" s="35">
        <v>29</v>
      </c>
      <c r="H29" s="73">
        <f>F29/E3</f>
        <v>9.8039215686274508E-3</v>
      </c>
      <c r="I29" s="34">
        <f t="shared" si="0"/>
        <v>35</v>
      </c>
      <c r="J29" s="73">
        <f>G29/F3</f>
        <v>6.9577735124760074E-3</v>
      </c>
      <c r="K29" s="34">
        <v>255000</v>
      </c>
      <c r="L29" s="44">
        <f t="shared" si="1"/>
        <v>255</v>
      </c>
      <c r="M29" s="44">
        <f t="shared" si="2"/>
        <v>7395</v>
      </c>
      <c r="N29" s="74">
        <f>L29/E3</f>
        <v>2.5</v>
      </c>
      <c r="O29" s="76">
        <f>M29/F3</f>
        <v>1.7742322456813819</v>
      </c>
    </row>
    <row r="30" spans="1:15" ht="15.75">
      <c r="A30" s="69">
        <v>23</v>
      </c>
      <c r="B30" s="853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4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145">
        <f t="shared" si="1"/>
        <v>0</v>
      </c>
      <c r="M31" s="86">
        <f t="shared" si="2"/>
        <v>0</v>
      </c>
      <c r="N31" s="982">
        <f>L31/F3</f>
        <v>0</v>
      </c>
      <c r="O31" s="983">
        <f>M31/F3</f>
        <v>0</v>
      </c>
    </row>
    <row r="32" spans="1:15" ht="16.5" thickBot="1">
      <c r="A32" s="936" t="s">
        <v>56</v>
      </c>
      <c r="B32" s="972" t="s">
        <v>57</v>
      </c>
      <c r="C32" s="254" t="s">
        <v>58</v>
      </c>
      <c r="D32" s="1457" t="s">
        <v>59</v>
      </c>
      <c r="E32" s="1457"/>
      <c r="F32" s="1458"/>
      <c r="G32" s="936" t="s">
        <v>56</v>
      </c>
      <c r="H32" s="1511" t="s">
        <v>57</v>
      </c>
      <c r="I32" s="1512"/>
      <c r="J32" s="1513"/>
      <c r="K32" s="254" t="s">
        <v>58</v>
      </c>
      <c r="L32" s="973" t="s">
        <v>133</v>
      </c>
      <c r="M32" s="92" t="s">
        <v>60</v>
      </c>
      <c r="N32" s="984">
        <f>SUM(N8,N9,N10,N11,N12,N13,N14,N15,N16,N17,N18,N19,N20,N21,N22,N23,N24,N25,N26,N27,N28,N29,N30,N31)</f>
        <v>1370.3060784313727</v>
      </c>
      <c r="O32" s="985">
        <f>SUM(O8,O9,O10,O11,O12,O13,O14,O15,O16,O17,O18,O19,O20,O21,O22,O23,O24,O25,O26,O27,O28,O29,O30,O31,)</f>
        <v>1479.7393359142288</v>
      </c>
    </row>
    <row r="33" spans="1:15" ht="16.5" thickBot="1">
      <c r="A33" s="33">
        <v>1</v>
      </c>
      <c r="B33" s="1015" t="s">
        <v>115</v>
      </c>
      <c r="C33" s="966">
        <v>29</v>
      </c>
      <c r="D33" s="1447"/>
      <c r="E33" s="1447"/>
      <c r="F33" s="955">
        <v>48.5</v>
      </c>
      <c r="G33" s="33"/>
      <c r="H33" s="1101"/>
      <c r="I33" s="1101"/>
      <c r="J33" s="1101"/>
      <c r="K33" s="33"/>
      <c r="L33" s="955"/>
      <c r="M33" s="1098"/>
      <c r="N33" s="974" t="s">
        <v>17</v>
      </c>
      <c r="O33" s="998" t="s">
        <v>17</v>
      </c>
    </row>
    <row r="34" spans="1:15" ht="15.75">
      <c r="A34" s="33">
        <v>2</v>
      </c>
      <c r="B34" s="1015" t="s">
        <v>121</v>
      </c>
      <c r="C34" s="966">
        <v>32</v>
      </c>
      <c r="D34" s="1096"/>
      <c r="E34" s="1096"/>
      <c r="F34" s="955">
        <v>53.5</v>
      </c>
      <c r="G34" s="33"/>
      <c r="H34" s="1101"/>
      <c r="I34" s="1101"/>
      <c r="J34" s="1101"/>
      <c r="K34" s="33"/>
      <c r="L34" s="955"/>
      <c r="M34" s="1099"/>
      <c r="N34" s="975" t="s">
        <v>25</v>
      </c>
      <c r="O34" s="978" t="s">
        <v>26</v>
      </c>
    </row>
    <row r="35" spans="1:15" ht="16.5" thickBot="1">
      <c r="A35" s="33"/>
      <c r="B35" s="33"/>
      <c r="C35" s="967"/>
      <c r="D35" s="1096"/>
      <c r="E35" s="1096"/>
      <c r="F35" s="956"/>
      <c r="G35" s="33"/>
      <c r="H35" s="1101"/>
      <c r="I35" s="1101"/>
      <c r="J35" s="1101"/>
      <c r="K35" s="34"/>
      <c r="L35" s="956"/>
      <c r="M35" s="1100"/>
      <c r="N35" s="976" t="s">
        <v>118</v>
      </c>
      <c r="O35" s="979" t="s">
        <v>118</v>
      </c>
    </row>
    <row r="36" spans="1:15" ht="20.25" thickBot="1">
      <c r="A36" s="33"/>
      <c r="B36" s="33"/>
      <c r="C36" s="968"/>
      <c r="D36" s="1096"/>
      <c r="E36" s="1096"/>
      <c r="F36" s="955"/>
      <c r="G36" s="33"/>
      <c r="H36" s="1101"/>
      <c r="I36" s="1101"/>
      <c r="J36" s="1101"/>
      <c r="K36" s="34"/>
      <c r="L36" s="955"/>
      <c r="M36" s="107" t="s">
        <v>60</v>
      </c>
      <c r="N36" s="986">
        <f>N32/1000</f>
        <v>1.3703060784313728</v>
      </c>
      <c r="O36" s="980">
        <f>O32/1000</f>
        <v>1.4797393359142288</v>
      </c>
    </row>
    <row r="37" spans="1:15" ht="21" thickTop="1" thickBot="1">
      <c r="A37" s="33"/>
      <c r="B37" s="33"/>
      <c r="C37" s="969"/>
      <c r="D37" s="1514"/>
      <c r="E37" s="1514"/>
      <c r="F37" s="957"/>
      <c r="G37" s="954"/>
      <c r="H37" s="1101"/>
      <c r="I37" s="1101"/>
      <c r="J37" s="1101"/>
      <c r="K37" s="954"/>
      <c r="L37" s="958"/>
      <c r="M37" s="1"/>
      <c r="N37" s="1"/>
      <c r="O37" s="1"/>
    </row>
    <row r="38" spans="1:15" ht="23.25" thickBot="1">
      <c r="A38" s="970">
        <v>3</v>
      </c>
      <c r="B38" s="971" t="s">
        <v>60</v>
      </c>
      <c r="C38" s="112">
        <f>SUM(C33:C37,K33:K37)</f>
        <v>61</v>
      </c>
      <c r="D38" s="1505">
        <f>SUM(F33:F37,L33:L37)</f>
        <v>102</v>
      </c>
      <c r="E38" s="1506"/>
      <c r="F38" s="1507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8:F38"/>
    <mergeCell ref="D33:E37"/>
    <mergeCell ref="H33:J33"/>
    <mergeCell ref="M33:M35"/>
    <mergeCell ref="H34:J34"/>
    <mergeCell ref="H35:J35"/>
    <mergeCell ref="H36:J36"/>
    <mergeCell ref="H37:J37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38"/>
  <sheetViews>
    <sheetView topLeftCell="A17" workbookViewId="0">
      <selection sqref="A1:O38"/>
    </sheetView>
  </sheetViews>
  <sheetFormatPr defaultRowHeight="15"/>
  <cols>
    <col min="1" max="1" width="5.42578125" customWidth="1"/>
    <col min="2" max="2" width="28" customWidth="1"/>
    <col min="3" max="3" width="10.42578125" customWidth="1"/>
    <col min="8" max="8" width="11.28515625" customWidth="1"/>
    <col min="10" max="10" width="12.42578125" customWidth="1"/>
    <col min="12" max="12" width="10.7109375" customWidth="1"/>
    <col min="13" max="13" width="13.140625" customWidth="1"/>
    <col min="15" max="15" width="12.140625" customWidth="1"/>
  </cols>
  <sheetData>
    <row r="1" spans="1:15" ht="20.25" thickBot="1">
      <c r="A1" s="1118" t="s">
        <v>0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2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143</v>
      </c>
      <c r="F3" s="2">
        <v>4311</v>
      </c>
      <c r="G3" s="1493" t="s">
        <v>154</v>
      </c>
      <c r="H3" s="1494"/>
      <c r="I3" s="1497" t="s">
        <v>153</v>
      </c>
      <c r="J3" s="1130"/>
      <c r="K3" s="1130"/>
      <c r="L3" s="1130"/>
      <c r="M3" s="1130"/>
      <c r="N3" s="1130"/>
      <c r="O3" s="1131"/>
    </row>
    <row r="4" spans="1:15" ht="21.75" thickTop="1" thickBot="1">
      <c r="A4" s="1487" t="s">
        <v>5</v>
      </c>
      <c r="B4" s="1488"/>
      <c r="C4" s="1503" t="s">
        <v>6</v>
      </c>
      <c r="D4" s="1504"/>
      <c r="E4" s="5">
        <v>0</v>
      </c>
      <c r="F4" s="938">
        <v>464.5</v>
      </c>
      <c r="G4" s="1495" t="s">
        <v>113</v>
      </c>
      <c r="H4" s="1496"/>
      <c r="I4" s="1470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8" t="s">
        <v>9</v>
      </c>
      <c r="C5" s="8" t="s">
        <v>10</v>
      </c>
      <c r="D5" s="1498" t="s">
        <v>11</v>
      </c>
      <c r="E5" s="1515"/>
      <c r="F5" s="1152" t="s">
        <v>12</v>
      </c>
      <c r="G5" s="1152"/>
      <c r="H5" s="1002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8" t="s">
        <v>19</v>
      </c>
      <c r="C6" s="8" t="s">
        <v>20</v>
      </c>
      <c r="D6" s="790" t="s">
        <v>21</v>
      </c>
      <c r="E6" s="79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13100</v>
      </c>
      <c r="D8" s="23"/>
      <c r="E8" s="22"/>
      <c r="F8" s="22">
        <v>3450</v>
      </c>
      <c r="G8" s="24">
        <v>119750</v>
      </c>
      <c r="H8" s="25">
        <f>F8/E3</f>
        <v>24.125874125874127</v>
      </c>
      <c r="I8" s="22">
        <f t="shared" ref="I8:I31" si="0">(C8-F8)+D8</f>
        <v>9650</v>
      </c>
      <c r="J8" s="26">
        <f>G8/F3</f>
        <v>27.777777777777779</v>
      </c>
      <c r="K8" s="24">
        <v>36000</v>
      </c>
      <c r="L8" s="27">
        <f t="shared" ref="L8:L31" si="1">(F8/1000)*K8</f>
        <v>124200</v>
      </c>
      <c r="M8" s="28">
        <f t="shared" ref="M8:M31" si="2">(G8/1000)*K8</f>
        <v>4311000</v>
      </c>
      <c r="N8" s="29">
        <f>L8/E3</f>
        <v>868.53146853146848</v>
      </c>
      <c r="O8" s="30">
        <f>M8/F3</f>
        <v>1000</v>
      </c>
    </row>
    <row r="9" spans="1:15" ht="15.75">
      <c r="A9" s="31">
        <v>2</v>
      </c>
      <c r="B9" s="817" t="s">
        <v>33</v>
      </c>
      <c r="C9" s="33">
        <v>3057</v>
      </c>
      <c r="D9" s="34"/>
      <c r="E9" s="33"/>
      <c r="F9" s="33">
        <v>221</v>
      </c>
      <c r="G9" s="35">
        <v>6164</v>
      </c>
      <c r="H9" s="36">
        <f>F9/E3</f>
        <v>1.5454545454545454</v>
      </c>
      <c r="I9" s="33">
        <f t="shared" si="0"/>
        <v>2836</v>
      </c>
      <c r="J9" s="37">
        <f>G9/F3</f>
        <v>1.4298306657388078</v>
      </c>
      <c r="K9" s="35">
        <v>33500</v>
      </c>
      <c r="L9" s="38">
        <f t="shared" si="1"/>
        <v>7403.5</v>
      </c>
      <c r="M9" s="38">
        <f t="shared" si="2"/>
        <v>206494</v>
      </c>
      <c r="N9" s="39">
        <f>L9/E3</f>
        <v>51.772727272727273</v>
      </c>
      <c r="O9" s="40">
        <f>M9/F3</f>
        <v>47.899327302250057</v>
      </c>
    </row>
    <row r="10" spans="1:15" ht="15.75">
      <c r="A10" s="31">
        <v>3</v>
      </c>
      <c r="B10" s="817" t="s">
        <v>34</v>
      </c>
      <c r="C10" s="33">
        <v>5155</v>
      </c>
      <c r="D10" s="34"/>
      <c r="E10" s="33"/>
      <c r="F10" s="33">
        <v>73</v>
      </c>
      <c r="G10" s="35">
        <v>1738</v>
      </c>
      <c r="H10" s="36">
        <f>F10/E3</f>
        <v>0.51048951048951052</v>
      </c>
      <c r="I10" s="33">
        <f t="shared" si="0"/>
        <v>5082</v>
      </c>
      <c r="J10" s="37">
        <f>G10/F3</f>
        <v>0.40315472048248668</v>
      </c>
      <c r="K10" s="35">
        <v>98000</v>
      </c>
      <c r="L10" s="38">
        <f t="shared" si="1"/>
        <v>7154</v>
      </c>
      <c r="M10" s="38">
        <f t="shared" si="2"/>
        <v>170324</v>
      </c>
      <c r="N10" s="39">
        <f>L10/E3</f>
        <v>50.027972027972027</v>
      </c>
      <c r="O10" s="40">
        <f>M10/F3</f>
        <v>39.509162607283692</v>
      </c>
    </row>
    <row r="11" spans="1:15" ht="15.75">
      <c r="A11" s="31">
        <v>4</v>
      </c>
      <c r="B11" s="817" t="s">
        <v>35</v>
      </c>
      <c r="C11" s="33">
        <v>19.550000000000011</v>
      </c>
      <c r="D11" s="34"/>
      <c r="E11" s="33"/>
      <c r="F11" s="33">
        <v>0.08</v>
      </c>
      <c r="G11" s="41">
        <v>2.0099999999999998</v>
      </c>
      <c r="H11" s="42">
        <f>F11/E3</f>
        <v>5.5944055944055944E-4</v>
      </c>
      <c r="I11" s="33">
        <f t="shared" si="0"/>
        <v>19.470000000000013</v>
      </c>
      <c r="J11" s="43">
        <f>G11/F3</f>
        <v>4.6624913013221985E-4</v>
      </c>
      <c r="K11" s="35">
        <v>750000</v>
      </c>
      <c r="L11" s="38">
        <f t="shared" si="1"/>
        <v>60.000000000000007</v>
      </c>
      <c r="M11" s="38">
        <f t="shared" si="2"/>
        <v>1507.4999999999998</v>
      </c>
      <c r="N11" s="39">
        <f>L11/E3</f>
        <v>0.41958041958041964</v>
      </c>
      <c r="O11" s="40">
        <f>M11/F3</f>
        <v>0.34968684759916485</v>
      </c>
    </row>
    <row r="12" spans="1:15" ht="15.75">
      <c r="A12" s="31">
        <v>5</v>
      </c>
      <c r="B12" s="817" t="s">
        <v>36</v>
      </c>
      <c r="C12" s="33">
        <v>921.80000000000007</v>
      </c>
      <c r="D12" s="34"/>
      <c r="E12" s="33">
        <v>1000</v>
      </c>
      <c r="F12" s="33">
        <v>20.8</v>
      </c>
      <c r="G12" s="63">
        <v>599</v>
      </c>
      <c r="H12" s="36">
        <f>F12/E3</f>
        <v>0.14545454545454545</v>
      </c>
      <c r="I12" s="33">
        <f t="shared" si="0"/>
        <v>901.00000000000011</v>
      </c>
      <c r="J12" s="37">
        <f>G12/F3</f>
        <v>0.13894688007422873</v>
      </c>
      <c r="K12" s="35">
        <v>350000</v>
      </c>
      <c r="L12" s="38">
        <f t="shared" si="1"/>
        <v>7280</v>
      </c>
      <c r="M12" s="38">
        <f t="shared" si="2"/>
        <v>209650</v>
      </c>
      <c r="N12" s="39">
        <f>L12/E3</f>
        <v>50.909090909090907</v>
      </c>
      <c r="O12" s="40">
        <f>M12/F3</f>
        <v>48.631408025980051</v>
      </c>
    </row>
    <row r="13" spans="1:15" ht="15.75">
      <c r="A13" s="31">
        <v>6</v>
      </c>
      <c r="B13" s="817" t="s">
        <v>37</v>
      </c>
      <c r="C13" s="33">
        <v>1061</v>
      </c>
      <c r="D13" s="34"/>
      <c r="E13" s="33"/>
      <c r="F13" s="159">
        <v>40</v>
      </c>
      <c r="G13" s="142">
        <v>1377</v>
      </c>
      <c r="H13" s="36">
        <f>F13/E3</f>
        <v>0.27972027972027974</v>
      </c>
      <c r="I13" s="33">
        <f t="shared" si="0"/>
        <v>1021</v>
      </c>
      <c r="J13" s="37">
        <f>G13/F3</f>
        <v>0.31941544885177453</v>
      </c>
      <c r="K13" s="35">
        <v>204500</v>
      </c>
      <c r="L13" s="38">
        <f t="shared" si="1"/>
        <v>8180</v>
      </c>
      <c r="M13" s="38">
        <f t="shared" si="2"/>
        <v>281596.5</v>
      </c>
      <c r="N13" s="39">
        <f>L13/E3</f>
        <v>57.2027972027972</v>
      </c>
      <c r="O13" s="40">
        <f>M13/F3</f>
        <v>65.320459290187898</v>
      </c>
    </row>
    <row r="14" spans="1:15" ht="15.75">
      <c r="A14" s="31">
        <v>7</v>
      </c>
      <c r="B14" s="817" t="s">
        <v>38</v>
      </c>
      <c r="C14" s="33">
        <v>3323</v>
      </c>
      <c r="D14" s="34"/>
      <c r="E14" s="1016">
        <v>3000</v>
      </c>
      <c r="F14" s="33">
        <v>54</v>
      </c>
      <c r="G14" s="35">
        <v>1481</v>
      </c>
      <c r="H14" s="1017">
        <f>F14/E3</f>
        <v>0.3776223776223776</v>
      </c>
      <c r="I14" s="33">
        <f t="shared" si="0"/>
        <v>3269</v>
      </c>
      <c r="J14" s="37">
        <f>G14/F3</f>
        <v>0.34353978195314311</v>
      </c>
      <c r="K14" s="35">
        <v>129500</v>
      </c>
      <c r="L14" s="38">
        <f t="shared" si="1"/>
        <v>6993</v>
      </c>
      <c r="M14" s="38">
        <f t="shared" si="2"/>
        <v>191789.5</v>
      </c>
      <c r="N14" s="39">
        <f>L14/E3</f>
        <v>48.9020979020979</v>
      </c>
      <c r="O14" s="40">
        <f>M14/F3</f>
        <v>44.488401762932035</v>
      </c>
    </row>
    <row r="15" spans="1:15" ht="15.75">
      <c r="A15" s="31">
        <v>8</v>
      </c>
      <c r="B15" s="817" t="s">
        <v>39</v>
      </c>
      <c r="C15" s="33">
        <v>949</v>
      </c>
      <c r="D15" s="33"/>
      <c r="E15" s="33">
        <v>500</v>
      </c>
      <c r="F15" s="1018">
        <v>20</v>
      </c>
      <c r="G15" s="1019">
        <v>556</v>
      </c>
      <c r="H15" s="36">
        <f>F15/E3</f>
        <v>0.13986013986013987</v>
      </c>
      <c r="I15" s="33">
        <f t="shared" si="0"/>
        <v>929</v>
      </c>
      <c r="J15" s="37">
        <f>G15/F3</f>
        <v>0.12897239619577824</v>
      </c>
      <c r="K15" s="35">
        <v>219500</v>
      </c>
      <c r="L15" s="38">
        <f t="shared" si="1"/>
        <v>4390</v>
      </c>
      <c r="M15" s="38">
        <f t="shared" si="2"/>
        <v>122042.00000000001</v>
      </c>
      <c r="N15" s="39">
        <f>L15/E3</f>
        <v>30.6993006993007</v>
      </c>
      <c r="O15" s="40">
        <f>M15/F3</f>
        <v>28.309440964973327</v>
      </c>
    </row>
    <row r="16" spans="1:15" ht="15.75">
      <c r="A16" s="31">
        <v>9</v>
      </c>
      <c r="B16" s="817" t="s">
        <v>40</v>
      </c>
      <c r="C16" s="33">
        <v>19</v>
      </c>
      <c r="D16" s="34"/>
      <c r="E16" s="33"/>
      <c r="F16" s="33">
        <v>0</v>
      </c>
      <c r="G16" s="35">
        <v>1</v>
      </c>
      <c r="H16" s="36">
        <f>F16/E3</f>
        <v>0</v>
      </c>
      <c r="I16" s="33">
        <f t="shared" si="0"/>
        <v>19</v>
      </c>
      <c r="J16" s="37">
        <f>G16/F3</f>
        <v>2.3196474135931338E-4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8.0770122941312916E-2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994">
        <f>'16-07-26'!G20+'17-07-26'!F17</f>
        <v>1450</v>
      </c>
      <c r="H17" s="995">
        <f>F17/E3</f>
        <v>0</v>
      </c>
      <c r="I17" s="993">
        <f t="shared" si="0"/>
        <v>2500</v>
      </c>
      <c r="J17" s="995">
        <f>G17/F3</f>
        <v>0.33634887497100441</v>
      </c>
      <c r="K17" s="994">
        <v>172000</v>
      </c>
      <c r="L17" s="996">
        <f t="shared" si="1"/>
        <v>0</v>
      </c>
      <c r="M17" s="996">
        <f t="shared" si="2"/>
        <v>249400</v>
      </c>
      <c r="N17" s="996">
        <f>L17/E3</f>
        <v>0</v>
      </c>
      <c r="O17" s="997">
        <f>M17/F3</f>
        <v>57.852006495012759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218</v>
      </c>
      <c r="D19" s="61"/>
      <c r="E19" s="61">
        <v>250</v>
      </c>
      <c r="F19" s="62">
        <v>8.1999999999999993</v>
      </c>
      <c r="G19" s="925">
        <v>202.7</v>
      </c>
      <c r="H19" s="64">
        <f>F19/E3</f>
        <v>5.7342657342657338E-2</v>
      </c>
      <c r="I19" s="65">
        <f t="shared" si="0"/>
        <v>209.8</v>
      </c>
      <c r="J19" s="66">
        <f>G19/F3</f>
        <v>4.7019253073532823E-2</v>
      </c>
      <c r="K19" s="60">
        <v>377600</v>
      </c>
      <c r="L19" s="67">
        <f t="shared" si="1"/>
        <v>3096.3199999999997</v>
      </c>
      <c r="M19" s="67">
        <f t="shared" si="2"/>
        <v>76539.51999999999</v>
      </c>
      <c r="N19" s="67">
        <f>L19/E3</f>
        <v>21.652587412587412</v>
      </c>
      <c r="O19" s="68">
        <v>17.505558288243975</v>
      </c>
    </row>
    <row r="20" spans="1:15" ht="15.75">
      <c r="A20" s="58">
        <v>13</v>
      </c>
      <c r="B20" s="843" t="s">
        <v>44</v>
      </c>
      <c r="C20" s="60">
        <v>222.19999999999996</v>
      </c>
      <c r="D20" s="61"/>
      <c r="E20" s="61">
        <v>200</v>
      </c>
      <c r="F20" s="62">
        <v>4.5999999999999996</v>
      </c>
      <c r="G20" s="925">
        <v>116.5</v>
      </c>
      <c r="H20" s="66">
        <f>F20/E3</f>
        <v>3.2167832167832165E-2</v>
      </c>
      <c r="I20" s="60">
        <f t="shared" si="0"/>
        <v>217.59999999999997</v>
      </c>
      <c r="J20" s="66">
        <f>G20/F3</f>
        <v>2.702389236836001E-2</v>
      </c>
      <c r="K20" s="60">
        <v>271400</v>
      </c>
      <c r="L20" s="67">
        <f t="shared" si="1"/>
        <v>1248.44</v>
      </c>
      <c r="M20" s="67">
        <f t="shared" si="2"/>
        <v>31618.100000000002</v>
      </c>
      <c r="N20" s="67">
        <f>L20/E3</f>
        <v>8.73034965034965</v>
      </c>
      <c r="O20" s="68">
        <v>7.2422282341367437</v>
      </c>
    </row>
    <row r="21" spans="1:15" ht="15.75">
      <c r="A21" s="58">
        <v>14</v>
      </c>
      <c r="B21" s="843" t="s">
        <v>45</v>
      </c>
      <c r="C21" s="60">
        <v>2839.7000000000003</v>
      </c>
      <c r="D21" s="61"/>
      <c r="E21" s="61">
        <v>2500</v>
      </c>
      <c r="F21" s="62">
        <v>63.6</v>
      </c>
      <c r="G21" s="925">
        <v>1663.1</v>
      </c>
      <c r="H21" s="66">
        <f>F21/E3</f>
        <v>0.44475524475524475</v>
      </c>
      <c r="I21" s="61">
        <f t="shared" si="0"/>
        <v>2776.1000000000004</v>
      </c>
      <c r="J21" s="66">
        <f>G21/F3</f>
        <v>0.38578056135467409</v>
      </c>
      <c r="K21" s="60">
        <v>271400</v>
      </c>
      <c r="L21" s="67">
        <f t="shared" si="1"/>
        <v>17261.04</v>
      </c>
      <c r="M21" s="67">
        <f t="shared" si="2"/>
        <v>451365.33999999997</v>
      </c>
      <c r="N21" s="67">
        <f>L21/E3</f>
        <v>120.70657342657343</v>
      </c>
      <c r="O21" s="68">
        <v>103.59390063944909</v>
      </c>
    </row>
    <row r="22" spans="1:15" ht="15.75">
      <c r="A22" s="69">
        <v>15</v>
      </c>
      <c r="B22" s="853" t="s">
        <v>46</v>
      </c>
      <c r="C22" s="71">
        <v>62</v>
      </c>
      <c r="D22" s="72"/>
      <c r="E22" s="72"/>
      <c r="F22" s="34">
        <v>0</v>
      </c>
      <c r="G22" s="35">
        <v>40</v>
      </c>
      <c r="H22" s="73">
        <f>F22/E3</f>
        <v>0</v>
      </c>
      <c r="I22" s="34">
        <f t="shared" si="0"/>
        <v>62</v>
      </c>
      <c r="J22" s="73">
        <f>G22/F3</f>
        <v>9.2785896543725356E-3</v>
      </c>
      <c r="K22" s="34">
        <v>41000</v>
      </c>
      <c r="L22" s="44">
        <f t="shared" si="1"/>
        <v>0</v>
      </c>
      <c r="M22" s="44">
        <f t="shared" si="2"/>
        <v>1640</v>
      </c>
      <c r="N22" s="74">
        <f>L22/E3</f>
        <v>0</v>
      </c>
      <c r="O22" s="75">
        <f>M22/F3</f>
        <v>0.38042217582927396</v>
      </c>
    </row>
    <row r="23" spans="1:15" ht="15.75">
      <c r="A23" s="69">
        <v>16</v>
      </c>
      <c r="B23" s="234" t="s">
        <v>47</v>
      </c>
      <c r="C23" s="71">
        <v>158.79999999999998</v>
      </c>
      <c r="D23" s="72"/>
      <c r="E23" s="72"/>
      <c r="F23" s="34">
        <v>14.4</v>
      </c>
      <c r="G23" s="63">
        <v>291.2</v>
      </c>
      <c r="H23" s="73">
        <f>F23/E3</f>
        <v>0.10069930069930071</v>
      </c>
      <c r="I23" s="34">
        <f t="shared" si="0"/>
        <v>144.39999999999998</v>
      </c>
      <c r="J23" s="73">
        <f>G23/F3</f>
        <v>6.7548132683832057E-2</v>
      </c>
      <c r="K23" s="34">
        <v>24000</v>
      </c>
      <c r="L23" s="44">
        <f t="shared" si="1"/>
        <v>345.59999999999997</v>
      </c>
      <c r="M23" s="44">
        <f t="shared" si="2"/>
        <v>6988.8</v>
      </c>
      <c r="N23" s="74">
        <f>L23/E3</f>
        <v>2.4167832167832164</v>
      </c>
      <c r="O23" s="75">
        <f>M23/F3</f>
        <v>1.6211551844119694</v>
      </c>
    </row>
    <row r="24" spans="1:15" ht="15.75">
      <c r="A24" s="69">
        <v>17</v>
      </c>
      <c r="B24" s="853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65</v>
      </c>
      <c r="D25" s="72"/>
      <c r="E25" s="34"/>
      <c r="F25" s="34">
        <v>5</v>
      </c>
      <c r="G25" s="35">
        <v>190</v>
      </c>
      <c r="H25" s="73">
        <f>F25/E3</f>
        <v>3.4965034965034968E-2</v>
      </c>
      <c r="I25" s="34">
        <f t="shared" si="0"/>
        <v>60</v>
      </c>
      <c r="J25" s="73">
        <f>G25/F3</f>
        <v>4.4073300858269542E-2</v>
      </c>
      <c r="K25" s="34">
        <v>14400</v>
      </c>
      <c r="L25" s="44">
        <f t="shared" si="1"/>
        <v>72</v>
      </c>
      <c r="M25" s="44">
        <f t="shared" si="2"/>
        <v>2736</v>
      </c>
      <c r="N25" s="74">
        <f>L25/E3</f>
        <v>0.50349650349650354</v>
      </c>
      <c r="O25" s="75">
        <f>M25/F3</f>
        <v>0.63465553235908145</v>
      </c>
    </row>
    <row r="26" spans="1:15" ht="15.75">
      <c r="A26" s="69">
        <v>19</v>
      </c>
      <c r="B26" s="853" t="s">
        <v>50</v>
      </c>
      <c r="C26" s="71">
        <v>93.4</v>
      </c>
      <c r="D26" s="34"/>
      <c r="E26" s="72"/>
      <c r="F26" s="34">
        <v>3.5</v>
      </c>
      <c r="G26" s="63">
        <v>117</v>
      </c>
      <c r="H26" s="73">
        <f>F26/E3</f>
        <v>2.4475524475524476E-2</v>
      </c>
      <c r="I26" s="34">
        <f t="shared" si="0"/>
        <v>89.9</v>
      </c>
      <c r="J26" s="73">
        <f>G26/F3</f>
        <v>2.7139874739039668E-2</v>
      </c>
      <c r="K26" s="34">
        <v>102000</v>
      </c>
      <c r="L26" s="44">
        <f t="shared" si="1"/>
        <v>357</v>
      </c>
      <c r="M26" s="44">
        <f t="shared" si="2"/>
        <v>11934</v>
      </c>
      <c r="N26" s="74">
        <f>L26/E3</f>
        <v>2.4965034965034967</v>
      </c>
      <c r="O26" s="75">
        <f>M26/F3</f>
        <v>2.768267223382046</v>
      </c>
    </row>
    <row r="27" spans="1:15" ht="15.75">
      <c r="A27" s="69">
        <v>20</v>
      </c>
      <c r="B27" s="853" t="s">
        <v>51</v>
      </c>
      <c r="C27" s="71">
        <v>35</v>
      </c>
      <c r="D27" s="72"/>
      <c r="E27" s="72"/>
      <c r="F27" s="34">
        <v>5</v>
      </c>
      <c r="G27" s="35">
        <v>150</v>
      </c>
      <c r="H27" s="73">
        <f>F27/E3</f>
        <v>3.4965034965034968E-2</v>
      </c>
      <c r="I27" s="34">
        <f t="shared" si="0"/>
        <v>30</v>
      </c>
      <c r="J27" s="73">
        <f>G27/F3</f>
        <v>3.4794711203897009E-2</v>
      </c>
      <c r="K27" s="34">
        <v>107000</v>
      </c>
      <c r="L27" s="44">
        <f t="shared" si="1"/>
        <v>535</v>
      </c>
      <c r="M27" s="44">
        <f t="shared" si="2"/>
        <v>16050</v>
      </c>
      <c r="N27" s="74">
        <f>L27/E3</f>
        <v>3.7412587412587412</v>
      </c>
      <c r="O27" s="75">
        <f>M27/F3</f>
        <v>3.7230340988169797</v>
      </c>
    </row>
    <row r="28" spans="1:15" ht="15.75">
      <c r="A28" s="69">
        <v>21</v>
      </c>
      <c r="B28" s="234" t="s">
        <v>52</v>
      </c>
      <c r="C28" s="71">
        <v>82</v>
      </c>
      <c r="D28" s="72"/>
      <c r="E28" s="72"/>
      <c r="F28" s="34">
        <v>3</v>
      </c>
      <c r="G28" s="35">
        <v>90</v>
      </c>
      <c r="H28" s="73">
        <f>F28/E3</f>
        <v>2.097902097902098E-2</v>
      </c>
      <c r="I28" s="34">
        <f t="shared" si="0"/>
        <v>79</v>
      </c>
      <c r="J28" s="73">
        <f>G28/F3</f>
        <v>2.0876826722338204E-2</v>
      </c>
      <c r="K28" s="34">
        <v>100000</v>
      </c>
      <c r="L28" s="44">
        <f t="shared" si="1"/>
        <v>300</v>
      </c>
      <c r="M28" s="44">
        <f t="shared" si="2"/>
        <v>9000</v>
      </c>
      <c r="N28" s="74">
        <f>L28/E3</f>
        <v>2.0979020979020979</v>
      </c>
      <c r="O28" s="75">
        <f>M28/F3</f>
        <v>2.0876826722338206</v>
      </c>
    </row>
    <row r="29" spans="1:15" ht="15.75">
      <c r="A29" s="69">
        <v>22</v>
      </c>
      <c r="B29" s="853" t="s">
        <v>53</v>
      </c>
      <c r="C29" s="71">
        <v>35</v>
      </c>
      <c r="D29" s="72"/>
      <c r="E29" s="72"/>
      <c r="F29" s="34">
        <v>1</v>
      </c>
      <c r="G29" s="35">
        <v>30</v>
      </c>
      <c r="H29" s="73">
        <f>F29/E3</f>
        <v>6.993006993006993E-3</v>
      </c>
      <c r="I29" s="34">
        <f t="shared" si="0"/>
        <v>34</v>
      </c>
      <c r="J29" s="73">
        <f>G29/F3</f>
        <v>6.9589422407794017E-3</v>
      </c>
      <c r="K29" s="34">
        <v>255000</v>
      </c>
      <c r="L29" s="44">
        <f t="shared" si="1"/>
        <v>255</v>
      </c>
      <c r="M29" s="44">
        <f t="shared" si="2"/>
        <v>7650</v>
      </c>
      <c r="N29" s="74">
        <f>L29/E3</f>
        <v>1.7832167832167831</v>
      </c>
      <c r="O29" s="76">
        <f>M29/F3</f>
        <v>1.7745302713987474</v>
      </c>
    </row>
    <row r="30" spans="1:15" ht="15.75">
      <c r="A30" s="69">
        <v>23</v>
      </c>
      <c r="B30" s="853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4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145">
        <f t="shared" si="1"/>
        <v>0</v>
      </c>
      <c r="M31" s="86">
        <f t="shared" si="2"/>
        <v>0</v>
      </c>
      <c r="N31" s="982">
        <f>L31/F3</f>
        <v>0</v>
      </c>
      <c r="O31" s="983">
        <f>M31/F3</f>
        <v>0</v>
      </c>
    </row>
    <row r="32" spans="1:15" ht="16.5" thickBot="1">
      <c r="A32" s="936" t="s">
        <v>56</v>
      </c>
      <c r="B32" s="972" t="s">
        <v>57</v>
      </c>
      <c r="C32" s="254" t="s">
        <v>58</v>
      </c>
      <c r="D32" s="1457" t="s">
        <v>59</v>
      </c>
      <c r="E32" s="1457"/>
      <c r="F32" s="1458"/>
      <c r="G32" s="936" t="s">
        <v>56</v>
      </c>
      <c r="H32" s="1511" t="s">
        <v>57</v>
      </c>
      <c r="I32" s="1512"/>
      <c r="J32" s="1513"/>
      <c r="K32" s="254" t="s">
        <v>58</v>
      </c>
      <c r="L32" s="973" t="s">
        <v>133</v>
      </c>
      <c r="M32" s="92" t="s">
        <v>60</v>
      </c>
      <c r="N32" s="984">
        <f>SUM(N8,N9,N10,N11,N12,N13,N14,N15,N16,N17,N18,N19,N20,N21,N22,N23,N24,N25,N26,N27,N28,N29,N30,N31)</f>
        <v>1322.593706293706</v>
      </c>
      <c r="O32" s="985">
        <f>SUM(O8,O9,O10,O11,O12,O13,O14,O15,O16,O17,O18,O19,O20,O21,O22,O23,O24,O25,O26,O27,O28,O29,O30,O31,)</f>
        <v>1473.7720977394222</v>
      </c>
    </row>
    <row r="33" spans="1:15" ht="16.5" thickBot="1">
      <c r="A33" s="33">
        <v>1</v>
      </c>
      <c r="B33" s="1015" t="s">
        <v>115</v>
      </c>
      <c r="C33" s="966">
        <v>45</v>
      </c>
      <c r="D33" s="1447"/>
      <c r="E33" s="1447"/>
      <c r="F33" s="955">
        <v>76</v>
      </c>
      <c r="G33" s="33"/>
      <c r="H33" s="1101"/>
      <c r="I33" s="1101"/>
      <c r="J33" s="1101"/>
      <c r="K33" s="33"/>
      <c r="L33" s="955"/>
      <c r="M33" s="1098"/>
      <c r="N33" s="974" t="s">
        <v>17</v>
      </c>
      <c r="O33" s="998" t="s">
        <v>17</v>
      </c>
    </row>
    <row r="34" spans="1:15" ht="15.75">
      <c r="A34" s="33">
        <v>2</v>
      </c>
      <c r="B34" s="1015" t="s">
        <v>121</v>
      </c>
      <c r="C34" s="966">
        <v>40</v>
      </c>
      <c r="D34" s="1096"/>
      <c r="E34" s="1096"/>
      <c r="F34" s="955">
        <v>67</v>
      </c>
      <c r="G34" s="33"/>
      <c r="H34" s="1101"/>
      <c r="I34" s="1101"/>
      <c r="J34" s="1101"/>
      <c r="K34" s="33"/>
      <c r="L34" s="955"/>
      <c r="M34" s="1099"/>
      <c r="N34" s="975" t="s">
        <v>25</v>
      </c>
      <c r="O34" s="978" t="s">
        <v>26</v>
      </c>
    </row>
    <row r="35" spans="1:15" ht="16.5" thickBot="1">
      <c r="A35" s="33"/>
      <c r="B35" s="33"/>
      <c r="C35" s="967"/>
      <c r="D35" s="1096"/>
      <c r="E35" s="1096"/>
      <c r="F35" s="956"/>
      <c r="G35" s="33"/>
      <c r="H35" s="1101"/>
      <c r="I35" s="1101"/>
      <c r="J35" s="1101"/>
      <c r="K35" s="34"/>
      <c r="L35" s="956"/>
      <c r="M35" s="1100"/>
      <c r="N35" s="976" t="s">
        <v>118</v>
      </c>
      <c r="O35" s="979" t="s">
        <v>118</v>
      </c>
    </row>
    <row r="36" spans="1:15" ht="20.25" thickBot="1">
      <c r="A36" s="33"/>
      <c r="B36" s="33"/>
      <c r="C36" s="968"/>
      <c r="D36" s="1096"/>
      <c r="E36" s="1096"/>
      <c r="F36" s="955"/>
      <c r="G36" s="33"/>
      <c r="H36" s="1101"/>
      <c r="I36" s="1101"/>
      <c r="J36" s="1101"/>
      <c r="K36" s="34"/>
      <c r="L36" s="955"/>
      <c r="M36" s="107" t="s">
        <v>60</v>
      </c>
      <c r="N36" s="986">
        <f>N32/1000</f>
        <v>1.3225937062937059</v>
      </c>
      <c r="O36" s="980">
        <f>O32/1000</f>
        <v>1.4737720977394222</v>
      </c>
    </row>
    <row r="37" spans="1:15" ht="21" thickTop="1" thickBot="1">
      <c r="A37" s="33"/>
      <c r="B37" s="33"/>
      <c r="C37" s="969"/>
      <c r="D37" s="1514"/>
      <c r="E37" s="1514"/>
      <c r="F37" s="957"/>
      <c r="G37" s="954"/>
      <c r="H37" s="1101"/>
      <c r="I37" s="1101"/>
      <c r="J37" s="1101"/>
      <c r="K37" s="954"/>
      <c r="L37" s="958"/>
      <c r="M37" s="1"/>
      <c r="N37" s="1"/>
      <c r="O37" s="1"/>
    </row>
    <row r="38" spans="1:15" ht="23.25" thickBot="1">
      <c r="A38" s="970">
        <v>3</v>
      </c>
      <c r="B38" s="971" t="s">
        <v>60</v>
      </c>
      <c r="C38" s="112">
        <f>SUM(C33:C37,K33:K37)</f>
        <v>85</v>
      </c>
      <c r="D38" s="1505">
        <f>SUM(F33:F37,L33:L37)</f>
        <v>143</v>
      </c>
      <c r="E38" s="1506"/>
      <c r="F38" s="1507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8:F38"/>
    <mergeCell ref="D33:E37"/>
    <mergeCell ref="H33:J33"/>
    <mergeCell ref="M33:M35"/>
    <mergeCell ref="H34:J34"/>
    <mergeCell ref="H35:J35"/>
    <mergeCell ref="H36:J36"/>
    <mergeCell ref="H37:J37"/>
  </mergeCells>
  <pageMargins left="0.11811023622047245" right="7.874015748031496E-2" top="0.74803149606299213" bottom="0.15748031496062992" header="7.874015748031496E-2" footer="7.874015748031496E-2"/>
  <pageSetup scale="80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38"/>
  <sheetViews>
    <sheetView topLeftCell="A20" workbookViewId="0">
      <selection activeCell="R38" sqref="R38"/>
    </sheetView>
  </sheetViews>
  <sheetFormatPr defaultRowHeight="15"/>
  <cols>
    <col min="2" max="2" width="27.85546875" customWidth="1"/>
    <col min="3" max="3" width="10.85546875" customWidth="1"/>
    <col min="8" max="8" width="11.28515625" customWidth="1"/>
    <col min="10" max="10" width="11.7109375" customWidth="1"/>
    <col min="12" max="12" width="11.28515625" customWidth="1"/>
    <col min="13" max="13" width="13.140625" customWidth="1"/>
  </cols>
  <sheetData>
    <row r="1" spans="1:15" ht="20.25" thickBot="1">
      <c r="A1" s="1118" t="s">
        <v>0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2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141</v>
      </c>
      <c r="F3" s="2">
        <v>4452</v>
      </c>
      <c r="G3" s="1493" t="s">
        <v>156</v>
      </c>
      <c r="H3" s="1494"/>
      <c r="I3" s="1497" t="s">
        <v>155</v>
      </c>
      <c r="J3" s="1130"/>
      <c r="K3" s="1130"/>
      <c r="L3" s="1130"/>
      <c r="M3" s="1130"/>
      <c r="N3" s="1130"/>
      <c r="O3" s="1131"/>
    </row>
    <row r="4" spans="1:15" ht="21.75" thickTop="1" thickBot="1">
      <c r="A4" s="1487" t="s">
        <v>5</v>
      </c>
      <c r="B4" s="1488"/>
      <c r="C4" s="1503" t="s">
        <v>6</v>
      </c>
      <c r="D4" s="1504"/>
      <c r="E4" s="5">
        <v>0</v>
      </c>
      <c r="F4" s="938">
        <v>464.5</v>
      </c>
      <c r="G4" s="1495" t="s">
        <v>113</v>
      </c>
      <c r="H4" s="1496"/>
      <c r="I4" s="1470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8" t="s">
        <v>9</v>
      </c>
      <c r="C5" s="8" t="s">
        <v>10</v>
      </c>
      <c r="D5" s="1498" t="s">
        <v>11</v>
      </c>
      <c r="E5" s="1515"/>
      <c r="F5" s="1152" t="s">
        <v>12</v>
      </c>
      <c r="G5" s="1152"/>
      <c r="H5" s="1002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8" t="s">
        <v>19</v>
      </c>
      <c r="C6" s="8" t="s">
        <v>20</v>
      </c>
      <c r="D6" s="790" t="s">
        <v>21</v>
      </c>
      <c r="E6" s="79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9650</v>
      </c>
      <c r="D8" s="23">
        <v>25000</v>
      </c>
      <c r="E8" s="22">
        <v>141000</v>
      </c>
      <c r="F8" s="22">
        <v>3350</v>
      </c>
      <c r="G8" s="24">
        <v>123100</v>
      </c>
      <c r="H8" s="25">
        <f>F8/E3</f>
        <v>23.75886524822695</v>
      </c>
      <c r="I8" s="22">
        <f t="shared" ref="I8:I31" si="0">(C8-F8)+D8</f>
        <v>31300</v>
      </c>
      <c r="J8" s="26">
        <f>G8/F3</f>
        <v>27.650494159928122</v>
      </c>
      <c r="K8" s="24">
        <v>36000</v>
      </c>
      <c r="L8" s="27">
        <f t="shared" ref="L8:L31" si="1">(F8/1000)*K8</f>
        <v>120600</v>
      </c>
      <c r="M8" s="28">
        <f t="shared" ref="M8:M31" si="2">(G8/1000)*K8</f>
        <v>4431600</v>
      </c>
      <c r="N8" s="29">
        <f>L8/E3</f>
        <v>855.31914893617022</v>
      </c>
      <c r="O8" s="30">
        <f>M8/F3</f>
        <v>995.41778975741238</v>
      </c>
    </row>
    <row r="9" spans="1:15" ht="15.75">
      <c r="A9" s="31">
        <v>2</v>
      </c>
      <c r="B9" s="817" t="s">
        <v>33</v>
      </c>
      <c r="C9" s="33">
        <v>2836</v>
      </c>
      <c r="D9" s="34"/>
      <c r="E9" s="33"/>
      <c r="F9" s="33">
        <v>253</v>
      </c>
      <c r="G9" s="35">
        <v>6417</v>
      </c>
      <c r="H9" s="36">
        <f>F9/E3</f>
        <v>1.7943262411347518</v>
      </c>
      <c r="I9" s="33">
        <f t="shared" si="0"/>
        <v>2583</v>
      </c>
      <c r="J9" s="37">
        <f>G9/F3</f>
        <v>1.4413746630727762</v>
      </c>
      <c r="K9" s="35">
        <v>33500</v>
      </c>
      <c r="L9" s="38">
        <f t="shared" si="1"/>
        <v>8475.5</v>
      </c>
      <c r="M9" s="38">
        <f t="shared" si="2"/>
        <v>214969.5</v>
      </c>
      <c r="N9" s="39">
        <f>L9/E3</f>
        <v>60.109929078014183</v>
      </c>
      <c r="O9" s="40">
        <f>M9/F3</f>
        <v>48.286051212938006</v>
      </c>
    </row>
    <row r="10" spans="1:15" ht="15.75">
      <c r="A10" s="31">
        <v>3</v>
      </c>
      <c r="B10" s="817" t="s">
        <v>34</v>
      </c>
      <c r="C10" s="33">
        <v>5082</v>
      </c>
      <c r="D10" s="34"/>
      <c r="E10" s="33"/>
      <c r="F10" s="33">
        <v>85</v>
      </c>
      <c r="G10" s="35">
        <v>1823</v>
      </c>
      <c r="H10" s="36">
        <f>F10/E3</f>
        <v>0.6028368794326241</v>
      </c>
      <c r="I10" s="33">
        <f t="shared" si="0"/>
        <v>4997</v>
      </c>
      <c r="J10" s="37">
        <f>G10/F3</f>
        <v>0.40947888589398024</v>
      </c>
      <c r="K10" s="35">
        <v>98000</v>
      </c>
      <c r="L10" s="38">
        <f t="shared" si="1"/>
        <v>8330</v>
      </c>
      <c r="M10" s="38">
        <f t="shared" si="2"/>
        <v>178654</v>
      </c>
      <c r="N10" s="39">
        <f>L10/E3</f>
        <v>59.078014184397162</v>
      </c>
      <c r="O10" s="40">
        <f>M10/F3</f>
        <v>40.128930817610062</v>
      </c>
    </row>
    <row r="11" spans="1:15" ht="15.75">
      <c r="A11" s="31">
        <v>4</v>
      </c>
      <c r="B11" s="817" t="s">
        <v>35</v>
      </c>
      <c r="C11" s="33">
        <v>19.470000000000013</v>
      </c>
      <c r="D11" s="34"/>
      <c r="E11" s="33"/>
      <c r="F11" s="33">
        <v>0</v>
      </c>
      <c r="G11" s="41">
        <v>2.0099999999999998</v>
      </c>
      <c r="H11" s="42">
        <f>F11/E3</f>
        <v>0</v>
      </c>
      <c r="I11" s="33">
        <f t="shared" si="0"/>
        <v>19.470000000000013</v>
      </c>
      <c r="J11" s="43">
        <f>G11/F3</f>
        <v>4.5148247978436654E-4</v>
      </c>
      <c r="K11" s="35">
        <v>750000</v>
      </c>
      <c r="L11" s="38">
        <f t="shared" si="1"/>
        <v>0</v>
      </c>
      <c r="M11" s="38">
        <f t="shared" si="2"/>
        <v>1507.4999999999998</v>
      </c>
      <c r="N11" s="39">
        <f>L11/E3</f>
        <v>0</v>
      </c>
      <c r="O11" s="40">
        <f>M11/F3</f>
        <v>0.33861185983827491</v>
      </c>
    </row>
    <row r="12" spans="1:15" ht="15.75">
      <c r="A12" s="31">
        <v>5</v>
      </c>
      <c r="B12" s="817" t="s">
        <v>36</v>
      </c>
      <c r="C12" s="33">
        <v>901.00000000000011</v>
      </c>
      <c r="D12" s="34"/>
      <c r="E12" s="33">
        <v>1000</v>
      </c>
      <c r="F12" s="33">
        <v>20.8</v>
      </c>
      <c r="G12" s="63">
        <v>619.79999999999995</v>
      </c>
      <c r="H12" s="36">
        <f>F12/E3</f>
        <v>0.14751773049645392</v>
      </c>
      <c r="I12" s="33">
        <f t="shared" si="0"/>
        <v>880.20000000000016</v>
      </c>
      <c r="J12" s="37">
        <f>G12/F3</f>
        <v>0.13921832884097035</v>
      </c>
      <c r="K12" s="35">
        <v>350000</v>
      </c>
      <c r="L12" s="38">
        <f t="shared" si="1"/>
        <v>7280</v>
      </c>
      <c r="M12" s="38">
        <f t="shared" si="2"/>
        <v>216929.99999999997</v>
      </c>
      <c r="N12" s="39">
        <f>L12/E3</f>
        <v>51.631205673758863</v>
      </c>
      <c r="O12" s="40">
        <f>M12/F3</f>
        <v>48.726415094339615</v>
      </c>
    </row>
    <row r="13" spans="1:15" ht="15.75">
      <c r="A13" s="31">
        <v>6</v>
      </c>
      <c r="B13" s="817" t="s">
        <v>37</v>
      </c>
      <c r="C13" s="33">
        <v>1021</v>
      </c>
      <c r="D13" s="34"/>
      <c r="E13" s="33"/>
      <c r="F13" s="159">
        <v>80</v>
      </c>
      <c r="G13" s="142">
        <v>1457</v>
      </c>
      <c r="H13" s="36">
        <f>F13/E3</f>
        <v>0.56737588652482274</v>
      </c>
      <c r="I13" s="33">
        <f t="shared" si="0"/>
        <v>941</v>
      </c>
      <c r="J13" s="37">
        <f>G13/F3</f>
        <v>0.32726864330637917</v>
      </c>
      <c r="K13" s="35">
        <v>204500</v>
      </c>
      <c r="L13" s="38">
        <f t="shared" si="1"/>
        <v>16360</v>
      </c>
      <c r="M13" s="38">
        <f t="shared" si="2"/>
        <v>297956.5</v>
      </c>
      <c r="N13" s="39">
        <f>L13/E3</f>
        <v>116.02836879432624</v>
      </c>
      <c r="O13" s="40">
        <f>M13/F3</f>
        <v>66.926437556154539</v>
      </c>
    </row>
    <row r="14" spans="1:15" ht="15.75">
      <c r="A14" s="31">
        <v>7</v>
      </c>
      <c r="B14" s="817" t="s">
        <v>38</v>
      </c>
      <c r="C14" s="33">
        <v>3269</v>
      </c>
      <c r="D14" s="34"/>
      <c r="E14" s="1016">
        <v>3000</v>
      </c>
      <c r="F14" s="33">
        <v>54</v>
      </c>
      <c r="G14" s="35">
        <v>1535</v>
      </c>
      <c r="H14" s="1017">
        <f>F14/E3</f>
        <v>0.38297872340425532</v>
      </c>
      <c r="I14" s="33">
        <f t="shared" si="0"/>
        <v>3215</v>
      </c>
      <c r="J14" s="37">
        <f>G14/F3</f>
        <v>0.34478885893980232</v>
      </c>
      <c r="K14" s="35">
        <v>129500</v>
      </c>
      <c r="L14" s="38">
        <f t="shared" si="1"/>
        <v>6993</v>
      </c>
      <c r="M14" s="38">
        <f t="shared" si="2"/>
        <v>198782.5</v>
      </c>
      <c r="N14" s="39">
        <f>L14/E3</f>
        <v>49.595744680851062</v>
      </c>
      <c r="O14" s="40">
        <f>M14/F3</f>
        <v>44.650157232704402</v>
      </c>
    </row>
    <row r="15" spans="1:15" ht="15.75">
      <c r="A15" s="31">
        <v>8</v>
      </c>
      <c r="B15" s="817" t="s">
        <v>39</v>
      </c>
      <c r="C15" s="33">
        <v>929</v>
      </c>
      <c r="D15" s="33"/>
      <c r="E15" s="33">
        <v>500</v>
      </c>
      <c r="F15" s="1018">
        <v>20</v>
      </c>
      <c r="G15" s="1019">
        <v>576</v>
      </c>
      <c r="H15" s="36">
        <f>F15/E3</f>
        <v>0.14184397163120568</v>
      </c>
      <c r="I15" s="33">
        <f t="shared" si="0"/>
        <v>909</v>
      </c>
      <c r="J15" s="37">
        <f>G15/F3</f>
        <v>0.1293800539083558</v>
      </c>
      <c r="K15" s="35">
        <v>219500</v>
      </c>
      <c r="L15" s="38">
        <f t="shared" si="1"/>
        <v>4390</v>
      </c>
      <c r="M15" s="38">
        <f t="shared" si="2"/>
        <v>126431.99999999999</v>
      </c>
      <c r="N15" s="39">
        <f>L15/E3</f>
        <v>31.134751773049647</v>
      </c>
      <c r="O15" s="40">
        <f>M15/F3</f>
        <v>28.398921832884092</v>
      </c>
    </row>
    <row r="16" spans="1:15" ht="15.75">
      <c r="A16" s="31">
        <v>9</v>
      </c>
      <c r="B16" s="817" t="s">
        <v>40</v>
      </c>
      <c r="C16" s="33">
        <v>19</v>
      </c>
      <c r="D16" s="34"/>
      <c r="E16" s="33"/>
      <c r="F16" s="33">
        <v>0</v>
      </c>
      <c r="G16" s="35">
        <v>1</v>
      </c>
      <c r="H16" s="36">
        <f>F16/E3</f>
        <v>0</v>
      </c>
      <c r="I16" s="33">
        <f t="shared" si="0"/>
        <v>19</v>
      </c>
      <c r="J16" s="37">
        <f>G16/F3</f>
        <v>2.2461814914645105E-4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7.821203953279425E-2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994">
        <f>'16-07-26'!G20+'17-07-26'!F17</f>
        <v>1450</v>
      </c>
      <c r="H17" s="995">
        <f>F17/E3</f>
        <v>0</v>
      </c>
      <c r="I17" s="993">
        <f t="shared" si="0"/>
        <v>2500</v>
      </c>
      <c r="J17" s="995">
        <f>G17/F3</f>
        <v>0.32569631626235401</v>
      </c>
      <c r="K17" s="994">
        <v>172000</v>
      </c>
      <c r="L17" s="996">
        <f t="shared" si="1"/>
        <v>0</v>
      </c>
      <c r="M17" s="996">
        <f t="shared" si="2"/>
        <v>249400</v>
      </c>
      <c r="N17" s="996">
        <f>L17/E3</f>
        <v>0</v>
      </c>
      <c r="O17" s="997">
        <f>M17/F3</f>
        <v>56.01976639712489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209.8</v>
      </c>
      <c r="D19" s="61"/>
      <c r="E19" s="61">
        <v>250</v>
      </c>
      <c r="F19" s="62">
        <v>6.7</v>
      </c>
      <c r="G19" s="925">
        <v>209.4</v>
      </c>
      <c r="H19" s="64">
        <f>F19/E3</f>
        <v>4.75177304964539E-2</v>
      </c>
      <c r="I19" s="65">
        <f t="shared" si="0"/>
        <v>203.10000000000002</v>
      </c>
      <c r="J19" s="66">
        <f>G19/F3</f>
        <v>4.7035040431266849E-2</v>
      </c>
      <c r="K19" s="60">
        <v>377600</v>
      </c>
      <c r="L19" s="67">
        <f t="shared" si="1"/>
        <v>2529.92</v>
      </c>
      <c r="M19" s="67">
        <f t="shared" si="2"/>
        <v>79069.440000000002</v>
      </c>
      <c r="N19" s="67">
        <f>L19/E3</f>
        <v>17.942695035460993</v>
      </c>
      <c r="O19" s="68">
        <v>17.505558288243975</v>
      </c>
    </row>
    <row r="20" spans="1:15" ht="15.75">
      <c r="A20" s="58">
        <v>13</v>
      </c>
      <c r="B20" s="843" t="s">
        <v>44</v>
      </c>
      <c r="C20" s="60">
        <v>217.59999999999997</v>
      </c>
      <c r="D20" s="61"/>
      <c r="E20" s="61">
        <v>200</v>
      </c>
      <c r="F20" s="62">
        <v>4.7</v>
      </c>
      <c r="G20" s="925">
        <v>121.2</v>
      </c>
      <c r="H20" s="66">
        <f>F20/E3</f>
        <v>3.3333333333333333E-2</v>
      </c>
      <c r="I20" s="60">
        <f t="shared" si="0"/>
        <v>212.89999999999998</v>
      </c>
      <c r="J20" s="66">
        <f>G20/F3</f>
        <v>2.7223719676549865E-2</v>
      </c>
      <c r="K20" s="60">
        <v>271400</v>
      </c>
      <c r="L20" s="67">
        <f t="shared" si="1"/>
        <v>1275.5800000000002</v>
      </c>
      <c r="M20" s="67">
        <f t="shared" si="2"/>
        <v>32893.68</v>
      </c>
      <c r="N20" s="67">
        <f>L20/E3</f>
        <v>9.0466666666666686</v>
      </c>
      <c r="O20" s="68">
        <v>7.2422282341367437</v>
      </c>
    </row>
    <row r="21" spans="1:15" ht="15.75">
      <c r="A21" s="58">
        <v>14</v>
      </c>
      <c r="B21" s="843" t="s">
        <v>45</v>
      </c>
      <c r="C21" s="60">
        <v>2776.1000000000004</v>
      </c>
      <c r="D21" s="61"/>
      <c r="E21" s="61">
        <v>2500</v>
      </c>
      <c r="F21" s="62">
        <v>58</v>
      </c>
      <c r="G21" s="925">
        <v>1721.1</v>
      </c>
      <c r="H21" s="66">
        <f>F21/E3</f>
        <v>0.41134751773049644</v>
      </c>
      <c r="I21" s="61">
        <f t="shared" si="0"/>
        <v>2718.1000000000004</v>
      </c>
      <c r="J21" s="66">
        <f>G21/F3</f>
        <v>0.38659029649595683</v>
      </c>
      <c r="K21" s="60">
        <v>271400</v>
      </c>
      <c r="L21" s="67">
        <f t="shared" si="1"/>
        <v>15741.2</v>
      </c>
      <c r="M21" s="67">
        <f t="shared" si="2"/>
        <v>467106.54</v>
      </c>
      <c r="N21" s="67">
        <f>L21/E3</f>
        <v>111.63971631205675</v>
      </c>
      <c r="O21" s="68">
        <v>103.59390063944909</v>
      </c>
    </row>
    <row r="22" spans="1:15" ht="15.75">
      <c r="A22" s="69">
        <v>15</v>
      </c>
      <c r="B22" s="853" t="s">
        <v>46</v>
      </c>
      <c r="C22" s="71">
        <v>62</v>
      </c>
      <c r="D22" s="72"/>
      <c r="E22" s="72"/>
      <c r="F22" s="34">
        <v>0</v>
      </c>
      <c r="G22" s="35">
        <v>40</v>
      </c>
      <c r="H22" s="73">
        <f>F22/E3</f>
        <v>0</v>
      </c>
      <c r="I22" s="34">
        <f t="shared" si="0"/>
        <v>62</v>
      </c>
      <c r="J22" s="73">
        <f>G22/F3</f>
        <v>8.9847259658580418E-3</v>
      </c>
      <c r="K22" s="34">
        <v>41000</v>
      </c>
      <c r="L22" s="44">
        <f t="shared" si="1"/>
        <v>0</v>
      </c>
      <c r="M22" s="44">
        <f t="shared" si="2"/>
        <v>1640</v>
      </c>
      <c r="N22" s="74">
        <f>L22/E3</f>
        <v>0</v>
      </c>
      <c r="O22" s="75">
        <f>M22/F3</f>
        <v>0.36837376460017968</v>
      </c>
    </row>
    <row r="23" spans="1:15" ht="15.75">
      <c r="A23" s="69">
        <v>16</v>
      </c>
      <c r="B23" s="234" t="s">
        <v>47</v>
      </c>
      <c r="C23" s="71">
        <v>144.39999999999998</v>
      </c>
      <c r="D23" s="72"/>
      <c r="E23" s="34">
        <v>500</v>
      </c>
      <c r="F23" s="34">
        <v>14.4</v>
      </c>
      <c r="G23" s="63">
        <v>305.60000000000002</v>
      </c>
      <c r="H23" s="73">
        <f>F23/E3</f>
        <v>0.10212765957446809</v>
      </c>
      <c r="I23" s="34">
        <f t="shared" si="0"/>
        <v>129.99999999999997</v>
      </c>
      <c r="J23" s="73">
        <f>G23/F3</f>
        <v>6.8643306379155444E-2</v>
      </c>
      <c r="K23" s="34">
        <v>24000</v>
      </c>
      <c r="L23" s="44">
        <f t="shared" si="1"/>
        <v>345.59999999999997</v>
      </c>
      <c r="M23" s="44">
        <f t="shared" si="2"/>
        <v>7334.4000000000005</v>
      </c>
      <c r="N23" s="74">
        <f>L23/E3</f>
        <v>2.4510638297872336</v>
      </c>
      <c r="O23" s="75">
        <f>M23/F3</f>
        <v>1.6474393530997307</v>
      </c>
    </row>
    <row r="24" spans="1:15" ht="15.75">
      <c r="A24" s="69">
        <v>17</v>
      </c>
      <c r="B24" s="853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60</v>
      </c>
      <c r="D25" s="72"/>
      <c r="E25" s="34"/>
      <c r="F25" s="34">
        <v>5</v>
      </c>
      <c r="G25" s="35">
        <v>195</v>
      </c>
      <c r="H25" s="73">
        <f>F25/E3</f>
        <v>3.5460992907801421E-2</v>
      </c>
      <c r="I25" s="34">
        <f t="shared" si="0"/>
        <v>55</v>
      </c>
      <c r="J25" s="73">
        <f>G25/F3</f>
        <v>4.3800539083557952E-2</v>
      </c>
      <c r="K25" s="34">
        <v>14400</v>
      </c>
      <c r="L25" s="44">
        <f t="shared" si="1"/>
        <v>72</v>
      </c>
      <c r="M25" s="44">
        <f t="shared" si="2"/>
        <v>2808</v>
      </c>
      <c r="N25" s="74">
        <f>L25/E3</f>
        <v>0.51063829787234039</v>
      </c>
      <c r="O25" s="75">
        <f>M25/F3</f>
        <v>0.6307277628032345</v>
      </c>
    </row>
    <row r="26" spans="1:15" ht="15.75">
      <c r="A26" s="69">
        <v>19</v>
      </c>
      <c r="B26" s="853" t="s">
        <v>50</v>
      </c>
      <c r="C26" s="71">
        <v>89.9</v>
      </c>
      <c r="D26" s="34"/>
      <c r="E26" s="72"/>
      <c r="F26" s="34">
        <v>4.5</v>
      </c>
      <c r="G26" s="63">
        <v>121.5</v>
      </c>
      <c r="H26" s="73">
        <f>F26/E3</f>
        <v>3.1914893617021274E-2</v>
      </c>
      <c r="I26" s="34">
        <f t="shared" si="0"/>
        <v>85.4</v>
      </c>
      <c r="J26" s="73">
        <f>G26/F3</f>
        <v>2.7291105121293801E-2</v>
      </c>
      <c r="K26" s="34">
        <v>102000</v>
      </c>
      <c r="L26" s="44">
        <f t="shared" si="1"/>
        <v>458.99999999999994</v>
      </c>
      <c r="M26" s="44">
        <f t="shared" si="2"/>
        <v>12393</v>
      </c>
      <c r="N26" s="74">
        <f>L26/E3</f>
        <v>3.2553191489361697</v>
      </c>
      <c r="O26" s="75">
        <f>M26/F3</f>
        <v>2.7836927223719679</v>
      </c>
    </row>
    <row r="27" spans="1:15" ht="15.75">
      <c r="A27" s="69">
        <v>20</v>
      </c>
      <c r="B27" s="853" t="s">
        <v>51</v>
      </c>
      <c r="C27" s="71">
        <v>30</v>
      </c>
      <c r="D27" s="72"/>
      <c r="E27" s="72"/>
      <c r="F27" s="34">
        <v>5</v>
      </c>
      <c r="G27" s="35">
        <v>153</v>
      </c>
      <c r="H27" s="73">
        <f>F27/E3</f>
        <v>3.5460992907801421E-2</v>
      </c>
      <c r="I27" s="34">
        <f t="shared" si="0"/>
        <v>25</v>
      </c>
      <c r="J27" s="73">
        <f>G27/F3</f>
        <v>3.436657681940701E-2</v>
      </c>
      <c r="K27" s="34">
        <v>107000</v>
      </c>
      <c r="L27" s="44">
        <f t="shared" si="1"/>
        <v>535</v>
      </c>
      <c r="M27" s="44">
        <f t="shared" si="2"/>
        <v>16371</v>
      </c>
      <c r="N27" s="74">
        <f>L27/E3</f>
        <v>3.7943262411347516</v>
      </c>
      <c r="O27" s="75">
        <f>M27/F3</f>
        <v>3.67722371967655</v>
      </c>
    </row>
    <row r="28" spans="1:15" ht="15.75">
      <c r="A28" s="69">
        <v>21</v>
      </c>
      <c r="B28" s="234" t="s">
        <v>52</v>
      </c>
      <c r="C28" s="71">
        <v>79</v>
      </c>
      <c r="D28" s="72"/>
      <c r="E28" s="72"/>
      <c r="F28" s="34">
        <v>3</v>
      </c>
      <c r="G28" s="35">
        <v>93</v>
      </c>
      <c r="H28" s="73">
        <f>F28/E3</f>
        <v>2.1276595744680851E-2</v>
      </c>
      <c r="I28" s="34">
        <f t="shared" si="0"/>
        <v>76</v>
      </c>
      <c r="J28" s="73">
        <f>G28/F3</f>
        <v>2.0889487870619946E-2</v>
      </c>
      <c r="K28" s="34">
        <v>100000</v>
      </c>
      <c r="L28" s="44">
        <f t="shared" si="1"/>
        <v>300</v>
      </c>
      <c r="M28" s="44">
        <f t="shared" si="2"/>
        <v>9300</v>
      </c>
      <c r="N28" s="74">
        <f>L28/E3</f>
        <v>2.1276595744680851</v>
      </c>
      <c r="O28" s="75">
        <f>M28/F3</f>
        <v>2.0889487870619945</v>
      </c>
    </row>
    <row r="29" spans="1:15" ht="15.75">
      <c r="A29" s="69">
        <v>22</v>
      </c>
      <c r="B29" s="853" t="s">
        <v>53</v>
      </c>
      <c r="C29" s="71">
        <v>34</v>
      </c>
      <c r="D29" s="72"/>
      <c r="E29" s="72"/>
      <c r="F29" s="34">
        <v>1</v>
      </c>
      <c r="G29" s="35">
        <v>31</v>
      </c>
      <c r="H29" s="73">
        <f>F29/E3</f>
        <v>7.0921985815602835E-3</v>
      </c>
      <c r="I29" s="34">
        <f t="shared" si="0"/>
        <v>33</v>
      </c>
      <c r="J29" s="73">
        <f>G29/F3</f>
        <v>6.963162623539982E-3</v>
      </c>
      <c r="K29" s="34">
        <v>255000</v>
      </c>
      <c r="L29" s="44">
        <f t="shared" si="1"/>
        <v>255</v>
      </c>
      <c r="M29" s="44">
        <f t="shared" si="2"/>
        <v>7905</v>
      </c>
      <c r="N29" s="74">
        <f>L29/E3</f>
        <v>1.8085106382978724</v>
      </c>
      <c r="O29" s="76">
        <f>M29/F3</f>
        <v>1.7756064690026954</v>
      </c>
    </row>
    <row r="30" spans="1:15" ht="15.75">
      <c r="A30" s="69">
        <v>23</v>
      </c>
      <c r="B30" s="853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4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145">
        <f t="shared" si="1"/>
        <v>0</v>
      </c>
      <c r="M31" s="86">
        <f t="shared" si="2"/>
        <v>0</v>
      </c>
      <c r="N31" s="982">
        <f>L31/F3</f>
        <v>0</v>
      </c>
      <c r="O31" s="983">
        <f>M31/F3</f>
        <v>0</v>
      </c>
    </row>
    <row r="32" spans="1:15" ht="16.5" thickBot="1">
      <c r="A32" s="936" t="s">
        <v>56</v>
      </c>
      <c r="B32" s="972" t="s">
        <v>57</v>
      </c>
      <c r="C32" s="254" t="s">
        <v>58</v>
      </c>
      <c r="D32" s="1457" t="s">
        <v>59</v>
      </c>
      <c r="E32" s="1457"/>
      <c r="F32" s="1458"/>
      <c r="G32" s="936" t="s">
        <v>56</v>
      </c>
      <c r="H32" s="1511" t="s">
        <v>57</v>
      </c>
      <c r="I32" s="1512"/>
      <c r="J32" s="1513"/>
      <c r="K32" s="254" t="s">
        <v>58</v>
      </c>
      <c r="L32" s="973" t="s">
        <v>133</v>
      </c>
      <c r="M32" s="92" t="s">
        <v>60</v>
      </c>
      <c r="N32" s="984">
        <f>SUM(N8,N9,N10,N11,N12,N13,N14,N15,N16,N17,N18,N19,N20,N21,N22,N23,N24,N25,N26,N27,N28,N29,N30,N31)</f>
        <v>1375.4737588652481</v>
      </c>
      <c r="O32" s="985">
        <f>SUM(O8,O9,O10,O11,O12,O13,O14,O15,O16,O17,O18,O19,O20,O21,O22,O23,O24,O25,O26,O27,O28,O29,O30,O31,)</f>
        <v>1470.2849935409856</v>
      </c>
    </row>
    <row r="33" spans="1:15" ht="16.5" thickBot="1">
      <c r="A33" s="33">
        <v>1</v>
      </c>
      <c r="B33" s="1015" t="s">
        <v>115</v>
      </c>
      <c r="C33" s="966">
        <v>9</v>
      </c>
      <c r="D33" s="1447"/>
      <c r="E33" s="1447"/>
      <c r="F33" s="955">
        <v>15</v>
      </c>
      <c r="G33" s="33"/>
      <c r="H33" s="1101"/>
      <c r="I33" s="1101"/>
      <c r="J33" s="1101"/>
      <c r="K33" s="33"/>
      <c r="L33" s="955"/>
      <c r="M33" s="1098"/>
      <c r="N33" s="974" t="s">
        <v>17</v>
      </c>
      <c r="O33" s="998" t="s">
        <v>17</v>
      </c>
    </row>
    <row r="34" spans="1:15" ht="15.75">
      <c r="A34" s="33">
        <v>2</v>
      </c>
      <c r="B34" s="1015" t="s">
        <v>121</v>
      </c>
      <c r="C34" s="966">
        <v>76</v>
      </c>
      <c r="D34" s="1096"/>
      <c r="E34" s="1096"/>
      <c r="F34" s="955">
        <v>126</v>
      </c>
      <c r="G34" s="33"/>
      <c r="H34" s="1101"/>
      <c r="I34" s="1101"/>
      <c r="J34" s="1101"/>
      <c r="K34" s="33"/>
      <c r="L34" s="955"/>
      <c r="M34" s="1099"/>
      <c r="N34" s="975" t="s">
        <v>25</v>
      </c>
      <c r="O34" s="978" t="s">
        <v>26</v>
      </c>
    </row>
    <row r="35" spans="1:15" ht="16.5" thickBot="1">
      <c r="A35" s="33"/>
      <c r="B35" s="33"/>
      <c r="C35" s="967"/>
      <c r="D35" s="1096"/>
      <c r="E35" s="1096"/>
      <c r="F35" s="956"/>
      <c r="G35" s="33"/>
      <c r="H35" s="1101"/>
      <c r="I35" s="1101"/>
      <c r="J35" s="1101"/>
      <c r="K35" s="34"/>
      <c r="L35" s="956"/>
      <c r="M35" s="1100"/>
      <c r="N35" s="976" t="s">
        <v>118</v>
      </c>
      <c r="O35" s="979" t="s">
        <v>118</v>
      </c>
    </row>
    <row r="36" spans="1:15" ht="20.25" thickBot="1">
      <c r="A36" s="33"/>
      <c r="B36" s="33"/>
      <c r="C36" s="968"/>
      <c r="D36" s="1096"/>
      <c r="E36" s="1096"/>
      <c r="F36" s="955"/>
      <c r="G36" s="33"/>
      <c r="H36" s="1101"/>
      <c r="I36" s="1101"/>
      <c r="J36" s="1101"/>
      <c r="K36" s="34"/>
      <c r="L36" s="955"/>
      <c r="M36" s="107" t="s">
        <v>60</v>
      </c>
      <c r="N36" s="986">
        <f>N32/1000</f>
        <v>1.3754737588652481</v>
      </c>
      <c r="O36" s="980">
        <f>O32/1000</f>
        <v>1.4702849935409856</v>
      </c>
    </row>
    <row r="37" spans="1:15" ht="21" thickTop="1" thickBot="1">
      <c r="A37" s="33"/>
      <c r="B37" s="33"/>
      <c r="C37" s="969"/>
      <c r="D37" s="1514"/>
      <c r="E37" s="1514"/>
      <c r="F37" s="957"/>
      <c r="G37" s="954"/>
      <c r="H37" s="1101"/>
      <c r="I37" s="1101"/>
      <c r="J37" s="1101"/>
      <c r="K37" s="954"/>
      <c r="L37" s="958"/>
      <c r="M37" s="1"/>
      <c r="N37" s="1"/>
      <c r="O37" s="1"/>
    </row>
    <row r="38" spans="1:15" ht="23.25" thickBot="1">
      <c r="A38" s="970">
        <v>3</v>
      </c>
      <c r="B38" s="971" t="s">
        <v>60</v>
      </c>
      <c r="C38" s="112">
        <f>SUM(C33:C37,K33:K37)</f>
        <v>85</v>
      </c>
      <c r="D38" s="1505">
        <f>SUM(F33:F37,L33:L37)</f>
        <v>141</v>
      </c>
      <c r="E38" s="1506"/>
      <c r="F38" s="1507"/>
    </row>
  </sheetData>
  <mergeCells count="22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38"/>
  <sheetViews>
    <sheetView topLeftCell="A17" workbookViewId="0">
      <selection activeCell="H37" sqref="H37:J37"/>
    </sheetView>
  </sheetViews>
  <sheetFormatPr defaultRowHeight="15"/>
  <cols>
    <col min="1" max="1" width="4.42578125" customWidth="1"/>
    <col min="2" max="2" width="26.85546875" customWidth="1"/>
    <col min="3" max="3" width="9.85546875" customWidth="1"/>
    <col min="8" max="8" width="11.85546875" customWidth="1"/>
    <col min="10" max="10" width="13.28515625" customWidth="1"/>
    <col min="12" max="12" width="12.7109375" customWidth="1"/>
    <col min="13" max="13" width="12.5703125" customWidth="1"/>
    <col min="15" max="15" width="11.140625" customWidth="1"/>
  </cols>
  <sheetData>
    <row r="1" spans="1:18" ht="20.25" thickBot="1">
      <c r="A1" s="1118" t="s">
        <v>0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2"/>
    </row>
    <row r="2" spans="1:18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8" ht="20.25" thickBot="1">
      <c r="A3" s="1124" t="s">
        <v>2</v>
      </c>
      <c r="B3" s="1125"/>
      <c r="C3" s="1125"/>
      <c r="D3" s="1126"/>
      <c r="E3" s="3">
        <v>159</v>
      </c>
      <c r="F3" s="3">
        <v>159</v>
      </c>
      <c r="G3" s="1516" t="s">
        <v>161</v>
      </c>
      <c r="H3" s="1517"/>
      <c r="I3" s="1497" t="s">
        <v>160</v>
      </c>
      <c r="J3" s="1130"/>
      <c r="K3" s="1130"/>
      <c r="L3" s="1130"/>
      <c r="M3" s="1130"/>
      <c r="N3" s="1130"/>
      <c r="O3" s="1131"/>
    </row>
    <row r="4" spans="1:18" ht="21.75" thickTop="1" thickBot="1">
      <c r="A4" s="1487" t="s">
        <v>5</v>
      </c>
      <c r="B4" s="1488"/>
      <c r="C4" s="1503" t="s">
        <v>6</v>
      </c>
      <c r="D4" s="1504"/>
      <c r="E4" s="5"/>
      <c r="F4" s="938"/>
      <c r="G4" s="1503" t="s">
        <v>157</v>
      </c>
      <c r="H4" s="1504"/>
      <c r="I4" s="1470"/>
      <c r="J4" s="1132"/>
      <c r="K4" s="1132"/>
      <c r="L4" s="1132"/>
      <c r="M4" s="1132"/>
      <c r="N4" s="1132"/>
      <c r="O4" s="1133"/>
    </row>
    <row r="5" spans="1:18" ht="17.25" thickTop="1" thickBot="1">
      <c r="A5" s="964" t="s">
        <v>8</v>
      </c>
      <c r="B5" s="8" t="s">
        <v>9</v>
      </c>
      <c r="C5" s="8" t="s">
        <v>10</v>
      </c>
      <c r="D5" s="1498" t="s">
        <v>11</v>
      </c>
      <c r="E5" s="1515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8" ht="16.5" thickTop="1">
      <c r="A6" s="964" t="s">
        <v>18</v>
      </c>
      <c r="B6" s="8" t="s">
        <v>19</v>
      </c>
      <c r="C6" s="8" t="s">
        <v>20</v>
      </c>
      <c r="D6" s="790" t="s">
        <v>21</v>
      </c>
      <c r="E6" s="79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8" ht="19.5" customHeight="1" thickBot="1">
      <c r="A7" s="965"/>
      <c r="B7" s="8"/>
      <c r="C7" s="8" t="s">
        <v>27</v>
      </c>
      <c r="D7" s="8" t="s">
        <v>27</v>
      </c>
      <c r="E7" s="8" t="s">
        <v>27</v>
      </c>
      <c r="F7" s="18" t="s">
        <v>27</v>
      </c>
      <c r="G7" s="18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  <c r="Q7" s="1020"/>
      <c r="R7" s="1020"/>
    </row>
    <row r="8" spans="1:18" ht="18.75" customHeight="1">
      <c r="A8" s="20">
        <v>1</v>
      </c>
      <c r="B8" s="933" t="s">
        <v>32</v>
      </c>
      <c r="C8" s="22">
        <v>31300</v>
      </c>
      <c r="D8" s="23"/>
      <c r="E8" s="22"/>
      <c r="F8" s="22">
        <v>4000</v>
      </c>
      <c r="G8" s="24">
        <v>4000</v>
      </c>
      <c r="H8" s="25">
        <f>F8/E3</f>
        <v>25.157232704402517</v>
      </c>
      <c r="I8" s="22">
        <f t="shared" ref="I8:I31" si="0">(C8-F8)+D8</f>
        <v>27300</v>
      </c>
      <c r="J8" s="26">
        <f>G8/F3</f>
        <v>25.157232704402517</v>
      </c>
      <c r="K8" s="24">
        <v>36000</v>
      </c>
      <c r="L8" s="27">
        <f t="shared" ref="L8:L31" si="1">(F8/1000)*K8</f>
        <v>144000</v>
      </c>
      <c r="M8" s="28">
        <f t="shared" ref="M8:M31" si="2">(G8/1000)*K8</f>
        <v>144000</v>
      </c>
      <c r="N8" s="29">
        <f>L8/E3</f>
        <v>905.66037735849056</v>
      </c>
      <c r="O8" s="30">
        <f>M8/F3</f>
        <v>905.66037735849056</v>
      </c>
      <c r="Q8" s="1020"/>
      <c r="R8" s="1020"/>
    </row>
    <row r="9" spans="1:18" ht="15.75">
      <c r="A9" s="31">
        <v>2</v>
      </c>
      <c r="B9" s="817" t="s">
        <v>33</v>
      </c>
      <c r="C9" s="33">
        <v>2583</v>
      </c>
      <c r="D9" s="34"/>
      <c r="E9" s="33"/>
      <c r="F9" s="33">
        <v>245</v>
      </c>
      <c r="G9" s="35">
        <v>245</v>
      </c>
      <c r="H9" s="36">
        <f>F9/E3</f>
        <v>1.5408805031446542</v>
      </c>
      <c r="I9" s="33">
        <f t="shared" si="0"/>
        <v>2338</v>
      </c>
      <c r="J9" s="37">
        <f>G9/F3</f>
        <v>1.5408805031446542</v>
      </c>
      <c r="K9" s="35">
        <v>33500</v>
      </c>
      <c r="L9" s="38">
        <f t="shared" si="1"/>
        <v>8207.5</v>
      </c>
      <c r="M9" s="38">
        <f t="shared" si="2"/>
        <v>8207.5</v>
      </c>
      <c r="N9" s="39">
        <f>L9/E3</f>
        <v>51.619496855345915</v>
      </c>
      <c r="O9" s="40">
        <f>M9/F3</f>
        <v>51.619496855345915</v>
      </c>
    </row>
    <row r="10" spans="1:18" ht="15.75">
      <c r="A10" s="31">
        <v>3</v>
      </c>
      <c r="B10" s="817" t="s">
        <v>34</v>
      </c>
      <c r="C10" s="33">
        <v>4997</v>
      </c>
      <c r="D10" s="34"/>
      <c r="E10" s="33"/>
      <c r="F10" s="33">
        <v>89</v>
      </c>
      <c r="G10" s="35">
        <v>89</v>
      </c>
      <c r="H10" s="36">
        <f>F10/E3</f>
        <v>0.55974842767295596</v>
      </c>
      <c r="I10" s="33">
        <f t="shared" si="0"/>
        <v>4908</v>
      </c>
      <c r="J10" s="37">
        <f>G10/F3</f>
        <v>0.55974842767295596</v>
      </c>
      <c r="K10" s="35">
        <v>98000</v>
      </c>
      <c r="L10" s="38">
        <f t="shared" si="1"/>
        <v>8722</v>
      </c>
      <c r="M10" s="38">
        <f t="shared" si="2"/>
        <v>8722</v>
      </c>
      <c r="N10" s="39">
        <f>L10/E3</f>
        <v>54.855345911949684</v>
      </c>
      <c r="O10" s="40">
        <f>M10/F3</f>
        <v>54.855345911949684</v>
      </c>
    </row>
    <row r="11" spans="1:18" ht="15.75">
      <c r="A11" s="31">
        <v>4</v>
      </c>
      <c r="B11" s="817" t="s">
        <v>35</v>
      </c>
      <c r="C11" s="33">
        <v>19.470000000000013</v>
      </c>
      <c r="D11" s="34"/>
      <c r="E11" s="33"/>
      <c r="F11" s="33">
        <v>0.08</v>
      </c>
      <c r="G11" s="41">
        <v>0.08</v>
      </c>
      <c r="H11" s="42">
        <f>F11/E3</f>
        <v>5.0314465408805029E-4</v>
      </c>
      <c r="I11" s="33">
        <f t="shared" si="0"/>
        <v>19.390000000000015</v>
      </c>
      <c r="J11" s="43">
        <f>G11/F3</f>
        <v>5.0314465408805029E-4</v>
      </c>
      <c r="K11" s="35">
        <v>750000</v>
      </c>
      <c r="L11" s="38">
        <f t="shared" si="1"/>
        <v>60.000000000000007</v>
      </c>
      <c r="M11" s="38">
        <f t="shared" si="2"/>
        <v>60.000000000000007</v>
      </c>
      <c r="N11" s="39">
        <f>L11/E3</f>
        <v>0.37735849056603776</v>
      </c>
      <c r="O11" s="40">
        <f>M11/F3</f>
        <v>0.37735849056603776</v>
      </c>
    </row>
    <row r="12" spans="1:18" ht="15.75">
      <c r="A12" s="31">
        <v>5</v>
      </c>
      <c r="B12" s="817" t="s">
        <v>36</v>
      </c>
      <c r="C12" s="33">
        <v>880.20000000000016</v>
      </c>
      <c r="D12" s="34"/>
      <c r="E12" s="33"/>
      <c r="F12" s="33">
        <v>19.5</v>
      </c>
      <c r="G12" s="63">
        <v>19.5</v>
      </c>
      <c r="H12" s="36">
        <f>F12/E3</f>
        <v>0.12264150943396226</v>
      </c>
      <c r="I12" s="33">
        <f t="shared" si="0"/>
        <v>860.70000000000016</v>
      </c>
      <c r="J12" s="37">
        <f>G12/F3</f>
        <v>0.12264150943396226</v>
      </c>
      <c r="K12" s="35">
        <v>350000</v>
      </c>
      <c r="L12" s="38">
        <f t="shared" si="1"/>
        <v>6825</v>
      </c>
      <c r="M12" s="38">
        <f t="shared" si="2"/>
        <v>6825</v>
      </c>
      <c r="N12" s="39">
        <f>L12/E3</f>
        <v>42.924528301886795</v>
      </c>
      <c r="O12" s="40">
        <f>M12/F3</f>
        <v>42.924528301886795</v>
      </c>
    </row>
    <row r="13" spans="1:18" ht="15.75">
      <c r="A13" s="31">
        <v>6</v>
      </c>
      <c r="B13" s="817" t="s">
        <v>37</v>
      </c>
      <c r="C13" s="33">
        <v>941</v>
      </c>
      <c r="D13" s="34"/>
      <c r="E13" s="33"/>
      <c r="F13" s="159">
        <v>100</v>
      </c>
      <c r="G13" s="142">
        <v>100</v>
      </c>
      <c r="H13" s="36">
        <f>F13/E3</f>
        <v>0.62893081761006286</v>
      </c>
      <c r="I13" s="33">
        <f t="shared" si="0"/>
        <v>841</v>
      </c>
      <c r="J13" s="37">
        <f>G13/F3</f>
        <v>0.62893081761006286</v>
      </c>
      <c r="K13" s="35">
        <v>215000</v>
      </c>
      <c r="L13" s="38">
        <f t="shared" si="1"/>
        <v>21500</v>
      </c>
      <c r="M13" s="38">
        <f t="shared" si="2"/>
        <v>21500</v>
      </c>
      <c r="N13" s="39">
        <f>L13/E3</f>
        <v>135.22012578616352</v>
      </c>
      <c r="O13" s="40">
        <f>M13/F3</f>
        <v>135.22012578616352</v>
      </c>
    </row>
    <row r="14" spans="1:18" ht="15.75">
      <c r="A14" s="31">
        <v>7</v>
      </c>
      <c r="B14" s="817" t="s">
        <v>38</v>
      </c>
      <c r="C14" s="33">
        <v>3215</v>
      </c>
      <c r="D14" s="34"/>
      <c r="E14" s="1016"/>
      <c r="F14" s="33">
        <v>54</v>
      </c>
      <c r="G14" s="35">
        <v>54</v>
      </c>
      <c r="H14" s="1017">
        <f>F14/E3</f>
        <v>0.33962264150943394</v>
      </c>
      <c r="I14" s="33">
        <f t="shared" si="0"/>
        <v>3161</v>
      </c>
      <c r="J14" s="37">
        <f>G14/F3</f>
        <v>0.33962264150943394</v>
      </c>
      <c r="K14" s="35">
        <v>151000</v>
      </c>
      <c r="L14" s="38">
        <f t="shared" si="1"/>
        <v>8154</v>
      </c>
      <c r="M14" s="38">
        <f t="shared" si="2"/>
        <v>8154</v>
      </c>
      <c r="N14" s="39">
        <f>L14/E3</f>
        <v>51.283018867924525</v>
      </c>
      <c r="O14" s="40">
        <f>M14/F3</f>
        <v>51.283018867924525</v>
      </c>
    </row>
    <row r="15" spans="1:18" ht="15.75">
      <c r="A15" s="31">
        <v>8</v>
      </c>
      <c r="B15" s="817" t="s">
        <v>39</v>
      </c>
      <c r="C15" s="33">
        <v>909</v>
      </c>
      <c r="D15" s="33"/>
      <c r="E15" s="33"/>
      <c r="F15" s="1018">
        <v>20</v>
      </c>
      <c r="G15" s="1019">
        <v>20</v>
      </c>
      <c r="H15" s="36">
        <f>F15/E3</f>
        <v>0.12578616352201258</v>
      </c>
      <c r="I15" s="33">
        <f t="shared" si="0"/>
        <v>889</v>
      </c>
      <c r="J15" s="37">
        <f>G15/F3</f>
        <v>0.12578616352201258</v>
      </c>
      <c r="K15" s="35">
        <v>255000</v>
      </c>
      <c r="L15" s="38">
        <f t="shared" si="1"/>
        <v>5100</v>
      </c>
      <c r="M15" s="38">
        <f t="shared" si="2"/>
        <v>5100</v>
      </c>
      <c r="N15" s="39">
        <f>L15/E3</f>
        <v>32.075471698113205</v>
      </c>
      <c r="O15" s="40">
        <f>M15/F3</f>
        <v>32.075471698113205</v>
      </c>
    </row>
    <row r="16" spans="1:18" ht="15.75">
      <c r="A16" s="31">
        <v>9</v>
      </c>
      <c r="B16" s="817" t="s">
        <v>40</v>
      </c>
      <c r="C16" s="33">
        <v>19</v>
      </c>
      <c r="D16" s="34"/>
      <c r="E16" s="33"/>
      <c r="F16" s="33">
        <v>0</v>
      </c>
      <c r="G16" s="35">
        <v>0</v>
      </c>
      <c r="H16" s="36">
        <f>F16/E3</f>
        <v>0</v>
      </c>
      <c r="I16" s="33">
        <f t="shared" si="0"/>
        <v>19</v>
      </c>
      <c r="J16" s="37">
        <f>G16/F3</f>
        <v>0</v>
      </c>
      <c r="K16" s="35">
        <v>348200</v>
      </c>
      <c r="L16" s="38">
        <f t="shared" si="1"/>
        <v>0</v>
      </c>
      <c r="M16" s="44">
        <f t="shared" si="2"/>
        <v>0</v>
      </c>
      <c r="N16" s="39">
        <f>L16/E3</f>
        <v>0</v>
      </c>
      <c r="O16" s="40">
        <f>M16/F3</f>
        <v>0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994">
        <v>0</v>
      </c>
      <c r="H17" s="995">
        <f>F17/E3</f>
        <v>0</v>
      </c>
      <c r="I17" s="993">
        <f t="shared" si="0"/>
        <v>2500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203.10000000000002</v>
      </c>
      <c r="D19" s="61"/>
      <c r="E19" s="61"/>
      <c r="F19" s="62">
        <v>6.9</v>
      </c>
      <c r="G19" s="925">
        <v>6.9</v>
      </c>
      <c r="H19" s="64">
        <f>F19/E3</f>
        <v>4.3396226415094344E-2</v>
      </c>
      <c r="I19" s="65">
        <f t="shared" si="0"/>
        <v>196.20000000000002</v>
      </c>
      <c r="J19" s="66">
        <f>G19/F3</f>
        <v>4.3396226415094344E-2</v>
      </c>
      <c r="K19" s="60">
        <v>377600</v>
      </c>
      <c r="L19" s="67">
        <f t="shared" si="1"/>
        <v>2605.4400000000005</v>
      </c>
      <c r="M19" s="67">
        <f t="shared" si="2"/>
        <v>2605.4400000000005</v>
      </c>
      <c r="N19" s="67">
        <f>L19/E3</f>
        <v>16.386415094339625</v>
      </c>
      <c r="O19" s="68">
        <f>M19/F3</f>
        <v>16.386415094339625</v>
      </c>
    </row>
    <row r="20" spans="1:15" ht="15.75">
      <c r="A20" s="58">
        <v>13</v>
      </c>
      <c r="B20" s="843" t="s">
        <v>44</v>
      </c>
      <c r="C20" s="60">
        <v>212.89999999999998</v>
      </c>
      <c r="D20" s="61"/>
      <c r="E20" s="61"/>
      <c r="F20" s="62">
        <v>4.8</v>
      </c>
      <c r="G20" s="925">
        <v>4.8</v>
      </c>
      <c r="H20" s="66">
        <f>F20/E3</f>
        <v>3.0188679245283019E-2</v>
      </c>
      <c r="I20" s="60">
        <f t="shared" si="0"/>
        <v>208.09999999999997</v>
      </c>
      <c r="J20" s="66">
        <f>G20/F3</f>
        <v>3.0188679245283019E-2</v>
      </c>
      <c r="K20" s="60">
        <v>271400</v>
      </c>
      <c r="L20" s="67">
        <f t="shared" si="1"/>
        <v>1302.7199999999998</v>
      </c>
      <c r="M20" s="67">
        <f t="shared" si="2"/>
        <v>1302.7199999999998</v>
      </c>
      <c r="N20" s="67">
        <f>L20/E3</f>
        <v>8.1932075471698109</v>
      </c>
      <c r="O20" s="68">
        <f>M20/F3</f>
        <v>8.1932075471698109</v>
      </c>
    </row>
    <row r="21" spans="1:15" ht="15.75">
      <c r="A21" s="58">
        <v>14</v>
      </c>
      <c r="B21" s="843" t="s">
        <v>45</v>
      </c>
      <c r="C21" s="60">
        <v>2718.1000000000004</v>
      </c>
      <c r="D21" s="61"/>
      <c r="E21" s="61"/>
      <c r="F21" s="62">
        <v>59.3</v>
      </c>
      <c r="G21" s="925">
        <v>59.3</v>
      </c>
      <c r="H21" s="66">
        <f>F21/E3</f>
        <v>0.37295597484276727</v>
      </c>
      <c r="I21" s="61">
        <f t="shared" si="0"/>
        <v>2658.8</v>
      </c>
      <c r="J21" s="66">
        <f>G21/F3</f>
        <v>0.37295597484276727</v>
      </c>
      <c r="K21" s="60">
        <v>271400</v>
      </c>
      <c r="L21" s="67">
        <f t="shared" si="1"/>
        <v>16094.02</v>
      </c>
      <c r="M21" s="67">
        <f t="shared" si="2"/>
        <v>16094.02</v>
      </c>
      <c r="N21" s="67">
        <f>L21/E3</f>
        <v>101.22025157232704</v>
      </c>
      <c r="O21" s="68">
        <f>M21/F3</f>
        <v>101.22025157232704</v>
      </c>
    </row>
    <row r="22" spans="1:15" ht="15.75">
      <c r="A22" s="69">
        <v>15</v>
      </c>
      <c r="B22" s="853" t="s">
        <v>46</v>
      </c>
      <c r="C22" s="71">
        <v>62</v>
      </c>
      <c r="D22" s="72"/>
      <c r="E22" s="72"/>
      <c r="F22" s="34">
        <v>0</v>
      </c>
      <c r="G22" s="35">
        <v>0</v>
      </c>
      <c r="H22" s="73">
        <f>F22/E3</f>
        <v>0</v>
      </c>
      <c r="I22" s="34">
        <f t="shared" si="0"/>
        <v>62</v>
      </c>
      <c r="J22" s="73">
        <f>G22/F3</f>
        <v>0</v>
      </c>
      <c r="K22" s="34">
        <v>41000</v>
      </c>
      <c r="L22" s="44">
        <f t="shared" si="1"/>
        <v>0</v>
      </c>
      <c r="M22" s="44">
        <f t="shared" si="2"/>
        <v>0</v>
      </c>
      <c r="N22" s="74">
        <f>L22/E3</f>
        <v>0</v>
      </c>
      <c r="O22" s="75">
        <f>M22/F3</f>
        <v>0</v>
      </c>
    </row>
    <row r="23" spans="1:15" ht="15.75">
      <c r="A23" s="69">
        <v>16</v>
      </c>
      <c r="B23" s="234" t="s">
        <v>47</v>
      </c>
      <c r="C23" s="71">
        <v>129.99999999999997</v>
      </c>
      <c r="D23" s="72"/>
      <c r="E23" s="34"/>
      <c r="F23" s="34">
        <v>14.4</v>
      </c>
      <c r="G23" s="63">
        <v>14.4</v>
      </c>
      <c r="H23" s="73">
        <f>F23/E3</f>
        <v>9.0566037735849064E-2</v>
      </c>
      <c r="I23" s="34">
        <f t="shared" si="0"/>
        <v>115.59999999999997</v>
      </c>
      <c r="J23" s="73">
        <f>G23/F3</f>
        <v>9.0566037735849064E-2</v>
      </c>
      <c r="K23" s="34">
        <v>24000</v>
      </c>
      <c r="L23" s="44">
        <f t="shared" si="1"/>
        <v>345.59999999999997</v>
      </c>
      <c r="M23" s="44">
        <f t="shared" si="2"/>
        <v>345.59999999999997</v>
      </c>
      <c r="N23" s="74">
        <f>L23/E3</f>
        <v>2.1735849056603773</v>
      </c>
      <c r="O23" s="75">
        <f>M23/F3</f>
        <v>2.1735849056603773</v>
      </c>
    </row>
    <row r="24" spans="1:15" ht="15.75">
      <c r="A24" s="69">
        <v>17</v>
      </c>
      <c r="B24" s="853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55</v>
      </c>
      <c r="D25" s="72"/>
      <c r="E25" s="34"/>
      <c r="F25" s="34">
        <v>5</v>
      </c>
      <c r="G25" s="35">
        <v>5</v>
      </c>
      <c r="H25" s="73">
        <f>F25/E3</f>
        <v>3.1446540880503145E-2</v>
      </c>
      <c r="I25" s="34">
        <f t="shared" si="0"/>
        <v>50</v>
      </c>
      <c r="J25" s="73">
        <f>G25/F3</f>
        <v>3.1446540880503145E-2</v>
      </c>
      <c r="K25" s="34">
        <v>14400</v>
      </c>
      <c r="L25" s="44">
        <f t="shared" si="1"/>
        <v>72</v>
      </c>
      <c r="M25" s="44">
        <f t="shared" si="2"/>
        <v>72</v>
      </c>
      <c r="N25" s="74">
        <f>L25/E3</f>
        <v>0.45283018867924529</v>
      </c>
      <c r="O25" s="75">
        <f>M25/F3</f>
        <v>0.45283018867924529</v>
      </c>
    </row>
    <row r="26" spans="1:15" ht="15.75">
      <c r="A26" s="69">
        <v>19</v>
      </c>
      <c r="B26" s="853" t="s">
        <v>50</v>
      </c>
      <c r="C26" s="71">
        <v>85.4</v>
      </c>
      <c r="D26" s="34"/>
      <c r="E26" s="72"/>
      <c r="F26" s="34">
        <v>3.5</v>
      </c>
      <c r="G26" s="63">
        <v>3.5</v>
      </c>
      <c r="H26" s="73">
        <f>F26/E3</f>
        <v>2.20125786163522E-2</v>
      </c>
      <c r="I26" s="34">
        <f t="shared" si="0"/>
        <v>81.900000000000006</v>
      </c>
      <c r="J26" s="73">
        <f>G26/F3</f>
        <v>2.20125786163522E-2</v>
      </c>
      <c r="K26" s="34">
        <v>102000</v>
      </c>
      <c r="L26" s="44">
        <f t="shared" si="1"/>
        <v>357</v>
      </c>
      <c r="M26" s="44">
        <f t="shared" si="2"/>
        <v>357</v>
      </c>
      <c r="N26" s="74">
        <f>L26/E3</f>
        <v>2.2452830188679247</v>
      </c>
      <c r="O26" s="75">
        <f>M26/F3</f>
        <v>2.2452830188679247</v>
      </c>
    </row>
    <row r="27" spans="1:15" ht="15.75">
      <c r="A27" s="69">
        <v>20</v>
      </c>
      <c r="B27" s="853" t="s">
        <v>51</v>
      </c>
      <c r="C27" s="71">
        <v>25</v>
      </c>
      <c r="D27" s="72"/>
      <c r="E27" s="72"/>
      <c r="F27" s="34">
        <v>5</v>
      </c>
      <c r="G27" s="35">
        <v>5</v>
      </c>
      <c r="H27" s="73">
        <f>F27/E3</f>
        <v>3.1446540880503145E-2</v>
      </c>
      <c r="I27" s="34">
        <f t="shared" si="0"/>
        <v>20</v>
      </c>
      <c r="J27" s="73">
        <f>G27/F3</f>
        <v>3.1446540880503145E-2</v>
      </c>
      <c r="K27" s="34">
        <v>107000</v>
      </c>
      <c r="L27" s="44">
        <f t="shared" si="1"/>
        <v>535</v>
      </c>
      <c r="M27" s="44">
        <f t="shared" si="2"/>
        <v>535</v>
      </c>
      <c r="N27" s="74">
        <f>L27/E3</f>
        <v>3.3647798742138364</v>
      </c>
      <c r="O27" s="75">
        <f>M27/F3</f>
        <v>3.3647798742138364</v>
      </c>
    </row>
    <row r="28" spans="1:15" ht="15.75">
      <c r="A28" s="69">
        <v>21</v>
      </c>
      <c r="B28" s="234" t="s">
        <v>52</v>
      </c>
      <c r="C28" s="71">
        <v>76</v>
      </c>
      <c r="D28" s="72"/>
      <c r="E28" s="72"/>
      <c r="F28" s="34">
        <v>3</v>
      </c>
      <c r="G28" s="35">
        <v>3</v>
      </c>
      <c r="H28" s="73">
        <f>F28/E3</f>
        <v>1.8867924528301886E-2</v>
      </c>
      <c r="I28" s="34">
        <f t="shared" si="0"/>
        <v>73</v>
      </c>
      <c r="J28" s="73">
        <f>G28/F3</f>
        <v>1.8867924528301886E-2</v>
      </c>
      <c r="K28" s="34">
        <v>100000</v>
      </c>
      <c r="L28" s="44">
        <f t="shared" si="1"/>
        <v>300</v>
      </c>
      <c r="M28" s="44">
        <f t="shared" si="2"/>
        <v>300</v>
      </c>
      <c r="N28" s="74">
        <f>L28/E3</f>
        <v>1.8867924528301887</v>
      </c>
      <c r="O28" s="75">
        <f>M28/F3</f>
        <v>1.8867924528301887</v>
      </c>
    </row>
    <row r="29" spans="1:15" ht="15.75">
      <c r="A29" s="69">
        <v>22</v>
      </c>
      <c r="B29" s="853" t="s">
        <v>53</v>
      </c>
      <c r="C29" s="71">
        <v>33</v>
      </c>
      <c r="D29" s="72"/>
      <c r="E29" s="72"/>
      <c r="F29" s="34">
        <v>1</v>
      </c>
      <c r="G29" s="35">
        <v>1</v>
      </c>
      <c r="H29" s="73">
        <f>F29/E3</f>
        <v>6.2893081761006293E-3</v>
      </c>
      <c r="I29" s="34">
        <f t="shared" si="0"/>
        <v>32</v>
      </c>
      <c r="J29" s="73">
        <f>G29/F3</f>
        <v>6.2893081761006293E-3</v>
      </c>
      <c r="K29" s="34">
        <v>255000</v>
      </c>
      <c r="L29" s="44">
        <f t="shared" si="1"/>
        <v>255</v>
      </c>
      <c r="M29" s="44">
        <f t="shared" si="2"/>
        <v>255</v>
      </c>
      <c r="N29" s="74">
        <f>L29/E3</f>
        <v>1.6037735849056605</v>
      </c>
      <c r="O29" s="76">
        <f>M29/F3</f>
        <v>1.6037735849056605</v>
      </c>
    </row>
    <row r="30" spans="1:15" ht="15.75">
      <c r="A30" s="69">
        <v>23</v>
      </c>
      <c r="B30" s="853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4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145">
        <f t="shared" si="1"/>
        <v>0</v>
      </c>
      <c r="M31" s="86">
        <f t="shared" si="2"/>
        <v>0</v>
      </c>
      <c r="N31" s="982">
        <f>L31/F3</f>
        <v>0</v>
      </c>
      <c r="O31" s="983">
        <f>M31/F3</f>
        <v>0</v>
      </c>
    </row>
    <row r="32" spans="1:15" ht="16.5" thickBot="1">
      <c r="A32" s="936" t="s">
        <v>56</v>
      </c>
      <c r="B32" s="972" t="s">
        <v>57</v>
      </c>
      <c r="C32" s="254" t="s">
        <v>58</v>
      </c>
      <c r="D32" s="1457" t="s">
        <v>59</v>
      </c>
      <c r="E32" s="1457"/>
      <c r="F32" s="1458"/>
      <c r="G32" s="936" t="s">
        <v>56</v>
      </c>
      <c r="H32" s="1511" t="s">
        <v>57</v>
      </c>
      <c r="I32" s="1512"/>
      <c r="J32" s="1513"/>
      <c r="K32" s="254" t="s">
        <v>58</v>
      </c>
      <c r="L32" s="973" t="s">
        <v>133</v>
      </c>
      <c r="M32" s="92" t="s">
        <v>60</v>
      </c>
      <c r="N32" s="984">
        <f>SUM(N8,N9,N10,N11,N12,N13,N14,N15,N16,N17,N18,N19,N20,N21,N22,N23,N24,N25,N26,N27,N28,N29,N30,N31)</f>
        <v>1411.5426415094339</v>
      </c>
      <c r="O32" s="985">
        <f>SUM(O8,O9,O10,O11,O12,O13,O14,O15,O16,O17,O18,O19,O20,O21,O22,O23,O24,O25,O26,O27,O28,O29,O30,O31,)</f>
        <v>1411.5426415094339</v>
      </c>
    </row>
    <row r="33" spans="1:15" ht="16.5" thickBot="1">
      <c r="A33" s="33">
        <v>1</v>
      </c>
      <c r="B33" s="1015" t="s">
        <v>115</v>
      </c>
      <c r="C33" s="966">
        <v>60</v>
      </c>
      <c r="D33" s="1447"/>
      <c r="E33" s="1447"/>
      <c r="F33" s="955">
        <v>104</v>
      </c>
      <c r="G33" s="33"/>
      <c r="H33" s="1101"/>
      <c r="I33" s="1101"/>
      <c r="J33" s="1101"/>
      <c r="K33" s="33"/>
      <c r="L33" s="955"/>
      <c r="M33" s="1098"/>
      <c r="N33" s="974" t="s">
        <v>17</v>
      </c>
      <c r="O33" s="998" t="s">
        <v>17</v>
      </c>
    </row>
    <row r="34" spans="1:15" ht="15.75">
      <c r="A34" s="33">
        <v>2</v>
      </c>
      <c r="B34" s="1015" t="s">
        <v>121</v>
      </c>
      <c r="C34" s="966">
        <v>32</v>
      </c>
      <c r="D34" s="1096"/>
      <c r="E34" s="1096"/>
      <c r="F34" s="955">
        <v>55</v>
      </c>
      <c r="G34" s="33"/>
      <c r="H34" s="1101"/>
      <c r="I34" s="1101"/>
      <c r="J34" s="1101"/>
      <c r="K34" s="33"/>
      <c r="L34" s="955"/>
      <c r="M34" s="1099"/>
      <c r="N34" s="975" t="s">
        <v>25</v>
      </c>
      <c r="O34" s="978" t="s">
        <v>26</v>
      </c>
    </row>
    <row r="35" spans="1:15" ht="16.5" thickBot="1">
      <c r="A35" s="33"/>
      <c r="B35" s="33"/>
      <c r="C35" s="967"/>
      <c r="D35" s="1096"/>
      <c r="E35" s="1096"/>
      <c r="F35" s="956"/>
      <c r="G35" s="33"/>
      <c r="H35" s="1101"/>
      <c r="I35" s="1101"/>
      <c r="J35" s="1101"/>
      <c r="K35" s="34"/>
      <c r="L35" s="956"/>
      <c r="M35" s="1100"/>
      <c r="N35" s="976" t="s">
        <v>118</v>
      </c>
      <c r="O35" s="979" t="s">
        <v>118</v>
      </c>
    </row>
    <row r="36" spans="1:15" ht="20.25" thickBot="1">
      <c r="A36" s="33"/>
      <c r="B36" s="33"/>
      <c r="C36" s="968"/>
      <c r="D36" s="1096"/>
      <c r="E36" s="1096"/>
      <c r="F36" s="955"/>
      <c r="G36" s="33"/>
      <c r="H36" s="1101"/>
      <c r="I36" s="1101"/>
      <c r="J36" s="1101"/>
      <c r="K36" s="34"/>
      <c r="L36" s="955"/>
      <c r="M36" s="107" t="s">
        <v>60</v>
      </c>
      <c r="N36" s="986">
        <f>N32/1000</f>
        <v>1.4115426415094339</v>
      </c>
      <c r="O36" s="980">
        <f>O32/1000</f>
        <v>1.4115426415094339</v>
      </c>
    </row>
    <row r="37" spans="1:15" ht="21" thickTop="1" thickBot="1">
      <c r="A37" s="33"/>
      <c r="B37" s="33"/>
      <c r="C37" s="969"/>
      <c r="D37" s="1514"/>
      <c r="E37" s="1514"/>
      <c r="F37" s="957"/>
      <c r="G37" s="954"/>
      <c r="H37" s="1101"/>
      <c r="I37" s="1101"/>
      <c r="J37" s="1101"/>
      <c r="K37" s="954"/>
      <c r="L37" s="958"/>
      <c r="M37" s="1"/>
      <c r="N37" s="1"/>
      <c r="O37" s="1"/>
    </row>
    <row r="38" spans="1:15" ht="23.25" thickBot="1">
      <c r="A38" s="970">
        <v>3</v>
      </c>
      <c r="B38" s="971" t="s">
        <v>60</v>
      </c>
      <c r="C38" s="112">
        <f>SUM(C33:C37,K33:K37)</f>
        <v>92</v>
      </c>
      <c r="D38" s="1505">
        <f>SUM(F33:F37,L33:L37)</f>
        <v>159</v>
      </c>
      <c r="E38" s="1506"/>
      <c r="F38" s="1507"/>
    </row>
  </sheetData>
  <mergeCells count="22">
    <mergeCell ref="D38:F38"/>
    <mergeCell ref="G4:H4"/>
    <mergeCell ref="G3:H3"/>
    <mergeCell ref="D33:E37"/>
    <mergeCell ref="H33:J33"/>
    <mergeCell ref="D5:E5"/>
    <mergeCell ref="F5:G5"/>
    <mergeCell ref="M33:M35"/>
    <mergeCell ref="H34:J34"/>
    <mergeCell ref="H35:J35"/>
    <mergeCell ref="H36:J36"/>
    <mergeCell ref="H37:J37"/>
    <mergeCell ref="L5:M5"/>
    <mergeCell ref="N5:O5"/>
    <mergeCell ref="D32:F32"/>
    <mergeCell ref="H32:J32"/>
    <mergeCell ref="A1:O1"/>
    <mergeCell ref="A2:O2"/>
    <mergeCell ref="A3:D3"/>
    <mergeCell ref="I3:O4"/>
    <mergeCell ref="A4:B4"/>
    <mergeCell ref="C4:D4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38"/>
  <sheetViews>
    <sheetView topLeftCell="A17" workbookViewId="0">
      <selection activeCell="I19" sqref="I19:I21"/>
    </sheetView>
  </sheetViews>
  <sheetFormatPr defaultRowHeight="15"/>
  <cols>
    <col min="1" max="1" width="5.7109375" customWidth="1"/>
    <col min="2" max="2" width="29.42578125" customWidth="1"/>
    <col min="3" max="3" width="11" customWidth="1"/>
    <col min="4" max="4" width="8.42578125" customWidth="1"/>
    <col min="8" max="8" width="11" customWidth="1"/>
    <col min="10" max="10" width="10.85546875" customWidth="1"/>
    <col min="12" max="12" width="12.140625" customWidth="1"/>
    <col min="13" max="13" width="11.85546875" customWidth="1"/>
    <col min="15" max="15" width="9.5703125" customWidth="1"/>
  </cols>
  <sheetData>
    <row r="1" spans="1:15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149</v>
      </c>
      <c r="F3" s="3">
        <v>308</v>
      </c>
      <c r="G3" s="1516" t="s">
        <v>159</v>
      </c>
      <c r="H3" s="1517"/>
      <c r="I3" s="1129" t="s">
        <v>158</v>
      </c>
      <c r="J3" s="1130"/>
      <c r="K3" s="1130"/>
      <c r="L3" s="1130"/>
      <c r="M3" s="1130"/>
      <c r="N3" s="1130"/>
      <c r="O3" s="1131"/>
    </row>
    <row r="4" spans="1:15" ht="21.75" thickTop="1" thickBot="1">
      <c r="A4" s="1487" t="s">
        <v>5</v>
      </c>
      <c r="B4" s="1488"/>
      <c r="C4" s="1503" t="s">
        <v>6</v>
      </c>
      <c r="D4" s="1504"/>
      <c r="E4" s="5"/>
      <c r="F4" s="938"/>
      <c r="G4" s="1519" t="s">
        <v>157</v>
      </c>
      <c r="H4" s="1520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27300</v>
      </c>
      <c r="D8" s="23"/>
      <c r="E8" s="22"/>
      <c r="F8" s="22">
        <v>3750</v>
      </c>
      <c r="G8" s="24">
        <v>7750</v>
      </c>
      <c r="H8" s="25">
        <f>F8/E3</f>
        <v>25.167785234899331</v>
      </c>
      <c r="I8" s="22">
        <f t="shared" ref="I8:I31" si="0">(C8-F8)+D8</f>
        <v>23550</v>
      </c>
      <c r="J8" s="26">
        <f>G8/F3</f>
        <v>25.162337662337663</v>
      </c>
      <c r="K8" s="24">
        <v>36000</v>
      </c>
      <c r="L8" s="27">
        <f t="shared" ref="L8:L31" si="1">(F8/1000)*K8</f>
        <v>135000</v>
      </c>
      <c r="M8" s="28">
        <f t="shared" ref="M8:M31" si="2">(G8/1000)*K8</f>
        <v>279000</v>
      </c>
      <c r="N8" s="29">
        <f>L8/E3</f>
        <v>906.04026845637588</v>
      </c>
      <c r="O8" s="30">
        <f>M8/F3</f>
        <v>905.84415584415581</v>
      </c>
    </row>
    <row r="9" spans="1:15" ht="15.75">
      <c r="A9" s="31">
        <v>2</v>
      </c>
      <c r="B9" s="817" t="s">
        <v>33</v>
      </c>
      <c r="C9" s="33">
        <v>2338</v>
      </c>
      <c r="D9" s="34"/>
      <c r="E9" s="33"/>
      <c r="F9" s="33">
        <v>200</v>
      </c>
      <c r="G9" s="35">
        <v>445</v>
      </c>
      <c r="H9" s="36">
        <f>F9/E3</f>
        <v>1.3422818791946309</v>
      </c>
      <c r="I9" s="33">
        <f t="shared" si="0"/>
        <v>2138</v>
      </c>
      <c r="J9" s="37">
        <f>G9/F3</f>
        <v>1.4448051948051948</v>
      </c>
      <c r="K9" s="35">
        <v>33500</v>
      </c>
      <c r="L9" s="38">
        <f t="shared" si="1"/>
        <v>6700</v>
      </c>
      <c r="M9" s="38">
        <f t="shared" si="2"/>
        <v>14907.5</v>
      </c>
      <c r="N9" s="39">
        <f>L9/E3</f>
        <v>44.966442953020135</v>
      </c>
      <c r="O9" s="40">
        <f>M9/F3</f>
        <v>48.400974025974023</v>
      </c>
    </row>
    <row r="10" spans="1:15" ht="15.75">
      <c r="A10" s="31">
        <v>3</v>
      </c>
      <c r="B10" s="817" t="s">
        <v>34</v>
      </c>
      <c r="C10" s="33">
        <v>4908</v>
      </c>
      <c r="D10" s="34"/>
      <c r="E10" s="33"/>
      <c r="F10" s="33">
        <v>78</v>
      </c>
      <c r="G10" s="35">
        <v>167</v>
      </c>
      <c r="H10" s="36">
        <f>F10/E3</f>
        <v>0.52348993288590606</v>
      </c>
      <c r="I10" s="33">
        <f t="shared" si="0"/>
        <v>4830</v>
      </c>
      <c r="J10" s="37">
        <f>G10/F3</f>
        <v>0.54220779220779225</v>
      </c>
      <c r="K10" s="35">
        <v>98000</v>
      </c>
      <c r="L10" s="38">
        <f t="shared" si="1"/>
        <v>7644</v>
      </c>
      <c r="M10" s="38">
        <f t="shared" si="2"/>
        <v>16366.000000000002</v>
      </c>
      <c r="N10" s="39">
        <f>L10/E3</f>
        <v>51.302013422818789</v>
      </c>
      <c r="O10" s="40">
        <f>M10/F3</f>
        <v>53.13636363636364</v>
      </c>
    </row>
    <row r="11" spans="1:15" ht="15.75">
      <c r="A11" s="31">
        <v>4</v>
      </c>
      <c r="B11" s="817" t="s">
        <v>35</v>
      </c>
      <c r="C11" s="33">
        <v>19.390000000000015</v>
      </c>
      <c r="D11" s="34"/>
      <c r="E11" s="33"/>
      <c r="F11" s="33">
        <v>0.08</v>
      </c>
      <c r="G11" s="41">
        <v>0.16</v>
      </c>
      <c r="H11" s="42">
        <f>F11/E3</f>
        <v>5.3691275167785241E-4</v>
      </c>
      <c r="I11" s="33">
        <f t="shared" si="0"/>
        <v>19.310000000000016</v>
      </c>
      <c r="J11" s="43">
        <f>G11/F3</f>
        <v>5.1948051948051948E-4</v>
      </c>
      <c r="K11" s="35">
        <v>750000</v>
      </c>
      <c r="L11" s="38">
        <f t="shared" si="1"/>
        <v>60.000000000000007</v>
      </c>
      <c r="M11" s="38">
        <f t="shared" si="2"/>
        <v>120.00000000000001</v>
      </c>
      <c r="N11" s="39">
        <f>L11/E3</f>
        <v>0.40268456375838929</v>
      </c>
      <c r="O11" s="40">
        <f>M11/F3</f>
        <v>0.38961038961038963</v>
      </c>
    </row>
    <row r="12" spans="1:15" ht="15.75">
      <c r="A12" s="31">
        <v>5</v>
      </c>
      <c r="B12" s="817" t="s">
        <v>36</v>
      </c>
      <c r="C12" s="33">
        <v>860.70000000000016</v>
      </c>
      <c r="D12" s="34"/>
      <c r="E12" s="33"/>
      <c r="F12" s="33">
        <v>20.8</v>
      </c>
      <c r="G12" s="63">
        <v>40.299999999999997</v>
      </c>
      <c r="H12" s="36">
        <f>F12/E3</f>
        <v>0.13959731543624163</v>
      </c>
      <c r="I12" s="33">
        <f t="shared" si="0"/>
        <v>839.9000000000002</v>
      </c>
      <c r="J12" s="37">
        <f>G12/F3</f>
        <v>0.13084415584415585</v>
      </c>
      <c r="K12" s="35">
        <v>350000</v>
      </c>
      <c r="L12" s="38">
        <f t="shared" si="1"/>
        <v>7280</v>
      </c>
      <c r="M12" s="38">
        <f t="shared" si="2"/>
        <v>14104.999999999998</v>
      </c>
      <c r="N12" s="39">
        <f>L12/E3</f>
        <v>48.859060402684563</v>
      </c>
      <c r="O12" s="40">
        <f>M12/F3</f>
        <v>45.79545454545454</v>
      </c>
    </row>
    <row r="13" spans="1:15" ht="15.75">
      <c r="A13" s="31">
        <v>6</v>
      </c>
      <c r="B13" s="817" t="s">
        <v>37</v>
      </c>
      <c r="C13" s="33">
        <v>841</v>
      </c>
      <c r="D13" s="34"/>
      <c r="E13" s="33"/>
      <c r="F13" s="159">
        <v>40</v>
      </c>
      <c r="G13" s="142">
        <v>140</v>
      </c>
      <c r="H13" s="36">
        <f>F13/E3</f>
        <v>0.26845637583892618</v>
      </c>
      <c r="I13" s="33">
        <f t="shared" si="0"/>
        <v>801</v>
      </c>
      <c r="J13" s="37">
        <f>G13/F3</f>
        <v>0.45454545454545453</v>
      </c>
      <c r="K13" s="35">
        <v>215000</v>
      </c>
      <c r="L13" s="38">
        <f t="shared" si="1"/>
        <v>8600</v>
      </c>
      <c r="M13" s="38">
        <f t="shared" si="2"/>
        <v>30100.000000000004</v>
      </c>
      <c r="N13" s="39">
        <f>L13/E3</f>
        <v>57.718120805369125</v>
      </c>
      <c r="O13" s="40">
        <f>M13/F3</f>
        <v>97.727272727272734</v>
      </c>
    </row>
    <row r="14" spans="1:15" ht="15.75">
      <c r="A14" s="31">
        <v>7</v>
      </c>
      <c r="B14" s="817" t="s">
        <v>38</v>
      </c>
      <c r="C14" s="33">
        <v>3161</v>
      </c>
      <c r="D14" s="34"/>
      <c r="E14" s="1016"/>
      <c r="F14" s="33">
        <v>54</v>
      </c>
      <c r="G14" s="35">
        <v>108</v>
      </c>
      <c r="H14" s="1017">
        <f>F14/E3</f>
        <v>0.36241610738255031</v>
      </c>
      <c r="I14" s="33">
        <f t="shared" si="0"/>
        <v>3107</v>
      </c>
      <c r="J14" s="37">
        <f>G14/F3</f>
        <v>0.35064935064935066</v>
      </c>
      <c r="K14" s="35">
        <v>151000</v>
      </c>
      <c r="L14" s="38">
        <f t="shared" si="1"/>
        <v>8154</v>
      </c>
      <c r="M14" s="38">
        <f t="shared" si="2"/>
        <v>16308</v>
      </c>
      <c r="N14" s="39">
        <f>L14/E3</f>
        <v>54.724832214765101</v>
      </c>
      <c r="O14" s="40">
        <f>M14/F3</f>
        <v>52.948051948051948</v>
      </c>
    </row>
    <row r="15" spans="1:15" ht="15.75">
      <c r="A15" s="31">
        <v>8</v>
      </c>
      <c r="B15" s="817" t="s">
        <v>39</v>
      </c>
      <c r="C15" s="33">
        <v>889</v>
      </c>
      <c r="D15" s="33"/>
      <c r="E15" s="33"/>
      <c r="F15" s="1018">
        <v>15</v>
      </c>
      <c r="G15" s="1019">
        <v>35</v>
      </c>
      <c r="H15" s="36">
        <f>F15/E3</f>
        <v>0.10067114093959731</v>
      </c>
      <c r="I15" s="33">
        <f t="shared" si="0"/>
        <v>874</v>
      </c>
      <c r="J15" s="37">
        <f>G15/F3</f>
        <v>0.11363636363636363</v>
      </c>
      <c r="K15" s="35">
        <v>255000</v>
      </c>
      <c r="L15" s="38">
        <f t="shared" si="1"/>
        <v>3825</v>
      </c>
      <c r="M15" s="38">
        <f t="shared" si="2"/>
        <v>8925</v>
      </c>
      <c r="N15" s="39">
        <f>L15/E3</f>
        <v>25.671140939597315</v>
      </c>
      <c r="O15" s="40">
        <f>M15/F3</f>
        <v>28.977272727272727</v>
      </c>
    </row>
    <row r="16" spans="1:15" ht="15.75">
      <c r="A16" s="31">
        <v>9</v>
      </c>
      <c r="B16" s="817" t="s">
        <v>40</v>
      </c>
      <c r="C16" s="33">
        <v>19</v>
      </c>
      <c r="D16" s="34"/>
      <c r="E16" s="33"/>
      <c r="F16" s="33">
        <v>0</v>
      </c>
      <c r="G16" s="35">
        <v>0</v>
      </c>
      <c r="H16" s="36">
        <f>F16/E3</f>
        <v>0</v>
      </c>
      <c r="I16" s="33">
        <f t="shared" si="0"/>
        <v>19</v>
      </c>
      <c r="J16" s="37">
        <f>G16/F3</f>
        <v>0</v>
      </c>
      <c r="K16" s="35">
        <v>348200</v>
      </c>
      <c r="L16" s="38">
        <f t="shared" si="1"/>
        <v>0</v>
      </c>
      <c r="M16" s="44">
        <f t="shared" si="2"/>
        <v>0</v>
      </c>
      <c r="N16" s="39">
        <f>L16/E3</f>
        <v>0</v>
      </c>
      <c r="O16" s="40">
        <f>M16/F3</f>
        <v>0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994">
        <v>0</v>
      </c>
      <c r="H17" s="995">
        <f>F17/E3</f>
        <v>0</v>
      </c>
      <c r="I17" s="993">
        <f t="shared" si="0"/>
        <v>2500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196.20000000000002</v>
      </c>
      <c r="D19" s="61"/>
      <c r="E19" s="61"/>
      <c r="F19" s="62">
        <v>7.6</v>
      </c>
      <c r="G19" s="925">
        <v>14.5</v>
      </c>
      <c r="H19" s="64">
        <f>F19/E3</f>
        <v>5.1006711409395972E-2</v>
      </c>
      <c r="I19" s="65">
        <f t="shared" si="0"/>
        <v>188.60000000000002</v>
      </c>
      <c r="J19" s="66">
        <f>G19/F3</f>
        <v>4.707792207792208E-2</v>
      </c>
      <c r="K19" s="60">
        <v>377600</v>
      </c>
      <c r="L19" s="67">
        <f t="shared" si="1"/>
        <v>2869.76</v>
      </c>
      <c r="M19" s="67">
        <f t="shared" si="2"/>
        <v>5475.2000000000007</v>
      </c>
      <c r="N19" s="67">
        <f>L19/E3</f>
        <v>19.260134228187923</v>
      </c>
      <c r="O19" s="68">
        <f>M19/F3</f>
        <v>17.77662337662338</v>
      </c>
    </row>
    <row r="20" spans="1:15" ht="15.75">
      <c r="A20" s="58">
        <v>13</v>
      </c>
      <c r="B20" s="843" t="s">
        <v>44</v>
      </c>
      <c r="C20" s="60">
        <v>208.09999999999997</v>
      </c>
      <c r="D20" s="61"/>
      <c r="E20" s="61"/>
      <c r="F20" s="62">
        <v>4.5999999999999996</v>
      </c>
      <c r="G20" s="925">
        <v>9.4</v>
      </c>
      <c r="H20" s="66">
        <f>F20/E3</f>
        <v>3.0872483221476506E-2</v>
      </c>
      <c r="I20" s="60">
        <f t="shared" si="0"/>
        <v>203.49999999999997</v>
      </c>
      <c r="J20" s="66">
        <f>G20/F3</f>
        <v>3.0519480519480519E-2</v>
      </c>
      <c r="K20" s="60">
        <v>271400</v>
      </c>
      <c r="L20" s="67">
        <f t="shared" si="1"/>
        <v>1248.44</v>
      </c>
      <c r="M20" s="67">
        <f t="shared" si="2"/>
        <v>2551.1600000000003</v>
      </c>
      <c r="N20" s="67">
        <f>L20/E3</f>
        <v>8.3787919463087253</v>
      </c>
      <c r="O20" s="68">
        <f>M20/F3</f>
        <v>8.2829870129870145</v>
      </c>
    </row>
    <row r="21" spans="1:15" ht="15.75">
      <c r="A21" s="58">
        <v>14</v>
      </c>
      <c r="B21" s="843" t="s">
        <v>45</v>
      </c>
      <c r="C21" s="60">
        <v>2658.8</v>
      </c>
      <c r="D21" s="61"/>
      <c r="E21" s="61"/>
      <c r="F21" s="62">
        <v>68.8</v>
      </c>
      <c r="G21" s="925">
        <v>128.1</v>
      </c>
      <c r="H21" s="66">
        <f>F21/E3</f>
        <v>0.46174496644295299</v>
      </c>
      <c r="I21" s="61">
        <f t="shared" si="0"/>
        <v>2590</v>
      </c>
      <c r="J21" s="66">
        <f>G21/F3</f>
        <v>0.41590909090909089</v>
      </c>
      <c r="K21" s="60">
        <v>271400</v>
      </c>
      <c r="L21" s="67">
        <f t="shared" si="1"/>
        <v>18672.32</v>
      </c>
      <c r="M21" s="67">
        <f t="shared" si="2"/>
        <v>34766.339999999997</v>
      </c>
      <c r="N21" s="67">
        <f>L21/E3</f>
        <v>125.31758389261745</v>
      </c>
      <c r="O21" s="68">
        <f>M21/F3</f>
        <v>112.87772727272726</v>
      </c>
    </row>
    <row r="22" spans="1:15" ht="15.75">
      <c r="A22" s="69">
        <v>15</v>
      </c>
      <c r="B22" s="853" t="s">
        <v>46</v>
      </c>
      <c r="C22" s="71">
        <v>62</v>
      </c>
      <c r="D22" s="72"/>
      <c r="E22" s="72"/>
      <c r="F22" s="34">
        <v>0</v>
      </c>
      <c r="G22" s="35">
        <v>0</v>
      </c>
      <c r="H22" s="73">
        <f>F22/E3</f>
        <v>0</v>
      </c>
      <c r="I22" s="34">
        <f t="shared" si="0"/>
        <v>62</v>
      </c>
      <c r="J22" s="73">
        <f>G22/F3</f>
        <v>0</v>
      </c>
      <c r="K22" s="34">
        <v>41000</v>
      </c>
      <c r="L22" s="44">
        <f t="shared" si="1"/>
        <v>0</v>
      </c>
      <c r="M22" s="44">
        <f t="shared" si="2"/>
        <v>0</v>
      </c>
      <c r="N22" s="74">
        <f>L22/E3</f>
        <v>0</v>
      </c>
      <c r="O22" s="75">
        <f>M22/F3</f>
        <v>0</v>
      </c>
    </row>
    <row r="23" spans="1:15" ht="15.75">
      <c r="A23" s="69">
        <v>16</v>
      </c>
      <c r="B23" s="234" t="s">
        <v>47</v>
      </c>
      <c r="C23" s="71">
        <v>115.59999999999997</v>
      </c>
      <c r="D23" s="72"/>
      <c r="E23" s="34"/>
      <c r="F23" s="34">
        <v>14.4</v>
      </c>
      <c r="G23" s="63">
        <v>28.8</v>
      </c>
      <c r="H23" s="73">
        <f>F23/E3</f>
        <v>9.6644295302013419E-2</v>
      </c>
      <c r="I23" s="34">
        <f t="shared" si="0"/>
        <v>101.19999999999996</v>
      </c>
      <c r="J23" s="73">
        <f>G23/F3</f>
        <v>9.350649350649351E-2</v>
      </c>
      <c r="K23" s="34">
        <v>24000</v>
      </c>
      <c r="L23" s="44">
        <f t="shared" si="1"/>
        <v>345.59999999999997</v>
      </c>
      <c r="M23" s="44">
        <f t="shared" si="2"/>
        <v>691.19999999999993</v>
      </c>
      <c r="N23" s="74">
        <f>L23/E3</f>
        <v>2.3194630872483217</v>
      </c>
      <c r="O23" s="75">
        <f>M23/F3</f>
        <v>2.244155844155844</v>
      </c>
    </row>
    <row r="24" spans="1:15" ht="15.75">
      <c r="A24" s="69">
        <v>17</v>
      </c>
      <c r="B24" s="853" t="s">
        <v>48</v>
      </c>
      <c r="C24" s="71">
        <v>380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380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50</v>
      </c>
      <c r="D25" s="72"/>
      <c r="E25" s="34"/>
      <c r="F25" s="34">
        <v>5</v>
      </c>
      <c r="G25" s="35">
        <v>10</v>
      </c>
      <c r="H25" s="73">
        <f>F25/E3</f>
        <v>3.3557046979865772E-2</v>
      </c>
      <c r="I25" s="34">
        <f t="shared" si="0"/>
        <v>45</v>
      </c>
      <c r="J25" s="73">
        <f>G25/F3</f>
        <v>3.2467532467532464E-2</v>
      </c>
      <c r="K25" s="34">
        <v>14400</v>
      </c>
      <c r="L25" s="44">
        <f t="shared" si="1"/>
        <v>72</v>
      </c>
      <c r="M25" s="44">
        <f t="shared" si="2"/>
        <v>144</v>
      </c>
      <c r="N25" s="74">
        <f>L25/E3</f>
        <v>0.48322147651006714</v>
      </c>
      <c r="O25" s="75">
        <f>M25/F3</f>
        <v>0.46753246753246752</v>
      </c>
    </row>
    <row r="26" spans="1:15" ht="15.75">
      <c r="A26" s="69">
        <v>19</v>
      </c>
      <c r="B26" s="853" t="s">
        <v>50</v>
      </c>
      <c r="C26" s="71">
        <v>81.900000000000006</v>
      </c>
      <c r="D26" s="34"/>
      <c r="E26" s="72"/>
      <c r="F26" s="34">
        <v>3.5</v>
      </c>
      <c r="G26" s="63">
        <v>7</v>
      </c>
      <c r="H26" s="73">
        <f>F26/E3</f>
        <v>2.3489932885906041E-2</v>
      </c>
      <c r="I26" s="34">
        <f t="shared" si="0"/>
        <v>78.400000000000006</v>
      </c>
      <c r="J26" s="73">
        <f>G26/F3</f>
        <v>2.2727272727272728E-2</v>
      </c>
      <c r="K26" s="34">
        <v>102000</v>
      </c>
      <c r="L26" s="44">
        <f t="shared" si="1"/>
        <v>357</v>
      </c>
      <c r="M26" s="44">
        <f t="shared" si="2"/>
        <v>714</v>
      </c>
      <c r="N26" s="74">
        <f>L26/E3</f>
        <v>2.3959731543624163</v>
      </c>
      <c r="O26" s="75">
        <f>M26/F3</f>
        <v>2.3181818181818183</v>
      </c>
    </row>
    <row r="27" spans="1:15" ht="15.75">
      <c r="A27" s="69">
        <v>20</v>
      </c>
      <c r="B27" s="853" t="s">
        <v>51</v>
      </c>
      <c r="C27" s="71">
        <v>20</v>
      </c>
      <c r="D27" s="72"/>
      <c r="E27" s="72"/>
      <c r="F27" s="34">
        <v>5</v>
      </c>
      <c r="G27" s="35">
        <v>10</v>
      </c>
      <c r="H27" s="73">
        <f>F27/E3</f>
        <v>3.3557046979865772E-2</v>
      </c>
      <c r="I27" s="34">
        <f t="shared" si="0"/>
        <v>15</v>
      </c>
      <c r="J27" s="73">
        <f>G27/F3</f>
        <v>3.2467532467532464E-2</v>
      </c>
      <c r="K27" s="34">
        <v>107000</v>
      </c>
      <c r="L27" s="44">
        <f t="shared" si="1"/>
        <v>535</v>
      </c>
      <c r="M27" s="44">
        <f t="shared" si="2"/>
        <v>1070</v>
      </c>
      <c r="N27" s="74">
        <f>L27/E3</f>
        <v>3.5906040268456376</v>
      </c>
      <c r="O27" s="75">
        <f>M27/F3</f>
        <v>3.4740259740259742</v>
      </c>
    </row>
    <row r="28" spans="1:15" ht="15.75">
      <c r="A28" s="69">
        <v>21</v>
      </c>
      <c r="B28" s="234" t="s">
        <v>52</v>
      </c>
      <c r="C28" s="71">
        <v>73</v>
      </c>
      <c r="D28" s="72"/>
      <c r="E28" s="72"/>
      <c r="F28" s="34">
        <v>3</v>
      </c>
      <c r="G28" s="35">
        <v>6</v>
      </c>
      <c r="H28" s="73">
        <f>F28/E3</f>
        <v>2.0134228187919462E-2</v>
      </c>
      <c r="I28" s="34">
        <f t="shared" si="0"/>
        <v>70</v>
      </c>
      <c r="J28" s="73">
        <f>G28/F3</f>
        <v>1.948051948051948E-2</v>
      </c>
      <c r="K28" s="34">
        <v>100000</v>
      </c>
      <c r="L28" s="44">
        <f t="shared" si="1"/>
        <v>300</v>
      </c>
      <c r="M28" s="44">
        <f t="shared" si="2"/>
        <v>600</v>
      </c>
      <c r="N28" s="74">
        <f>L28/E3</f>
        <v>2.0134228187919465</v>
      </c>
      <c r="O28" s="75">
        <f>M28/F3</f>
        <v>1.948051948051948</v>
      </c>
    </row>
    <row r="29" spans="1:15" ht="15.75">
      <c r="A29" s="69">
        <v>22</v>
      </c>
      <c r="B29" s="853" t="s">
        <v>53</v>
      </c>
      <c r="C29" s="71">
        <v>32</v>
      </c>
      <c r="D29" s="72"/>
      <c r="E29" s="72"/>
      <c r="F29" s="34">
        <v>1</v>
      </c>
      <c r="G29" s="35">
        <v>2</v>
      </c>
      <c r="H29" s="73">
        <f>F29/E3</f>
        <v>6.7114093959731542E-3</v>
      </c>
      <c r="I29" s="34">
        <f t="shared" si="0"/>
        <v>31</v>
      </c>
      <c r="J29" s="73">
        <f>G29/F3</f>
        <v>6.4935064935064939E-3</v>
      </c>
      <c r="K29" s="34">
        <v>255000</v>
      </c>
      <c r="L29" s="44">
        <f t="shared" si="1"/>
        <v>255</v>
      </c>
      <c r="M29" s="44">
        <f t="shared" si="2"/>
        <v>510</v>
      </c>
      <c r="N29" s="74">
        <f>L29/E3</f>
        <v>1.7114093959731544</v>
      </c>
      <c r="O29" s="1047">
        <f>M29/F3</f>
        <v>1.6558441558441559</v>
      </c>
    </row>
    <row r="30" spans="1:15" ht="15.75">
      <c r="A30" s="69">
        <v>23</v>
      </c>
      <c r="B30" s="853" t="s">
        <v>54</v>
      </c>
      <c r="C30" s="71">
        <v>480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480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1355.1551677852347</v>
      </c>
      <c r="O32" s="985">
        <f>SUM(O8,O9,O10,O11,O12,O13,O14,O15,O16,O17,O18,O19,O20,O21,O22,O23,O24,O25,O26,O27,O28,O29,O30,O31,)</f>
        <v>1384.2642857142855</v>
      </c>
    </row>
    <row r="33" spans="1:15" ht="16.5" thickBot="1">
      <c r="A33" s="1035">
        <v>1</v>
      </c>
      <c r="B33" s="1036" t="s">
        <v>115</v>
      </c>
      <c r="C33" s="1037">
        <v>70</v>
      </c>
      <c r="D33" s="1096"/>
      <c r="E33" s="1096"/>
      <c r="F33" s="1034">
        <v>118.5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15" t="s">
        <v>144</v>
      </c>
      <c r="C34" s="966">
        <v>18</v>
      </c>
      <c r="D34" s="1096"/>
      <c r="E34" s="1096"/>
      <c r="F34" s="1023">
        <v>30.5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/>
      <c r="B35" s="33"/>
      <c r="C35" s="967"/>
      <c r="D35" s="1096"/>
      <c r="E35" s="1096"/>
      <c r="F35" s="1024"/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33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1.3551551677852347</v>
      </c>
      <c r="O36" s="980">
        <f>O32/1000</f>
        <v>1.3842642857142855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3</v>
      </c>
      <c r="B38" s="1032" t="s">
        <v>60</v>
      </c>
      <c r="C38" s="1033">
        <f>SUM(C33:C37,K33:K37)</f>
        <v>88</v>
      </c>
      <c r="D38" s="1523">
        <f>SUM(F33:F37,L33:L37)</f>
        <v>149</v>
      </c>
      <c r="E38" s="1524"/>
      <c r="F38" s="1525"/>
    </row>
  </sheetData>
  <mergeCells count="22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15748031496062992" right="0.11811023622047245" top="1.1000000000000001" bottom="0.15748031496062992" header="0.11811023622047245" footer="0.15748031496062992"/>
  <pageSetup scale="80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38"/>
  <sheetViews>
    <sheetView topLeftCell="A13" workbookViewId="0">
      <selection activeCell="I19" sqref="I19:I21"/>
    </sheetView>
  </sheetViews>
  <sheetFormatPr defaultRowHeight="15"/>
  <cols>
    <col min="2" max="2" width="28.5703125" customWidth="1"/>
    <col min="3" max="3" width="10" customWidth="1"/>
    <col min="8" max="8" width="10.42578125" customWidth="1"/>
    <col min="10" max="10" width="10.5703125" customWidth="1"/>
    <col min="12" max="12" width="11" customWidth="1"/>
    <col min="13" max="13" width="12.7109375" customWidth="1"/>
    <col min="15" max="15" width="11" customWidth="1"/>
  </cols>
  <sheetData>
    <row r="1" spans="1:15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130</v>
      </c>
      <c r="F3" s="3">
        <v>438</v>
      </c>
      <c r="G3" s="1516" t="s">
        <v>162</v>
      </c>
      <c r="H3" s="1517"/>
      <c r="I3" s="1129" t="s">
        <v>163</v>
      </c>
      <c r="J3" s="1130"/>
      <c r="K3" s="1130"/>
      <c r="L3" s="1130"/>
      <c r="M3" s="1130"/>
      <c r="N3" s="1130"/>
      <c r="O3" s="1131"/>
    </row>
    <row r="4" spans="1:15" ht="21.75" thickTop="1" thickBot="1">
      <c r="A4" s="1487" t="s">
        <v>5</v>
      </c>
      <c r="B4" s="1488"/>
      <c r="C4" s="1503" t="s">
        <v>6</v>
      </c>
      <c r="D4" s="1504"/>
      <c r="E4" s="5"/>
      <c r="F4" s="938"/>
      <c r="G4" s="1519" t="s">
        <v>157</v>
      </c>
      <c r="H4" s="1520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23550</v>
      </c>
      <c r="D8" s="23"/>
      <c r="E8" s="22"/>
      <c r="F8" s="22">
        <v>3100</v>
      </c>
      <c r="G8" s="24">
        <v>10850</v>
      </c>
      <c r="H8" s="25">
        <f>F8/E3</f>
        <v>23.846153846153847</v>
      </c>
      <c r="I8" s="22">
        <f>(C8-F8)+D8</f>
        <v>20450</v>
      </c>
      <c r="J8" s="26">
        <f>G8/F3</f>
        <v>24.771689497716896</v>
      </c>
      <c r="K8" s="24">
        <v>36000</v>
      </c>
      <c r="L8" s="27">
        <f t="shared" ref="L8:L31" si="0">(F8/1000)*K8</f>
        <v>111600</v>
      </c>
      <c r="M8" s="28">
        <f t="shared" ref="M8:M31" si="1">(G8/1000)*K8</f>
        <v>390600</v>
      </c>
      <c r="N8" s="29">
        <f>L8/E3</f>
        <v>858.46153846153845</v>
      </c>
      <c r="O8" s="30">
        <f>M8/F3</f>
        <v>891.78082191780823</v>
      </c>
    </row>
    <row r="9" spans="1:15" ht="15.75">
      <c r="A9" s="31">
        <v>2</v>
      </c>
      <c r="B9" s="817" t="s">
        <v>33</v>
      </c>
      <c r="C9" s="33">
        <v>2125</v>
      </c>
      <c r="D9" s="34"/>
      <c r="E9" s="33"/>
      <c r="F9" s="33">
        <v>229</v>
      </c>
      <c r="G9" s="35">
        <v>674</v>
      </c>
      <c r="H9" s="36">
        <f>F9/E3</f>
        <v>1.7615384615384615</v>
      </c>
      <c r="I9" s="33">
        <f t="shared" ref="I9:I31" si="2">(C9-F9)+D9</f>
        <v>1896</v>
      </c>
      <c r="J9" s="37">
        <f>G9/F3</f>
        <v>1.5388127853881279</v>
      </c>
      <c r="K9" s="35">
        <v>33500</v>
      </c>
      <c r="L9" s="38">
        <f t="shared" si="0"/>
        <v>7671.5</v>
      </c>
      <c r="M9" s="38">
        <f t="shared" si="1"/>
        <v>22579</v>
      </c>
      <c r="N9" s="39">
        <f>L9/E3</f>
        <v>59.011538461538464</v>
      </c>
      <c r="O9" s="40">
        <f>M9/F3</f>
        <v>51.550228310502284</v>
      </c>
    </row>
    <row r="10" spans="1:15" ht="15.75">
      <c r="A10" s="31">
        <v>3</v>
      </c>
      <c r="B10" s="817" t="s">
        <v>34</v>
      </c>
      <c r="C10" s="33">
        <v>4222</v>
      </c>
      <c r="D10" s="34"/>
      <c r="E10" s="33"/>
      <c r="F10" s="33">
        <v>77</v>
      </c>
      <c r="G10" s="35">
        <v>244</v>
      </c>
      <c r="H10" s="36">
        <f>F10/E3</f>
        <v>0.59230769230769231</v>
      </c>
      <c r="I10" s="33">
        <f t="shared" si="2"/>
        <v>4145</v>
      </c>
      <c r="J10" s="37">
        <f>G10/F3</f>
        <v>0.55707762557077622</v>
      </c>
      <c r="K10" s="35">
        <v>98000</v>
      </c>
      <c r="L10" s="38">
        <f t="shared" si="0"/>
        <v>7546</v>
      </c>
      <c r="M10" s="38">
        <f t="shared" si="1"/>
        <v>23912</v>
      </c>
      <c r="N10" s="39">
        <f>L10/E3</f>
        <v>58.04615384615385</v>
      </c>
      <c r="O10" s="40">
        <f>M10/F3</f>
        <v>54.593607305936075</v>
      </c>
    </row>
    <row r="11" spans="1:15" ht="15.75">
      <c r="A11" s="31">
        <v>4</v>
      </c>
      <c r="B11" s="817" t="s">
        <v>35</v>
      </c>
      <c r="C11" s="33">
        <v>17</v>
      </c>
      <c r="D11" s="34"/>
      <c r="E11" s="33"/>
      <c r="F11" s="33">
        <v>0.08</v>
      </c>
      <c r="G11" s="41">
        <v>0.16</v>
      </c>
      <c r="H11" s="42">
        <f>F11/E3</f>
        <v>6.1538461538461541E-4</v>
      </c>
      <c r="I11" s="33">
        <f t="shared" si="2"/>
        <v>16.920000000000002</v>
      </c>
      <c r="J11" s="43">
        <f>G11/F3</f>
        <v>3.6529680365296805E-4</v>
      </c>
      <c r="K11" s="35">
        <v>750000</v>
      </c>
      <c r="L11" s="38">
        <f t="shared" si="0"/>
        <v>60.000000000000007</v>
      </c>
      <c r="M11" s="38">
        <f t="shared" si="1"/>
        <v>120.00000000000001</v>
      </c>
      <c r="N11" s="39">
        <f>L11/E3</f>
        <v>0.46153846153846162</v>
      </c>
      <c r="O11" s="40">
        <f>M11/F3</f>
        <v>0.27397260273972607</v>
      </c>
    </row>
    <row r="12" spans="1:15" ht="15.75">
      <c r="A12" s="31">
        <v>5</v>
      </c>
      <c r="B12" s="817" t="s">
        <v>36</v>
      </c>
      <c r="C12" s="33">
        <v>904.2</v>
      </c>
      <c r="D12" s="34"/>
      <c r="E12" s="33"/>
      <c r="F12" s="33">
        <v>14.5</v>
      </c>
      <c r="G12" s="63">
        <v>54.8</v>
      </c>
      <c r="H12" s="36">
        <f>F12/E3</f>
        <v>0.11153846153846154</v>
      </c>
      <c r="I12" s="33">
        <f t="shared" si="2"/>
        <v>889.7</v>
      </c>
      <c r="J12" s="37">
        <f>G12/F3</f>
        <v>0.12511415525114156</v>
      </c>
      <c r="K12" s="35">
        <v>350000</v>
      </c>
      <c r="L12" s="38">
        <f t="shared" si="0"/>
        <v>5075</v>
      </c>
      <c r="M12" s="38">
        <f t="shared" si="1"/>
        <v>19179.999999999996</v>
      </c>
      <c r="N12" s="39">
        <f>L12/E3</f>
        <v>39.03846153846154</v>
      </c>
      <c r="O12" s="40">
        <f>M12/F3</f>
        <v>43.789954337899538</v>
      </c>
    </row>
    <row r="13" spans="1:15" ht="15.75">
      <c r="A13" s="31">
        <v>6</v>
      </c>
      <c r="B13" s="817" t="s">
        <v>37</v>
      </c>
      <c r="C13" s="33">
        <v>800</v>
      </c>
      <c r="D13" s="34"/>
      <c r="E13" s="33"/>
      <c r="F13" s="159">
        <v>50</v>
      </c>
      <c r="G13" s="142">
        <v>190</v>
      </c>
      <c r="H13" s="36">
        <f>F13/E3</f>
        <v>0.38461538461538464</v>
      </c>
      <c r="I13" s="33">
        <f t="shared" si="2"/>
        <v>750</v>
      </c>
      <c r="J13" s="37">
        <f>G13/F3</f>
        <v>0.43378995433789952</v>
      </c>
      <c r="K13" s="35">
        <v>215000</v>
      </c>
      <c r="L13" s="38">
        <f t="shared" si="0"/>
        <v>10750</v>
      </c>
      <c r="M13" s="38">
        <f t="shared" si="1"/>
        <v>40850</v>
      </c>
      <c r="N13" s="39">
        <f>L13/E3</f>
        <v>82.692307692307693</v>
      </c>
      <c r="O13" s="40">
        <f>M13/F3</f>
        <v>93.264840182648399</v>
      </c>
    </row>
    <row r="14" spans="1:15" ht="15.75">
      <c r="A14" s="31">
        <v>7</v>
      </c>
      <c r="B14" s="817" t="s">
        <v>38</v>
      </c>
      <c r="C14" s="33">
        <v>3050</v>
      </c>
      <c r="D14" s="34"/>
      <c r="E14" s="1016"/>
      <c r="F14" s="33">
        <v>54</v>
      </c>
      <c r="G14" s="35">
        <v>162</v>
      </c>
      <c r="H14" s="1017">
        <f>F14/E3</f>
        <v>0.41538461538461541</v>
      </c>
      <c r="I14" s="33">
        <f t="shared" si="2"/>
        <v>2996</v>
      </c>
      <c r="J14" s="37">
        <f>G14/F3</f>
        <v>0.36986301369863012</v>
      </c>
      <c r="K14" s="35">
        <v>151000</v>
      </c>
      <c r="L14" s="38">
        <f t="shared" si="0"/>
        <v>8154</v>
      </c>
      <c r="M14" s="38">
        <f t="shared" si="1"/>
        <v>24462</v>
      </c>
      <c r="N14" s="39">
        <f>L14/E3</f>
        <v>62.723076923076924</v>
      </c>
      <c r="O14" s="40">
        <f>M14/F3</f>
        <v>55.849315068493148</v>
      </c>
    </row>
    <row r="15" spans="1:15" ht="15.75">
      <c r="A15" s="31">
        <v>8</v>
      </c>
      <c r="B15" s="817" t="s">
        <v>39</v>
      </c>
      <c r="C15" s="33">
        <v>885</v>
      </c>
      <c r="D15" s="33"/>
      <c r="E15" s="33"/>
      <c r="F15" s="1018">
        <v>18</v>
      </c>
      <c r="G15" s="1019">
        <v>53</v>
      </c>
      <c r="H15" s="36">
        <f>F15/E3</f>
        <v>0.13846153846153847</v>
      </c>
      <c r="I15" s="33">
        <f t="shared" si="2"/>
        <v>867</v>
      </c>
      <c r="J15" s="37">
        <f>G15/F3</f>
        <v>0.12100456621004566</v>
      </c>
      <c r="K15" s="35">
        <v>255000</v>
      </c>
      <c r="L15" s="38">
        <f t="shared" si="0"/>
        <v>4590</v>
      </c>
      <c r="M15" s="38">
        <f t="shared" si="1"/>
        <v>13515</v>
      </c>
      <c r="N15" s="39">
        <f>L15/E3</f>
        <v>35.307692307692307</v>
      </c>
      <c r="O15" s="40">
        <f>M15/F3</f>
        <v>30.856164383561644</v>
      </c>
    </row>
    <row r="16" spans="1:15" ht="15.75">
      <c r="A16" s="31">
        <v>9</v>
      </c>
      <c r="B16" s="817" t="s">
        <v>40</v>
      </c>
      <c r="C16" s="33">
        <v>19</v>
      </c>
      <c r="D16" s="34"/>
      <c r="E16" s="33"/>
      <c r="F16" s="33">
        <v>1</v>
      </c>
      <c r="G16" s="35">
        <v>1</v>
      </c>
      <c r="H16" s="36">
        <f>F16/E3</f>
        <v>7.6923076923076927E-3</v>
      </c>
      <c r="I16" s="33">
        <f t="shared" si="2"/>
        <v>18</v>
      </c>
      <c r="J16" s="37">
        <f>G16/F3</f>
        <v>2.2831050228310501E-3</v>
      </c>
      <c r="K16" s="35">
        <v>348200</v>
      </c>
      <c r="L16" s="38">
        <f t="shared" si="0"/>
        <v>348.2</v>
      </c>
      <c r="M16" s="44">
        <f t="shared" si="1"/>
        <v>348.2</v>
      </c>
      <c r="N16" s="39">
        <f>L16/E3</f>
        <v>2.6784615384615384</v>
      </c>
      <c r="O16" s="40">
        <f>M16/F3</f>
        <v>0.79497716894977166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994">
        <v>0</v>
      </c>
      <c r="H17" s="995">
        <f>F17/E3</f>
        <v>0</v>
      </c>
      <c r="I17" s="993">
        <f t="shared" si="2"/>
        <v>2500</v>
      </c>
      <c r="J17" s="995">
        <f>G17/F3</f>
        <v>0</v>
      </c>
      <c r="K17" s="994">
        <v>180000</v>
      </c>
      <c r="L17" s="996">
        <f t="shared" si="0"/>
        <v>0</v>
      </c>
      <c r="M17" s="996">
        <f t="shared" si="1"/>
        <v>0</v>
      </c>
      <c r="N17" s="996">
        <f>L17/E3</f>
        <v>0</v>
      </c>
      <c r="O17" s="997">
        <f>M17/F3</f>
        <v>0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2"/>
        <v>0</v>
      </c>
      <c r="J18" s="55">
        <f>G18/F3</f>
        <v>0</v>
      </c>
      <c r="K18" s="54">
        <v>200000</v>
      </c>
      <c r="L18" s="56">
        <f t="shared" si="0"/>
        <v>0</v>
      </c>
      <c r="M18" s="56">
        <f t="shared" si="1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188.60000000000002</v>
      </c>
      <c r="D19" s="61"/>
      <c r="E19" s="61"/>
      <c r="F19" s="62">
        <v>7.5</v>
      </c>
      <c r="G19" s="925">
        <v>22</v>
      </c>
      <c r="H19" s="64">
        <f>F19/E3</f>
        <v>5.7692307692307696E-2</v>
      </c>
      <c r="I19" s="65">
        <f t="shared" si="2"/>
        <v>181.10000000000002</v>
      </c>
      <c r="J19" s="66">
        <f>G19/F3</f>
        <v>5.0228310502283102E-2</v>
      </c>
      <c r="K19" s="60">
        <v>377600</v>
      </c>
      <c r="L19" s="67">
        <f t="shared" si="0"/>
        <v>2832</v>
      </c>
      <c r="M19" s="67">
        <f t="shared" si="1"/>
        <v>8307.1999999999989</v>
      </c>
      <c r="N19" s="67">
        <f>L19/E3</f>
        <v>21.784615384615385</v>
      </c>
      <c r="O19" s="68">
        <f>M19/F3</f>
        <v>18.966210045662098</v>
      </c>
    </row>
    <row r="20" spans="1:15" ht="15.75">
      <c r="A20" s="58">
        <v>13</v>
      </c>
      <c r="B20" s="843" t="s">
        <v>44</v>
      </c>
      <c r="C20" s="60">
        <v>203.49999999999997</v>
      </c>
      <c r="D20" s="61"/>
      <c r="E20" s="61"/>
      <c r="F20" s="62">
        <v>4.5</v>
      </c>
      <c r="G20" s="925">
        <v>13.9</v>
      </c>
      <c r="H20" s="66">
        <f>F20/E3</f>
        <v>3.4615384615384617E-2</v>
      </c>
      <c r="I20" s="60">
        <f t="shared" si="2"/>
        <v>198.99999999999997</v>
      </c>
      <c r="J20" s="66">
        <f>G20/F3</f>
        <v>3.1735159817351602E-2</v>
      </c>
      <c r="K20" s="60">
        <v>271400</v>
      </c>
      <c r="L20" s="67">
        <f t="shared" si="0"/>
        <v>1221.3</v>
      </c>
      <c r="M20" s="67">
        <f t="shared" si="1"/>
        <v>3772.46</v>
      </c>
      <c r="N20" s="67">
        <f>L20/E3</f>
        <v>9.3946153846153848</v>
      </c>
      <c r="O20" s="68">
        <f>M20/F3</f>
        <v>8.6129223744292247</v>
      </c>
    </row>
    <row r="21" spans="1:15" ht="15.75">
      <c r="A21" s="58">
        <v>14</v>
      </c>
      <c r="B21" s="843" t="s">
        <v>45</v>
      </c>
      <c r="C21" s="60">
        <v>2590</v>
      </c>
      <c r="D21" s="61"/>
      <c r="E21" s="61"/>
      <c r="F21" s="62">
        <v>67.2</v>
      </c>
      <c r="G21" s="925">
        <v>195.3</v>
      </c>
      <c r="H21" s="66">
        <f>F21/E3</f>
        <v>0.51692307692307693</v>
      </c>
      <c r="I21" s="61">
        <f t="shared" si="2"/>
        <v>2522.8000000000002</v>
      </c>
      <c r="J21" s="66">
        <f>G21/F3</f>
        <v>0.44589041095890414</v>
      </c>
      <c r="K21" s="60">
        <v>271400</v>
      </c>
      <c r="L21" s="67">
        <f t="shared" si="0"/>
        <v>18238.080000000002</v>
      </c>
      <c r="M21" s="67">
        <f t="shared" si="1"/>
        <v>53004.42</v>
      </c>
      <c r="N21" s="67">
        <f>L21/E3</f>
        <v>140.2929230769231</v>
      </c>
      <c r="O21" s="68">
        <f>M21/F3</f>
        <v>121.01465753424657</v>
      </c>
    </row>
    <row r="22" spans="1:15" ht="15.75">
      <c r="A22" s="69">
        <v>15</v>
      </c>
      <c r="B22" s="853" t="s">
        <v>46</v>
      </c>
      <c r="C22" s="71">
        <v>62</v>
      </c>
      <c r="D22" s="72"/>
      <c r="E22" s="72"/>
      <c r="F22" s="34">
        <v>3</v>
      </c>
      <c r="G22" s="35">
        <v>3</v>
      </c>
      <c r="H22" s="73">
        <f>F22/E3</f>
        <v>2.3076923076923078E-2</v>
      </c>
      <c r="I22" s="34">
        <f t="shared" si="2"/>
        <v>59</v>
      </c>
      <c r="J22" s="73">
        <f>G22/F3</f>
        <v>6.8493150684931503E-3</v>
      </c>
      <c r="K22" s="34">
        <v>41000</v>
      </c>
      <c r="L22" s="44">
        <f t="shared" si="0"/>
        <v>123</v>
      </c>
      <c r="M22" s="44">
        <f t="shared" si="1"/>
        <v>123</v>
      </c>
      <c r="N22" s="74">
        <f>L22/E3</f>
        <v>0.94615384615384612</v>
      </c>
      <c r="O22" s="75">
        <f>M22/F3</f>
        <v>0.28082191780821919</v>
      </c>
    </row>
    <row r="23" spans="1:15" ht="15.75">
      <c r="A23" s="69">
        <v>16</v>
      </c>
      <c r="B23" s="234" t="s">
        <v>47</v>
      </c>
      <c r="C23" s="71">
        <v>250</v>
      </c>
      <c r="D23" s="72"/>
      <c r="E23" s="34"/>
      <c r="F23" s="34">
        <v>20.399999999999999</v>
      </c>
      <c r="G23" s="63">
        <v>49.2</v>
      </c>
      <c r="H23" s="73">
        <f>F23/E3</f>
        <v>0.15692307692307692</v>
      </c>
      <c r="I23" s="34">
        <f t="shared" si="2"/>
        <v>229.6</v>
      </c>
      <c r="J23" s="73">
        <f>G23/F3</f>
        <v>0.11232876712328768</v>
      </c>
      <c r="K23" s="34">
        <v>24000</v>
      </c>
      <c r="L23" s="44">
        <f t="shared" si="0"/>
        <v>489.59999999999997</v>
      </c>
      <c r="M23" s="44">
        <f t="shared" si="1"/>
        <v>1180.8</v>
      </c>
      <c r="N23" s="74">
        <f>L23/E3</f>
        <v>3.7661538461538457</v>
      </c>
      <c r="O23" s="75">
        <f>M23/F3</f>
        <v>2.6958904109589041</v>
      </c>
    </row>
    <row r="24" spans="1:15" ht="15.75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2"/>
        <v>240</v>
      </c>
      <c r="J24" s="73">
        <f>G24/F3</f>
        <v>0</v>
      </c>
      <c r="K24" s="34">
        <v>13210</v>
      </c>
      <c r="L24" s="44">
        <f t="shared" si="0"/>
        <v>0</v>
      </c>
      <c r="M24" s="44">
        <f t="shared" si="1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45</v>
      </c>
      <c r="D25" s="72"/>
      <c r="E25" s="34"/>
      <c r="F25" s="34">
        <v>5</v>
      </c>
      <c r="G25" s="35">
        <v>15</v>
      </c>
      <c r="H25" s="73">
        <f>F25/E3</f>
        <v>3.8461538461538464E-2</v>
      </c>
      <c r="I25" s="34">
        <f t="shared" si="2"/>
        <v>40</v>
      </c>
      <c r="J25" s="73">
        <f>G25/F3</f>
        <v>3.4246575342465752E-2</v>
      </c>
      <c r="K25" s="34">
        <v>14400</v>
      </c>
      <c r="L25" s="44">
        <f t="shared" si="0"/>
        <v>72</v>
      </c>
      <c r="M25" s="44">
        <f t="shared" si="1"/>
        <v>216</v>
      </c>
      <c r="N25" s="74">
        <f>L25/E3</f>
        <v>0.55384615384615388</v>
      </c>
      <c r="O25" s="75">
        <f>M25/F3</f>
        <v>0.49315068493150682</v>
      </c>
    </row>
    <row r="26" spans="1:15" ht="15.75">
      <c r="A26" s="69">
        <v>19</v>
      </c>
      <c r="B26" s="853" t="s">
        <v>50</v>
      </c>
      <c r="C26" s="71">
        <v>76.5</v>
      </c>
      <c r="D26" s="34"/>
      <c r="E26" s="72"/>
      <c r="F26" s="34">
        <v>3.5</v>
      </c>
      <c r="G26" s="63">
        <v>10.5</v>
      </c>
      <c r="H26" s="73">
        <f>F26/E3</f>
        <v>2.6923076923076925E-2</v>
      </c>
      <c r="I26" s="34">
        <f t="shared" si="2"/>
        <v>73</v>
      </c>
      <c r="J26" s="73">
        <f>G26/F3</f>
        <v>2.3972602739726026E-2</v>
      </c>
      <c r="K26" s="34">
        <v>102000</v>
      </c>
      <c r="L26" s="44">
        <f t="shared" si="0"/>
        <v>357</v>
      </c>
      <c r="M26" s="44">
        <f t="shared" si="1"/>
        <v>1071</v>
      </c>
      <c r="N26" s="74">
        <f>L26/E3</f>
        <v>2.7461538461538462</v>
      </c>
      <c r="O26" s="75">
        <f>M26/F3</f>
        <v>2.4452054794520546</v>
      </c>
    </row>
    <row r="27" spans="1:15" ht="15.75">
      <c r="A27" s="69">
        <v>20</v>
      </c>
      <c r="B27" s="853" t="s">
        <v>51</v>
      </c>
      <c r="C27" s="71">
        <v>45</v>
      </c>
      <c r="D27" s="72"/>
      <c r="E27" s="72"/>
      <c r="F27" s="34">
        <v>5</v>
      </c>
      <c r="G27" s="35">
        <v>15</v>
      </c>
      <c r="H27" s="73">
        <f>F27/E3</f>
        <v>3.8461538461538464E-2</v>
      </c>
      <c r="I27" s="34">
        <f t="shared" si="2"/>
        <v>40</v>
      </c>
      <c r="J27" s="73">
        <f>G27/F3</f>
        <v>3.4246575342465752E-2</v>
      </c>
      <c r="K27" s="34">
        <v>107000</v>
      </c>
      <c r="L27" s="44">
        <f t="shared" si="0"/>
        <v>535</v>
      </c>
      <c r="M27" s="44">
        <f t="shared" si="1"/>
        <v>1605</v>
      </c>
      <c r="N27" s="74">
        <f>L27/E3</f>
        <v>4.115384615384615</v>
      </c>
      <c r="O27" s="75">
        <f>M27/F3</f>
        <v>3.6643835616438358</v>
      </c>
    </row>
    <row r="28" spans="1:15" ht="15.75">
      <c r="A28" s="69">
        <v>21</v>
      </c>
      <c r="B28" s="234" t="s">
        <v>52</v>
      </c>
      <c r="C28" s="71">
        <v>77</v>
      </c>
      <c r="D28" s="72"/>
      <c r="E28" s="72"/>
      <c r="F28" s="34">
        <v>3</v>
      </c>
      <c r="G28" s="35">
        <v>9</v>
      </c>
      <c r="H28" s="73">
        <f>F28/E3</f>
        <v>2.3076923076923078E-2</v>
      </c>
      <c r="I28" s="34">
        <f t="shared" si="2"/>
        <v>74</v>
      </c>
      <c r="J28" s="73">
        <f>G28/F3</f>
        <v>2.0547945205479451E-2</v>
      </c>
      <c r="K28" s="34">
        <v>100000</v>
      </c>
      <c r="L28" s="44">
        <f t="shared" si="0"/>
        <v>300</v>
      </c>
      <c r="M28" s="44">
        <f t="shared" si="1"/>
        <v>899.99999999999989</v>
      </c>
      <c r="N28" s="74">
        <f>L28/E3</f>
        <v>2.3076923076923075</v>
      </c>
      <c r="O28" s="75">
        <f>M28/F3</f>
        <v>2.054794520547945</v>
      </c>
    </row>
    <row r="29" spans="1:15" ht="15.75">
      <c r="A29" s="69">
        <v>22</v>
      </c>
      <c r="B29" s="853" t="s">
        <v>53</v>
      </c>
      <c r="C29" s="71">
        <v>31</v>
      </c>
      <c r="D29" s="72"/>
      <c r="E29" s="72"/>
      <c r="F29" s="34">
        <v>1</v>
      </c>
      <c r="G29" s="35">
        <v>3</v>
      </c>
      <c r="H29" s="73">
        <f>F29/E3</f>
        <v>7.6923076923076927E-3</v>
      </c>
      <c r="I29" s="34">
        <f t="shared" si="2"/>
        <v>30</v>
      </c>
      <c r="J29" s="73">
        <f>G29/F3</f>
        <v>6.8493150684931503E-3</v>
      </c>
      <c r="K29" s="34">
        <v>255000</v>
      </c>
      <c r="L29" s="44">
        <f t="shared" si="0"/>
        <v>255</v>
      </c>
      <c r="M29" s="44">
        <f t="shared" si="1"/>
        <v>765</v>
      </c>
      <c r="N29" s="74">
        <f>L29/E3</f>
        <v>1.9615384615384615</v>
      </c>
      <c r="O29" s="1047">
        <f>M29/F3</f>
        <v>1.7465753424657535</v>
      </c>
    </row>
    <row r="30" spans="1:15" ht="15.75">
      <c r="A30" s="69">
        <v>23</v>
      </c>
      <c r="B30" s="853" t="s">
        <v>54</v>
      </c>
      <c r="C30" s="71">
        <v>250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2"/>
        <v>250</v>
      </c>
      <c r="J30" s="73">
        <f>G30/F3</f>
        <v>0</v>
      </c>
      <c r="K30" s="34">
        <v>56000</v>
      </c>
      <c r="L30" s="44">
        <f t="shared" si="0"/>
        <v>0</v>
      </c>
      <c r="M30" s="44">
        <f t="shared" si="1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2"/>
        <v>0</v>
      </c>
      <c r="J31" s="84">
        <f>G31/F3</f>
        <v>0</v>
      </c>
      <c r="K31" s="85">
        <v>90000</v>
      </c>
      <c r="L31" s="86">
        <f t="shared" si="0"/>
        <v>0</v>
      </c>
      <c r="M31" s="86">
        <f t="shared" si="1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1386.2898461538464</v>
      </c>
      <c r="O32" s="985">
        <f>SUM(O8,O9,O10,O11,O12,O13,O14,O15,O16,O17,O18,O19,O20,O21,O22,O23,O24,O25,O26,O27,O28,O29,O30,O31,)</f>
        <v>1384.7284931506852</v>
      </c>
    </row>
    <row r="33" spans="1:15" ht="16.5" thickBot="1">
      <c r="A33" s="1035">
        <v>1</v>
      </c>
      <c r="B33" s="1036" t="s">
        <v>115</v>
      </c>
      <c r="C33" s="1037">
        <v>18</v>
      </c>
      <c r="D33" s="1096"/>
      <c r="E33" s="1096"/>
      <c r="F33" s="1034">
        <v>31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15" t="s">
        <v>134</v>
      </c>
      <c r="C34" s="966">
        <v>9</v>
      </c>
      <c r="D34" s="1096"/>
      <c r="E34" s="1096"/>
      <c r="F34" s="1023">
        <v>15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>
        <v>3</v>
      </c>
      <c r="B35" s="817" t="s">
        <v>82</v>
      </c>
      <c r="C35" s="967">
        <v>49</v>
      </c>
      <c r="D35" s="1096"/>
      <c r="E35" s="1096"/>
      <c r="F35" s="1024">
        <v>84</v>
      </c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33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1.3862898461538464</v>
      </c>
      <c r="O36" s="980">
        <f>O32/1000</f>
        <v>1.3847284931506851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3</v>
      </c>
      <c r="B38" s="1032" t="s">
        <v>60</v>
      </c>
      <c r="C38" s="1033">
        <f>SUM(C33:C37,K33:K37)</f>
        <v>76</v>
      </c>
      <c r="D38" s="1523">
        <f>SUM(F33:F37,L33:L37)</f>
        <v>130</v>
      </c>
      <c r="E38" s="1524"/>
      <c r="F38" s="1525"/>
    </row>
  </sheetData>
  <mergeCells count="22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7" right="0.7" top="0.75" bottom="0.75" header="0.3" footer="0.3"/>
  <pageSetup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38"/>
  <sheetViews>
    <sheetView topLeftCell="A14" workbookViewId="0">
      <selection activeCell="Q30" sqref="Q30"/>
    </sheetView>
  </sheetViews>
  <sheetFormatPr defaultRowHeight="15"/>
  <cols>
    <col min="1" max="1" width="5.42578125" customWidth="1"/>
    <col min="2" max="2" width="28.140625" customWidth="1"/>
    <col min="3" max="3" width="10.140625" customWidth="1"/>
    <col min="4" max="4" width="8.140625" customWidth="1"/>
    <col min="5" max="5" width="8.42578125" customWidth="1"/>
    <col min="8" max="8" width="10.5703125" customWidth="1"/>
    <col min="10" max="10" width="11.28515625" customWidth="1"/>
    <col min="12" max="12" width="12.140625" customWidth="1"/>
    <col min="13" max="13" width="12.85546875" customWidth="1"/>
    <col min="15" max="15" width="9.7109375" customWidth="1"/>
  </cols>
  <sheetData>
    <row r="1" spans="1:15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143</v>
      </c>
      <c r="F3" s="3">
        <v>581</v>
      </c>
      <c r="G3" s="1526" t="s">
        <v>164</v>
      </c>
      <c r="H3" s="1527"/>
      <c r="I3" s="1129" t="s">
        <v>165</v>
      </c>
      <c r="J3" s="1130"/>
      <c r="K3" s="1130"/>
      <c r="L3" s="1130"/>
      <c r="M3" s="1130"/>
      <c r="N3" s="1130"/>
      <c r="O3" s="1131"/>
    </row>
    <row r="4" spans="1:15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20450</v>
      </c>
      <c r="D8" s="23"/>
      <c r="E8" s="22"/>
      <c r="F8" s="22">
        <v>3050</v>
      </c>
      <c r="G8" s="24">
        <v>13900</v>
      </c>
      <c r="H8" s="25">
        <f>F8/E3</f>
        <v>21.32867132867133</v>
      </c>
      <c r="I8" s="22">
        <f t="shared" ref="I8:I31" si="0">(C8-F8)+D8</f>
        <v>17400</v>
      </c>
      <c r="J8" s="26">
        <f>G8/F3</f>
        <v>23.924268502581757</v>
      </c>
      <c r="K8" s="24">
        <v>36000</v>
      </c>
      <c r="L8" s="27">
        <f t="shared" ref="L8:L31" si="1">(F8/1000)*K8</f>
        <v>109800</v>
      </c>
      <c r="M8" s="28">
        <f t="shared" ref="M8:M31" si="2">(G8/1000)*K8</f>
        <v>500400</v>
      </c>
      <c r="N8" s="29">
        <f>L8/E3</f>
        <v>767.83216783216778</v>
      </c>
      <c r="O8" s="30">
        <f>M8/F3</f>
        <v>861.27366609294324</v>
      </c>
    </row>
    <row r="9" spans="1:15" ht="15.75">
      <c r="A9" s="31">
        <v>2</v>
      </c>
      <c r="B9" s="817" t="s">
        <v>33</v>
      </c>
      <c r="C9" s="33">
        <v>1896</v>
      </c>
      <c r="D9" s="34"/>
      <c r="E9" s="33"/>
      <c r="F9" s="33">
        <v>225</v>
      </c>
      <c r="G9" s="35">
        <v>899</v>
      </c>
      <c r="H9" s="36">
        <f>F9/E3</f>
        <v>1.5734265734265733</v>
      </c>
      <c r="I9" s="33">
        <f t="shared" si="0"/>
        <v>1671</v>
      </c>
      <c r="J9" s="37">
        <f>G9/F3</f>
        <v>1.5473321858864026</v>
      </c>
      <c r="K9" s="35">
        <v>33500</v>
      </c>
      <c r="L9" s="38">
        <f t="shared" si="1"/>
        <v>7537.5</v>
      </c>
      <c r="M9" s="38">
        <f t="shared" si="2"/>
        <v>30116.5</v>
      </c>
      <c r="N9" s="39">
        <f>L9/E3</f>
        <v>52.709790209790206</v>
      </c>
      <c r="O9" s="40">
        <f>M9/F3</f>
        <v>51.835628227194491</v>
      </c>
    </row>
    <row r="10" spans="1:15" ht="15.75">
      <c r="A10" s="31">
        <v>3</v>
      </c>
      <c r="B10" s="817" t="s">
        <v>34</v>
      </c>
      <c r="C10" s="33">
        <v>4145</v>
      </c>
      <c r="D10" s="34"/>
      <c r="E10" s="33"/>
      <c r="F10" s="33">
        <v>80</v>
      </c>
      <c r="G10" s="35">
        <v>324</v>
      </c>
      <c r="H10" s="36">
        <f>F10/E3</f>
        <v>0.55944055944055948</v>
      </c>
      <c r="I10" s="33">
        <f t="shared" si="0"/>
        <v>4065</v>
      </c>
      <c r="J10" s="37">
        <f>G10/F3</f>
        <v>0.55765920826161786</v>
      </c>
      <c r="K10" s="35">
        <v>98000</v>
      </c>
      <c r="L10" s="38">
        <f t="shared" si="1"/>
        <v>7840</v>
      </c>
      <c r="M10" s="38">
        <f t="shared" si="2"/>
        <v>31752</v>
      </c>
      <c r="N10" s="39">
        <f>L10/E3</f>
        <v>54.825174825174827</v>
      </c>
      <c r="O10" s="40">
        <f>M10/F3</f>
        <v>54.650602409638552</v>
      </c>
    </row>
    <row r="11" spans="1:15" ht="15.75">
      <c r="A11" s="31">
        <v>4</v>
      </c>
      <c r="B11" s="817" t="s">
        <v>35</v>
      </c>
      <c r="C11" s="33">
        <v>16.920000000000002</v>
      </c>
      <c r="D11" s="34"/>
      <c r="E11" s="33"/>
      <c r="F11" s="33">
        <v>0</v>
      </c>
      <c r="G11" s="41">
        <v>0.16</v>
      </c>
      <c r="H11" s="42">
        <f>F11/E3</f>
        <v>0</v>
      </c>
      <c r="I11" s="33">
        <f t="shared" si="0"/>
        <v>16.920000000000002</v>
      </c>
      <c r="J11" s="43">
        <f>G11/F3</f>
        <v>2.7538726333907059E-4</v>
      </c>
      <c r="K11" s="35">
        <v>750000</v>
      </c>
      <c r="L11" s="38">
        <f t="shared" si="1"/>
        <v>0</v>
      </c>
      <c r="M11" s="38">
        <f t="shared" si="2"/>
        <v>120.00000000000001</v>
      </c>
      <c r="N11" s="39">
        <f>L11/E3</f>
        <v>0</v>
      </c>
      <c r="O11" s="40">
        <f>M11/F3</f>
        <v>0.20654044750430295</v>
      </c>
    </row>
    <row r="12" spans="1:15" ht="15.75">
      <c r="A12" s="31">
        <v>5</v>
      </c>
      <c r="B12" s="817" t="s">
        <v>36</v>
      </c>
      <c r="C12" s="33">
        <v>889.7</v>
      </c>
      <c r="D12" s="34"/>
      <c r="E12" s="33"/>
      <c r="F12" s="33">
        <v>17</v>
      </c>
      <c r="G12" s="63">
        <v>71.8</v>
      </c>
      <c r="H12" s="36">
        <f>F12/E3</f>
        <v>0.11888111888111888</v>
      </c>
      <c r="I12" s="33">
        <f t="shared" si="0"/>
        <v>872.7</v>
      </c>
      <c r="J12" s="37">
        <f>G12/F3</f>
        <v>0.12358003442340791</v>
      </c>
      <c r="K12" s="35">
        <v>350000</v>
      </c>
      <c r="L12" s="38">
        <f t="shared" si="1"/>
        <v>5950</v>
      </c>
      <c r="M12" s="38">
        <f t="shared" si="2"/>
        <v>25130</v>
      </c>
      <c r="N12" s="39">
        <f>L12/E3</f>
        <v>41.608391608391607</v>
      </c>
      <c r="O12" s="40">
        <f>M12/F3</f>
        <v>43.253012048192772</v>
      </c>
    </row>
    <row r="13" spans="1:15" ht="15.75">
      <c r="A13" s="31">
        <v>6</v>
      </c>
      <c r="B13" s="817" t="s">
        <v>37</v>
      </c>
      <c r="C13" s="33">
        <v>750</v>
      </c>
      <c r="D13" s="34"/>
      <c r="E13" s="33"/>
      <c r="F13" s="159">
        <v>40</v>
      </c>
      <c r="G13" s="142">
        <v>230</v>
      </c>
      <c r="H13" s="36">
        <f>F13/E3</f>
        <v>0.27972027972027974</v>
      </c>
      <c r="I13" s="33">
        <f t="shared" si="0"/>
        <v>710</v>
      </c>
      <c r="J13" s="37">
        <f>G13/F3</f>
        <v>0.39586919104991392</v>
      </c>
      <c r="K13" s="35">
        <v>215000</v>
      </c>
      <c r="L13" s="38">
        <f t="shared" si="1"/>
        <v>8600</v>
      </c>
      <c r="M13" s="38">
        <f t="shared" si="2"/>
        <v>49450</v>
      </c>
      <c r="N13" s="39">
        <f>L13/E3</f>
        <v>60.13986013986014</v>
      </c>
      <c r="O13" s="40">
        <f>M13/F3</f>
        <v>85.111876075731502</v>
      </c>
    </row>
    <row r="14" spans="1:15" ht="15.75">
      <c r="A14" s="31">
        <v>7</v>
      </c>
      <c r="B14" s="817" t="s">
        <v>38</v>
      </c>
      <c r="C14" s="33">
        <v>2996</v>
      </c>
      <c r="D14" s="34"/>
      <c r="E14" s="1016"/>
      <c r="F14" s="33">
        <v>54</v>
      </c>
      <c r="G14" s="35">
        <v>216</v>
      </c>
      <c r="H14" s="1017">
        <f>F14/E3</f>
        <v>0.3776223776223776</v>
      </c>
      <c r="I14" s="33">
        <f t="shared" si="0"/>
        <v>2942</v>
      </c>
      <c r="J14" s="37">
        <f>G14/F3</f>
        <v>0.37177280550774527</v>
      </c>
      <c r="K14" s="35">
        <v>151000</v>
      </c>
      <c r="L14" s="38">
        <f t="shared" si="1"/>
        <v>8154</v>
      </c>
      <c r="M14" s="38">
        <f t="shared" si="2"/>
        <v>32616</v>
      </c>
      <c r="N14" s="39">
        <f>L14/E3</f>
        <v>57.02097902097902</v>
      </c>
      <c r="O14" s="40">
        <f>M14/F3</f>
        <v>56.137693631669535</v>
      </c>
    </row>
    <row r="15" spans="1:15" ht="15.75">
      <c r="A15" s="31">
        <v>8</v>
      </c>
      <c r="B15" s="817" t="s">
        <v>39</v>
      </c>
      <c r="C15" s="33">
        <v>867</v>
      </c>
      <c r="D15" s="33"/>
      <c r="E15" s="33"/>
      <c r="F15" s="1018">
        <v>20</v>
      </c>
      <c r="G15" s="1019">
        <v>73</v>
      </c>
      <c r="H15" s="36">
        <f>F15/E3</f>
        <v>0.13986013986013987</v>
      </c>
      <c r="I15" s="33">
        <f t="shared" si="0"/>
        <v>847</v>
      </c>
      <c r="J15" s="37">
        <f>G15/F3</f>
        <v>0.12564543889845095</v>
      </c>
      <c r="K15" s="35">
        <v>255000</v>
      </c>
      <c r="L15" s="38">
        <f t="shared" si="1"/>
        <v>5100</v>
      </c>
      <c r="M15" s="38">
        <f t="shared" si="2"/>
        <v>18615</v>
      </c>
      <c r="N15" s="39">
        <f>L15/E3</f>
        <v>35.664335664335667</v>
      </c>
      <c r="O15" s="40">
        <f>M15/F3</f>
        <v>32.039586919104991</v>
      </c>
    </row>
    <row r="16" spans="1:15" ht="15.75">
      <c r="A16" s="31">
        <v>9</v>
      </c>
      <c r="B16" s="817" t="s">
        <v>40</v>
      </c>
      <c r="C16" s="33">
        <v>18</v>
      </c>
      <c r="D16" s="34"/>
      <c r="E16" s="33"/>
      <c r="F16" s="33">
        <v>0</v>
      </c>
      <c r="G16" s="35">
        <v>1</v>
      </c>
      <c r="H16" s="36">
        <f>F16/E3</f>
        <v>0</v>
      </c>
      <c r="I16" s="33">
        <f t="shared" si="0"/>
        <v>18</v>
      </c>
      <c r="J16" s="37">
        <f>G16/F3</f>
        <v>1.7211703958691911E-3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0.59931153184165231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994">
        <v>0</v>
      </c>
      <c r="H17" s="995">
        <f>F17/E3</f>
        <v>0</v>
      </c>
      <c r="I17" s="993">
        <f t="shared" si="0"/>
        <v>2500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181.10000000000002</v>
      </c>
      <c r="D19" s="61"/>
      <c r="E19" s="61"/>
      <c r="F19" s="62">
        <v>8.1999999999999993</v>
      </c>
      <c r="G19" s="925">
        <v>30.2</v>
      </c>
      <c r="H19" s="64">
        <f>F19/E3</f>
        <v>5.7342657342657338E-2</v>
      </c>
      <c r="I19" s="65">
        <f t="shared" si="0"/>
        <v>172.90000000000003</v>
      </c>
      <c r="J19" s="66">
        <f>G19/F3</f>
        <v>5.197934595524957E-2</v>
      </c>
      <c r="K19" s="60">
        <v>377600</v>
      </c>
      <c r="L19" s="67">
        <f t="shared" si="1"/>
        <v>3096.3199999999997</v>
      </c>
      <c r="M19" s="67">
        <f t="shared" si="2"/>
        <v>11403.519999999999</v>
      </c>
      <c r="N19" s="67">
        <f>L19/E3</f>
        <v>21.652587412587412</v>
      </c>
      <c r="O19" s="68">
        <f>M19/F3</f>
        <v>19.627401032702235</v>
      </c>
    </row>
    <row r="20" spans="1:15" ht="15.75">
      <c r="A20" s="58">
        <v>13</v>
      </c>
      <c r="B20" s="843" t="s">
        <v>44</v>
      </c>
      <c r="C20" s="60">
        <v>198.99999999999997</v>
      </c>
      <c r="D20" s="61"/>
      <c r="E20" s="61"/>
      <c r="F20" s="62">
        <v>4.9000000000000004</v>
      </c>
      <c r="G20" s="925">
        <v>18.8</v>
      </c>
      <c r="H20" s="66">
        <f>F20/E3</f>
        <v>3.4265734265734267E-2</v>
      </c>
      <c r="I20" s="60">
        <f t="shared" si="0"/>
        <v>194.09999999999997</v>
      </c>
      <c r="J20" s="66">
        <f>G20/F3</f>
        <v>3.2358003442340792E-2</v>
      </c>
      <c r="K20" s="60">
        <v>271400</v>
      </c>
      <c r="L20" s="67">
        <f t="shared" si="1"/>
        <v>1329.8600000000001</v>
      </c>
      <c r="M20" s="67">
        <f t="shared" si="2"/>
        <v>5102.3200000000006</v>
      </c>
      <c r="N20" s="67">
        <f>L20/E3</f>
        <v>9.2997202797202814</v>
      </c>
      <c r="O20" s="68">
        <f>M20/F3</f>
        <v>8.7819621342512928</v>
      </c>
    </row>
    <row r="21" spans="1:15" ht="15.75">
      <c r="A21" s="58">
        <v>14</v>
      </c>
      <c r="B21" s="843" t="s">
        <v>45</v>
      </c>
      <c r="C21" s="60">
        <v>2522.8000000000002</v>
      </c>
      <c r="D21" s="61"/>
      <c r="E21" s="61"/>
      <c r="F21" s="62">
        <v>68.599999999999994</v>
      </c>
      <c r="G21" s="925">
        <v>263.89999999999998</v>
      </c>
      <c r="H21" s="66">
        <f>F21/E3</f>
        <v>0.4797202797202797</v>
      </c>
      <c r="I21" s="61">
        <f t="shared" si="0"/>
        <v>2454.2000000000003</v>
      </c>
      <c r="J21" s="66">
        <f>G21/F3</f>
        <v>0.45421686746987949</v>
      </c>
      <c r="K21" s="60">
        <v>271400</v>
      </c>
      <c r="L21" s="67">
        <f t="shared" si="1"/>
        <v>18618.039999999997</v>
      </c>
      <c r="M21" s="67">
        <f t="shared" si="2"/>
        <v>71622.459999999992</v>
      </c>
      <c r="N21" s="67">
        <f>L21/E3</f>
        <v>130.19608391608389</v>
      </c>
      <c r="O21" s="68">
        <f>M21/F3</f>
        <v>123.27445783132529</v>
      </c>
    </row>
    <row r="22" spans="1:15" ht="15.75">
      <c r="A22" s="69">
        <v>15</v>
      </c>
      <c r="B22" s="853" t="s">
        <v>46</v>
      </c>
      <c r="C22" s="71">
        <v>59</v>
      </c>
      <c r="D22" s="72"/>
      <c r="E22" s="72"/>
      <c r="F22" s="34">
        <v>0</v>
      </c>
      <c r="G22" s="35">
        <v>3</v>
      </c>
      <c r="H22" s="73">
        <f>F22/E3</f>
        <v>0</v>
      </c>
      <c r="I22" s="34">
        <f t="shared" si="0"/>
        <v>59</v>
      </c>
      <c r="J22" s="73">
        <f>G22/F3</f>
        <v>5.1635111876075735E-3</v>
      </c>
      <c r="K22" s="34">
        <v>41000</v>
      </c>
      <c r="L22" s="44">
        <f t="shared" si="1"/>
        <v>0</v>
      </c>
      <c r="M22" s="44">
        <f t="shared" si="2"/>
        <v>123</v>
      </c>
      <c r="N22" s="74">
        <f>L22/E3</f>
        <v>0</v>
      </c>
      <c r="O22" s="75">
        <f>M22/F3</f>
        <v>0.2117039586919105</v>
      </c>
    </row>
    <row r="23" spans="1:15" ht="15.75">
      <c r="A23" s="69">
        <v>16</v>
      </c>
      <c r="B23" s="234" t="s">
        <v>47</v>
      </c>
      <c r="C23" s="71">
        <v>229.6</v>
      </c>
      <c r="D23" s="72"/>
      <c r="E23" s="34"/>
      <c r="F23" s="34">
        <v>21.6</v>
      </c>
      <c r="G23" s="63">
        <v>70.8</v>
      </c>
      <c r="H23" s="73">
        <f>F23/E3</f>
        <v>0.15104895104895105</v>
      </c>
      <c r="I23" s="34">
        <f t="shared" si="0"/>
        <v>208</v>
      </c>
      <c r="J23" s="73">
        <f>G23/F3</f>
        <v>0.12185886402753872</v>
      </c>
      <c r="K23" s="34">
        <v>24000</v>
      </c>
      <c r="L23" s="44">
        <f t="shared" si="1"/>
        <v>518.4</v>
      </c>
      <c r="M23" s="44">
        <f t="shared" si="2"/>
        <v>1699.2</v>
      </c>
      <c r="N23" s="74">
        <f>L23/E3</f>
        <v>3.6251748251748248</v>
      </c>
      <c r="O23" s="75">
        <f>M23/F3</f>
        <v>2.9246127366609294</v>
      </c>
    </row>
    <row r="24" spans="1:15" ht="15.75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40</v>
      </c>
      <c r="D25" s="72"/>
      <c r="E25" s="34"/>
      <c r="F25" s="34">
        <v>5</v>
      </c>
      <c r="G25" s="35">
        <v>15</v>
      </c>
      <c r="H25" s="73">
        <f>F25/E3</f>
        <v>3.4965034965034968E-2</v>
      </c>
      <c r="I25" s="34">
        <f t="shared" si="0"/>
        <v>35</v>
      </c>
      <c r="J25" s="73">
        <f>G25/F3</f>
        <v>2.5817555938037865E-2</v>
      </c>
      <c r="K25" s="34">
        <v>14400</v>
      </c>
      <c r="L25" s="44">
        <f t="shared" si="1"/>
        <v>72</v>
      </c>
      <c r="M25" s="44">
        <f t="shared" si="2"/>
        <v>216</v>
      </c>
      <c r="N25" s="74">
        <f>L25/E3</f>
        <v>0.50349650349650354</v>
      </c>
      <c r="O25" s="75">
        <f>M25/F3</f>
        <v>0.37177280550774527</v>
      </c>
    </row>
    <row r="26" spans="1:15" ht="15.75">
      <c r="A26" s="69">
        <v>19</v>
      </c>
      <c r="B26" s="853" t="s">
        <v>50</v>
      </c>
      <c r="C26" s="71">
        <v>73</v>
      </c>
      <c r="D26" s="34"/>
      <c r="E26" s="72"/>
      <c r="F26" s="34">
        <v>3.5</v>
      </c>
      <c r="G26" s="63">
        <v>10.5</v>
      </c>
      <c r="H26" s="73">
        <f>F26/E3</f>
        <v>2.4475524475524476E-2</v>
      </c>
      <c r="I26" s="34">
        <f t="shared" si="0"/>
        <v>69.5</v>
      </c>
      <c r="J26" s="73">
        <f>G26/F3</f>
        <v>1.8072289156626505E-2</v>
      </c>
      <c r="K26" s="34">
        <v>102000</v>
      </c>
      <c r="L26" s="44">
        <f t="shared" si="1"/>
        <v>357</v>
      </c>
      <c r="M26" s="44">
        <f t="shared" si="2"/>
        <v>1071</v>
      </c>
      <c r="N26" s="74">
        <f>L26/E3</f>
        <v>2.4965034965034967</v>
      </c>
      <c r="O26" s="75">
        <f>M26/F3</f>
        <v>1.8433734939759037</v>
      </c>
    </row>
    <row r="27" spans="1:15" ht="15.75">
      <c r="A27" s="69">
        <v>20</v>
      </c>
      <c r="B27" s="853" t="s">
        <v>51</v>
      </c>
      <c r="C27" s="71">
        <v>40</v>
      </c>
      <c r="D27" s="72"/>
      <c r="E27" s="72"/>
      <c r="F27" s="34">
        <v>5</v>
      </c>
      <c r="G27" s="35">
        <v>15</v>
      </c>
      <c r="H27" s="73">
        <f>F27/E3</f>
        <v>3.4965034965034968E-2</v>
      </c>
      <c r="I27" s="34">
        <f t="shared" si="0"/>
        <v>35</v>
      </c>
      <c r="J27" s="73">
        <f>G27/F3</f>
        <v>2.5817555938037865E-2</v>
      </c>
      <c r="K27" s="34">
        <v>107000</v>
      </c>
      <c r="L27" s="44">
        <f t="shared" si="1"/>
        <v>535</v>
      </c>
      <c r="M27" s="44">
        <f t="shared" si="2"/>
        <v>1605</v>
      </c>
      <c r="N27" s="74">
        <f>L27/E3</f>
        <v>3.7412587412587412</v>
      </c>
      <c r="O27" s="75">
        <f>M27/F3</f>
        <v>2.7624784853700515</v>
      </c>
    </row>
    <row r="28" spans="1:15" ht="15.75">
      <c r="A28" s="69">
        <v>21</v>
      </c>
      <c r="B28" s="234" t="s">
        <v>52</v>
      </c>
      <c r="C28" s="71">
        <v>74</v>
      </c>
      <c r="D28" s="72"/>
      <c r="E28" s="72"/>
      <c r="F28" s="34">
        <v>3</v>
      </c>
      <c r="G28" s="35">
        <v>9</v>
      </c>
      <c r="H28" s="73">
        <f>F28/E3</f>
        <v>2.097902097902098E-2</v>
      </c>
      <c r="I28" s="34">
        <f t="shared" si="0"/>
        <v>71</v>
      </c>
      <c r="J28" s="73">
        <f>G28/F3</f>
        <v>1.549053356282272E-2</v>
      </c>
      <c r="K28" s="34">
        <v>100000</v>
      </c>
      <c r="L28" s="44">
        <f t="shared" si="1"/>
        <v>300</v>
      </c>
      <c r="M28" s="44">
        <f t="shared" si="2"/>
        <v>899.99999999999989</v>
      </c>
      <c r="N28" s="74">
        <f>L28/E3</f>
        <v>2.0979020979020979</v>
      </c>
      <c r="O28" s="75">
        <f>M28/F3</f>
        <v>1.5490533562822717</v>
      </c>
    </row>
    <row r="29" spans="1:15" ht="15.75">
      <c r="A29" s="69">
        <v>22</v>
      </c>
      <c r="B29" s="853" t="s">
        <v>53</v>
      </c>
      <c r="C29" s="71">
        <v>30</v>
      </c>
      <c r="D29" s="72"/>
      <c r="E29" s="72"/>
      <c r="F29" s="34">
        <v>1</v>
      </c>
      <c r="G29" s="35">
        <v>3</v>
      </c>
      <c r="H29" s="73">
        <f>F29/E3</f>
        <v>6.993006993006993E-3</v>
      </c>
      <c r="I29" s="34">
        <f t="shared" si="0"/>
        <v>29</v>
      </c>
      <c r="J29" s="73">
        <f>G29/F3</f>
        <v>5.1635111876075735E-3</v>
      </c>
      <c r="K29" s="34">
        <v>255000</v>
      </c>
      <c r="L29" s="44">
        <f t="shared" si="1"/>
        <v>255</v>
      </c>
      <c r="M29" s="44">
        <f t="shared" si="2"/>
        <v>765</v>
      </c>
      <c r="N29" s="74">
        <f>L29/E3</f>
        <v>1.7832167832167831</v>
      </c>
      <c r="O29" s="1047">
        <f>M29/F3</f>
        <v>1.3166953528399312</v>
      </c>
    </row>
    <row r="30" spans="1:15" ht="15.75">
      <c r="A30" s="69">
        <v>23</v>
      </c>
      <c r="B30" s="853" t="s">
        <v>54</v>
      </c>
      <c r="C30" s="71">
        <v>250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1245.1966433566429</v>
      </c>
      <c r="O32" s="985">
        <f>SUM(O8,O9,O10,O11,O12,O13,O14,O15,O16,O17,O18,O19,O20,O21,O22,O23,O24,O25,O26,O27,O28,O29,O30,O31,)</f>
        <v>1347.7714285714285</v>
      </c>
    </row>
    <row r="33" spans="1:15" ht="16.5" thickBot="1">
      <c r="A33" s="1035">
        <v>1</v>
      </c>
      <c r="B33" s="1036" t="s">
        <v>121</v>
      </c>
      <c r="C33" s="1037">
        <v>85</v>
      </c>
      <c r="D33" s="1096"/>
      <c r="E33" s="1096"/>
      <c r="F33" s="1034">
        <v>143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/>
      <c r="B34" s="1015"/>
      <c r="C34" s="966"/>
      <c r="D34" s="1096"/>
      <c r="E34" s="1096"/>
      <c r="F34" s="1023"/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/>
      <c r="B35" s="817"/>
      <c r="C35" s="967"/>
      <c r="D35" s="1096"/>
      <c r="E35" s="1096"/>
      <c r="F35" s="1024"/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33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1.2451966433566428</v>
      </c>
      <c r="O36" s="980">
        <f>O32/1000</f>
        <v>1.3477714285714284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2</v>
      </c>
      <c r="B38" s="1032" t="s">
        <v>60</v>
      </c>
      <c r="C38" s="1033">
        <f>SUM(C33:C37,K33:K37)</f>
        <v>85</v>
      </c>
      <c r="D38" s="1523">
        <f>SUM(F33:F37,L33:L37)</f>
        <v>143</v>
      </c>
      <c r="E38" s="1524"/>
      <c r="F38" s="1525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8:F38"/>
    <mergeCell ref="D33:E37"/>
    <mergeCell ref="H33:J33"/>
    <mergeCell ref="M33:M35"/>
    <mergeCell ref="H34:J34"/>
    <mergeCell ref="H35:J35"/>
    <mergeCell ref="H36:J36"/>
    <mergeCell ref="H37:J37"/>
  </mergeCells>
  <pageMargins left="7.0000000000000007E-2" right="7.0000000000000007E-2" top="0.74803149606299213" bottom="0.14000000000000001" header="0.09" footer="0.06"/>
  <pageSetup scale="85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38"/>
  <sheetViews>
    <sheetView topLeftCell="A17" workbookViewId="0">
      <selection activeCell="I19" sqref="I19:I21"/>
    </sheetView>
  </sheetViews>
  <sheetFormatPr defaultRowHeight="15"/>
  <cols>
    <col min="1" max="1" width="4.5703125" customWidth="1"/>
    <col min="2" max="2" width="27.7109375" customWidth="1"/>
    <col min="8" max="8" width="11.7109375" customWidth="1"/>
    <col min="12" max="12" width="11.5703125" customWidth="1"/>
    <col min="13" max="13" width="11" customWidth="1"/>
    <col min="14" max="14" width="11.7109375" customWidth="1"/>
  </cols>
  <sheetData>
    <row r="1" spans="1:15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8</v>
      </c>
      <c r="F3" s="3">
        <v>589</v>
      </c>
      <c r="G3" s="1526" t="s">
        <v>167</v>
      </c>
      <c r="H3" s="1527"/>
      <c r="I3" s="1129" t="s">
        <v>166</v>
      </c>
      <c r="J3" s="1130"/>
      <c r="K3" s="1130"/>
      <c r="L3" s="1130"/>
      <c r="M3" s="1130"/>
      <c r="N3" s="1130"/>
      <c r="O3" s="1131"/>
    </row>
    <row r="4" spans="1:15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17400</v>
      </c>
      <c r="D8" s="23"/>
      <c r="E8" s="22"/>
      <c r="F8" s="22">
        <v>200</v>
      </c>
      <c r="G8" s="24">
        <v>14100</v>
      </c>
      <c r="H8" s="25">
        <f>F8/E3</f>
        <v>25</v>
      </c>
      <c r="I8" s="22">
        <f t="shared" ref="I8:I31" si="0">(C8-F8)+D8</f>
        <v>17200</v>
      </c>
      <c r="J8" s="26">
        <f>G8/F3</f>
        <v>23.938879456706282</v>
      </c>
      <c r="K8" s="24">
        <v>36000</v>
      </c>
      <c r="L8" s="27">
        <f t="shared" ref="L8:L31" si="1">(F8/1000)*K8</f>
        <v>7200</v>
      </c>
      <c r="M8" s="28">
        <f t="shared" ref="M8:M31" si="2">(G8/1000)*K8</f>
        <v>507600</v>
      </c>
      <c r="N8" s="29">
        <f>L8/E3</f>
        <v>900</v>
      </c>
      <c r="O8" s="30">
        <f>M8/F3</f>
        <v>861.79966044142611</v>
      </c>
    </row>
    <row r="9" spans="1:15" ht="15.75">
      <c r="A9" s="31">
        <v>2</v>
      </c>
      <c r="B9" s="817" t="s">
        <v>33</v>
      </c>
      <c r="C9" s="33">
        <v>1671</v>
      </c>
      <c r="D9" s="34"/>
      <c r="E9" s="33"/>
      <c r="F9" s="33">
        <v>10</v>
      </c>
      <c r="G9" s="35">
        <v>909</v>
      </c>
      <c r="H9" s="36">
        <f>F9/E3</f>
        <v>1.25</v>
      </c>
      <c r="I9" s="33">
        <f t="shared" si="0"/>
        <v>1661</v>
      </c>
      <c r="J9" s="37">
        <f>G9/F3</f>
        <v>1.5432937181663837</v>
      </c>
      <c r="K9" s="35">
        <v>33500</v>
      </c>
      <c r="L9" s="38">
        <f t="shared" si="1"/>
        <v>335</v>
      </c>
      <c r="M9" s="38">
        <f t="shared" si="2"/>
        <v>30451.5</v>
      </c>
      <c r="N9" s="39">
        <f>L9/E3</f>
        <v>41.875</v>
      </c>
      <c r="O9" s="40">
        <f>M9/F3</f>
        <v>51.700339558573852</v>
      </c>
    </row>
    <row r="10" spans="1:15" ht="15.75">
      <c r="A10" s="31">
        <v>3</v>
      </c>
      <c r="B10" s="817" t="s">
        <v>34</v>
      </c>
      <c r="C10" s="33">
        <v>4065</v>
      </c>
      <c r="D10" s="34"/>
      <c r="E10" s="33"/>
      <c r="F10" s="33">
        <v>4</v>
      </c>
      <c r="G10" s="35">
        <v>328</v>
      </c>
      <c r="H10" s="36">
        <f>F10/E3</f>
        <v>0.5</v>
      </c>
      <c r="I10" s="33">
        <f t="shared" si="0"/>
        <v>4061</v>
      </c>
      <c r="J10" s="37">
        <f>G10/F3</f>
        <v>0.55687606112054333</v>
      </c>
      <c r="K10" s="35">
        <v>98000</v>
      </c>
      <c r="L10" s="38">
        <f t="shared" si="1"/>
        <v>392</v>
      </c>
      <c r="M10" s="38">
        <f t="shared" si="2"/>
        <v>32144</v>
      </c>
      <c r="N10" s="39">
        <f>L10/E3</f>
        <v>49</v>
      </c>
      <c r="O10" s="40">
        <f>M10/F3</f>
        <v>54.573853989813244</v>
      </c>
    </row>
    <row r="11" spans="1:15" ht="15.75">
      <c r="A11" s="31">
        <v>4</v>
      </c>
      <c r="B11" s="817" t="s">
        <v>35</v>
      </c>
      <c r="C11" s="33">
        <v>16.920000000000002</v>
      </c>
      <c r="D11" s="34"/>
      <c r="E11" s="33"/>
      <c r="F11" s="33">
        <v>0</v>
      </c>
      <c r="G11" s="41">
        <v>0.16</v>
      </c>
      <c r="H11" s="42">
        <f>F11/E3</f>
        <v>0</v>
      </c>
      <c r="I11" s="33">
        <f t="shared" si="0"/>
        <v>16.920000000000002</v>
      </c>
      <c r="J11" s="43">
        <f>G11/F3</f>
        <v>2.7164685908319185E-4</v>
      </c>
      <c r="K11" s="35">
        <v>750000</v>
      </c>
      <c r="L11" s="38">
        <f t="shared" si="1"/>
        <v>0</v>
      </c>
      <c r="M11" s="38">
        <f t="shared" si="2"/>
        <v>120.00000000000001</v>
      </c>
      <c r="N11" s="39">
        <f>L11/E3</f>
        <v>0</v>
      </c>
      <c r="O11" s="40">
        <f>M11/F3</f>
        <v>0.20373514431239392</v>
      </c>
    </row>
    <row r="12" spans="1:15" ht="15.75">
      <c r="A12" s="31">
        <v>5</v>
      </c>
      <c r="B12" s="817" t="s">
        <v>36</v>
      </c>
      <c r="C12" s="33">
        <v>872.7</v>
      </c>
      <c r="D12" s="34"/>
      <c r="E12" s="33"/>
      <c r="F12" s="33">
        <v>0</v>
      </c>
      <c r="G12" s="63">
        <v>71.8</v>
      </c>
      <c r="H12" s="36">
        <f>F12/E3</f>
        <v>0</v>
      </c>
      <c r="I12" s="33">
        <f t="shared" si="0"/>
        <v>872.7</v>
      </c>
      <c r="J12" s="37">
        <f>G12/F3</f>
        <v>0.12190152801358234</v>
      </c>
      <c r="K12" s="35">
        <v>350000</v>
      </c>
      <c r="L12" s="38">
        <f t="shared" si="1"/>
        <v>0</v>
      </c>
      <c r="M12" s="38">
        <f t="shared" si="2"/>
        <v>25130</v>
      </c>
      <c r="N12" s="39">
        <f>L12/E3</f>
        <v>0</v>
      </c>
      <c r="O12" s="40">
        <f>M12/F3</f>
        <v>42.665534804753818</v>
      </c>
    </row>
    <row r="13" spans="1:15" ht="15.75">
      <c r="A13" s="31">
        <v>6</v>
      </c>
      <c r="B13" s="817" t="s">
        <v>37</v>
      </c>
      <c r="C13" s="33">
        <v>710</v>
      </c>
      <c r="D13" s="34"/>
      <c r="E13" s="33"/>
      <c r="F13" s="159">
        <v>0</v>
      </c>
      <c r="G13" s="142">
        <v>230</v>
      </c>
      <c r="H13" s="36">
        <f>F13/E3</f>
        <v>0</v>
      </c>
      <c r="I13" s="33">
        <f t="shared" si="0"/>
        <v>710</v>
      </c>
      <c r="J13" s="37">
        <f>G13/F3</f>
        <v>0.39049235993208831</v>
      </c>
      <c r="K13" s="35">
        <v>215000</v>
      </c>
      <c r="L13" s="38">
        <f t="shared" si="1"/>
        <v>0</v>
      </c>
      <c r="M13" s="38">
        <f t="shared" si="2"/>
        <v>49450</v>
      </c>
      <c r="N13" s="39">
        <f>L13/E3</f>
        <v>0</v>
      </c>
      <c r="O13" s="40">
        <f>M13/F3</f>
        <v>83.955857385398986</v>
      </c>
    </row>
    <row r="14" spans="1:15" ht="15.75">
      <c r="A14" s="31">
        <v>7</v>
      </c>
      <c r="B14" s="817" t="s">
        <v>38</v>
      </c>
      <c r="C14" s="33">
        <v>2942</v>
      </c>
      <c r="D14" s="34"/>
      <c r="E14" s="1016"/>
      <c r="F14" s="33">
        <v>0</v>
      </c>
      <c r="G14" s="35">
        <v>216</v>
      </c>
      <c r="H14" s="1017">
        <f>F14/E3</f>
        <v>0</v>
      </c>
      <c r="I14" s="33">
        <f t="shared" si="0"/>
        <v>2942</v>
      </c>
      <c r="J14" s="37">
        <f>G14/F3</f>
        <v>0.36672325976230902</v>
      </c>
      <c r="K14" s="35">
        <v>151000</v>
      </c>
      <c r="L14" s="38">
        <f t="shared" si="1"/>
        <v>0</v>
      </c>
      <c r="M14" s="38">
        <f t="shared" si="2"/>
        <v>32616</v>
      </c>
      <c r="N14" s="39">
        <f>L14/E3</f>
        <v>0</v>
      </c>
      <c r="O14" s="40">
        <f>M14/F3</f>
        <v>55.375212224108658</v>
      </c>
    </row>
    <row r="15" spans="1:15" ht="15.75">
      <c r="A15" s="31">
        <v>8</v>
      </c>
      <c r="B15" s="817" t="s">
        <v>39</v>
      </c>
      <c r="C15" s="33">
        <v>847</v>
      </c>
      <c r="D15" s="33"/>
      <c r="E15" s="33"/>
      <c r="F15" s="1018">
        <v>0</v>
      </c>
      <c r="G15" s="1019">
        <v>73</v>
      </c>
      <c r="H15" s="36">
        <f>F15/E3</f>
        <v>0</v>
      </c>
      <c r="I15" s="33">
        <f t="shared" si="0"/>
        <v>847</v>
      </c>
      <c r="J15" s="37">
        <f>G15/F3</f>
        <v>0.12393887945670629</v>
      </c>
      <c r="K15" s="35">
        <v>255000</v>
      </c>
      <c r="L15" s="38">
        <f t="shared" si="1"/>
        <v>0</v>
      </c>
      <c r="M15" s="38">
        <f t="shared" si="2"/>
        <v>18615</v>
      </c>
      <c r="N15" s="39">
        <f>L15/E3</f>
        <v>0</v>
      </c>
      <c r="O15" s="40">
        <f>M15/F3</f>
        <v>31.604414261460104</v>
      </c>
    </row>
    <row r="16" spans="1:15" ht="15.75">
      <c r="A16" s="31">
        <v>9</v>
      </c>
      <c r="B16" s="817" t="s">
        <v>40</v>
      </c>
      <c r="C16" s="33">
        <v>18</v>
      </c>
      <c r="D16" s="34"/>
      <c r="E16" s="33"/>
      <c r="F16" s="33">
        <v>0</v>
      </c>
      <c r="G16" s="35">
        <v>1</v>
      </c>
      <c r="H16" s="36">
        <f>F16/E3</f>
        <v>0</v>
      </c>
      <c r="I16" s="33">
        <f t="shared" si="0"/>
        <v>18</v>
      </c>
      <c r="J16" s="37">
        <f>G16/F3</f>
        <v>1.697792869269949E-3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0.59117147707979623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994">
        <v>0</v>
      </c>
      <c r="H17" s="995">
        <f>F17/E3</f>
        <v>0</v>
      </c>
      <c r="I17" s="993">
        <f t="shared" si="0"/>
        <v>2500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172.90000000000003</v>
      </c>
      <c r="D19" s="61"/>
      <c r="E19" s="61"/>
      <c r="F19" s="62">
        <v>0.56299999999999994</v>
      </c>
      <c r="G19" s="925">
        <v>30.763000000000002</v>
      </c>
      <c r="H19" s="64">
        <f>F19/E3</f>
        <v>7.0374999999999993E-2</v>
      </c>
      <c r="I19" s="1054">
        <f t="shared" si="0"/>
        <v>172.33700000000005</v>
      </c>
      <c r="J19" s="66">
        <f>G19/F3</f>
        <v>5.2229202037351444E-2</v>
      </c>
      <c r="K19" s="60">
        <v>377600</v>
      </c>
      <c r="L19" s="67">
        <f t="shared" si="1"/>
        <v>212.58879999999996</v>
      </c>
      <c r="M19" s="67">
        <f t="shared" si="2"/>
        <v>11616.1088</v>
      </c>
      <c r="N19" s="67">
        <f>L19/E3</f>
        <v>26.573599999999995</v>
      </c>
      <c r="O19" s="68">
        <f>M19/F3</f>
        <v>19.721746689303906</v>
      </c>
    </row>
    <row r="20" spans="1:15" ht="15.75">
      <c r="A20" s="58">
        <v>13</v>
      </c>
      <c r="B20" s="843" t="s">
        <v>44</v>
      </c>
      <c r="C20" s="60">
        <v>194.09999999999997</v>
      </c>
      <c r="D20" s="61"/>
      <c r="E20" s="61"/>
      <c r="F20" s="66">
        <v>0.33800000000000002</v>
      </c>
      <c r="G20" s="1053">
        <v>19.138000000000002</v>
      </c>
      <c r="H20" s="66">
        <f>F20/E3</f>
        <v>4.2250000000000003E-2</v>
      </c>
      <c r="I20" s="60">
        <f t="shared" si="0"/>
        <v>193.76199999999997</v>
      </c>
      <c r="J20" s="66">
        <f>G20/F3</f>
        <v>3.2492359932088287E-2</v>
      </c>
      <c r="K20" s="60">
        <v>271400</v>
      </c>
      <c r="L20" s="67">
        <f t="shared" si="1"/>
        <v>91.733200000000011</v>
      </c>
      <c r="M20" s="67">
        <f t="shared" si="2"/>
        <v>5194.0532000000003</v>
      </c>
      <c r="N20" s="67">
        <f>L20/E3</f>
        <v>11.466650000000001</v>
      </c>
      <c r="O20" s="68">
        <f>M20/F3</f>
        <v>8.8184264855687609</v>
      </c>
    </row>
    <row r="21" spans="1:15" ht="15.75">
      <c r="A21" s="58">
        <v>14</v>
      </c>
      <c r="B21" s="843" t="s">
        <v>45</v>
      </c>
      <c r="C21" s="60">
        <v>2454.2000000000003</v>
      </c>
      <c r="D21" s="61"/>
      <c r="E21" s="61"/>
      <c r="F21" s="62">
        <v>4.5999999999999996</v>
      </c>
      <c r="G21" s="925">
        <v>268.5</v>
      </c>
      <c r="H21" s="66">
        <f>F21/E3</f>
        <v>0.57499999999999996</v>
      </c>
      <c r="I21" s="61">
        <f t="shared" si="0"/>
        <v>2449.6000000000004</v>
      </c>
      <c r="J21" s="66">
        <f>G21/F3</f>
        <v>0.45585738539898135</v>
      </c>
      <c r="K21" s="60">
        <v>271400</v>
      </c>
      <c r="L21" s="67">
        <f t="shared" si="1"/>
        <v>1248.44</v>
      </c>
      <c r="M21" s="67">
        <f t="shared" si="2"/>
        <v>72870.900000000009</v>
      </c>
      <c r="N21" s="67">
        <f>L21/E3</f>
        <v>156.05500000000001</v>
      </c>
      <c r="O21" s="68">
        <f>M21/F3</f>
        <v>123.71969439728355</v>
      </c>
    </row>
    <row r="22" spans="1:15" ht="15.75">
      <c r="A22" s="69">
        <v>15</v>
      </c>
      <c r="B22" s="853" t="s">
        <v>46</v>
      </c>
      <c r="C22" s="71">
        <v>59</v>
      </c>
      <c r="D22" s="72"/>
      <c r="E22" s="72"/>
      <c r="F22" s="34">
        <v>0</v>
      </c>
      <c r="G22" s="35">
        <v>3</v>
      </c>
      <c r="H22" s="73">
        <f>F22/E3</f>
        <v>0</v>
      </c>
      <c r="I22" s="34">
        <f t="shared" si="0"/>
        <v>59</v>
      </c>
      <c r="J22" s="73">
        <f>G22/F3</f>
        <v>5.0933786078098476E-3</v>
      </c>
      <c r="K22" s="34">
        <v>41000</v>
      </c>
      <c r="L22" s="44">
        <f t="shared" si="1"/>
        <v>0</v>
      </c>
      <c r="M22" s="44">
        <f t="shared" si="2"/>
        <v>123</v>
      </c>
      <c r="N22" s="74">
        <f>L22/E3</f>
        <v>0</v>
      </c>
      <c r="O22" s="75">
        <f>M22/F3</f>
        <v>0.20882852292020374</v>
      </c>
    </row>
    <row r="23" spans="1:15" ht="15.75">
      <c r="A23" s="69">
        <v>16</v>
      </c>
      <c r="B23" s="234" t="s">
        <v>47</v>
      </c>
      <c r="C23" s="71">
        <v>208</v>
      </c>
      <c r="D23" s="72"/>
      <c r="E23" s="34"/>
      <c r="F23" s="34">
        <v>15</v>
      </c>
      <c r="G23" s="63">
        <v>85.8</v>
      </c>
      <c r="H23" s="73">
        <f>F23/E3</f>
        <v>1.875</v>
      </c>
      <c r="I23" s="34">
        <f t="shared" si="0"/>
        <v>193</v>
      </c>
      <c r="J23" s="73">
        <f>G23/F3</f>
        <v>0.14567062818336163</v>
      </c>
      <c r="K23" s="34">
        <v>24000</v>
      </c>
      <c r="L23" s="44">
        <f t="shared" si="1"/>
        <v>360</v>
      </c>
      <c r="M23" s="44">
        <f t="shared" si="2"/>
        <v>2059.1999999999998</v>
      </c>
      <c r="N23" s="74">
        <f>L23/E3</f>
        <v>45</v>
      </c>
      <c r="O23" s="75">
        <f>M23/F3</f>
        <v>3.4960950764006786</v>
      </c>
    </row>
    <row r="24" spans="1:15" ht="15.75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35</v>
      </c>
      <c r="D25" s="72"/>
      <c r="E25" s="34"/>
      <c r="F25" s="34">
        <v>5</v>
      </c>
      <c r="G25" s="35">
        <v>20</v>
      </c>
      <c r="H25" s="73">
        <f>F25/E3</f>
        <v>0.625</v>
      </c>
      <c r="I25" s="34">
        <f t="shared" si="0"/>
        <v>30</v>
      </c>
      <c r="J25" s="73">
        <f>G25/F3</f>
        <v>3.3955857385398983E-2</v>
      </c>
      <c r="K25" s="34">
        <v>14400</v>
      </c>
      <c r="L25" s="44">
        <f t="shared" si="1"/>
        <v>72</v>
      </c>
      <c r="M25" s="44">
        <f t="shared" si="2"/>
        <v>288</v>
      </c>
      <c r="N25" s="74">
        <f>L25/E3</f>
        <v>9</v>
      </c>
      <c r="O25" s="75">
        <f>M25/F3</f>
        <v>0.48896434634974534</v>
      </c>
    </row>
    <row r="26" spans="1:15" ht="15.75">
      <c r="A26" s="69">
        <v>19</v>
      </c>
      <c r="B26" s="853" t="s">
        <v>50</v>
      </c>
      <c r="C26" s="71">
        <v>69.5</v>
      </c>
      <c r="D26" s="34"/>
      <c r="E26" s="72"/>
      <c r="F26" s="34">
        <v>3.5</v>
      </c>
      <c r="G26" s="63">
        <v>14</v>
      </c>
      <c r="H26" s="73">
        <f>F26/E3</f>
        <v>0.4375</v>
      </c>
      <c r="I26" s="34">
        <f t="shared" si="0"/>
        <v>66</v>
      </c>
      <c r="J26" s="73">
        <f>G26/F3</f>
        <v>2.3769100169779286E-2</v>
      </c>
      <c r="K26" s="34">
        <v>102000</v>
      </c>
      <c r="L26" s="44">
        <f t="shared" si="1"/>
        <v>357</v>
      </c>
      <c r="M26" s="44">
        <f t="shared" si="2"/>
        <v>1428</v>
      </c>
      <c r="N26" s="74">
        <f>L26/E3</f>
        <v>44.625</v>
      </c>
      <c r="O26" s="75">
        <f>M26/F3</f>
        <v>2.4244482173174871</v>
      </c>
    </row>
    <row r="27" spans="1:15" ht="15.75">
      <c r="A27" s="69">
        <v>20</v>
      </c>
      <c r="B27" s="853" t="s">
        <v>51</v>
      </c>
      <c r="C27" s="71">
        <v>35</v>
      </c>
      <c r="D27" s="72"/>
      <c r="E27" s="72"/>
      <c r="F27" s="34">
        <v>5</v>
      </c>
      <c r="G27" s="35">
        <v>20</v>
      </c>
      <c r="H27" s="73">
        <f>F27/E3</f>
        <v>0.625</v>
      </c>
      <c r="I27" s="34">
        <f t="shared" si="0"/>
        <v>30</v>
      </c>
      <c r="J27" s="73">
        <f>G27/F3</f>
        <v>3.3955857385398983E-2</v>
      </c>
      <c r="K27" s="34">
        <v>107000</v>
      </c>
      <c r="L27" s="44">
        <f t="shared" si="1"/>
        <v>535</v>
      </c>
      <c r="M27" s="44">
        <f t="shared" si="2"/>
        <v>2140</v>
      </c>
      <c r="N27" s="74">
        <f>L27/E3</f>
        <v>66.875</v>
      </c>
      <c r="O27" s="75">
        <f>M27/F3</f>
        <v>3.6332767402376911</v>
      </c>
    </row>
    <row r="28" spans="1:15" ht="15.75">
      <c r="A28" s="69">
        <v>21</v>
      </c>
      <c r="B28" s="234" t="s">
        <v>52</v>
      </c>
      <c r="C28" s="71">
        <v>71</v>
      </c>
      <c r="D28" s="72"/>
      <c r="E28" s="72"/>
      <c r="F28" s="34">
        <v>3</v>
      </c>
      <c r="G28" s="35">
        <v>12</v>
      </c>
      <c r="H28" s="73">
        <f>F28/E3</f>
        <v>0.375</v>
      </c>
      <c r="I28" s="34">
        <f t="shared" si="0"/>
        <v>68</v>
      </c>
      <c r="J28" s="73">
        <f>G28/F3</f>
        <v>2.037351443123939E-2</v>
      </c>
      <c r="K28" s="34">
        <v>100000</v>
      </c>
      <c r="L28" s="44">
        <f t="shared" si="1"/>
        <v>300</v>
      </c>
      <c r="M28" s="44">
        <f t="shared" si="2"/>
        <v>1200</v>
      </c>
      <c r="N28" s="74">
        <f>L28/E3</f>
        <v>37.5</v>
      </c>
      <c r="O28" s="75">
        <f>M28/F3</f>
        <v>2.037351443123939</v>
      </c>
    </row>
    <row r="29" spans="1:15" ht="15.75">
      <c r="A29" s="69">
        <v>22</v>
      </c>
      <c r="B29" s="853" t="s">
        <v>53</v>
      </c>
      <c r="C29" s="71">
        <v>29</v>
      </c>
      <c r="D29" s="72"/>
      <c r="E29" s="72"/>
      <c r="F29" s="34">
        <v>1</v>
      </c>
      <c r="G29" s="35">
        <v>4</v>
      </c>
      <c r="H29" s="73">
        <f>F29/E3</f>
        <v>0.125</v>
      </c>
      <c r="I29" s="34">
        <f t="shared" si="0"/>
        <v>28</v>
      </c>
      <c r="J29" s="73">
        <f>G29/F3</f>
        <v>6.7911714770797962E-3</v>
      </c>
      <c r="K29" s="34">
        <v>255000</v>
      </c>
      <c r="L29" s="44">
        <f t="shared" si="1"/>
        <v>255</v>
      </c>
      <c r="M29" s="44">
        <f t="shared" si="2"/>
        <v>1020</v>
      </c>
      <c r="N29" s="74">
        <f>L29/E3</f>
        <v>31.875</v>
      </c>
      <c r="O29" s="1047">
        <f>M29/F3</f>
        <v>1.731748726655348</v>
      </c>
    </row>
    <row r="30" spans="1:15" ht="15.75">
      <c r="A30" s="69">
        <v>23</v>
      </c>
      <c r="B30" s="853" t="s">
        <v>54</v>
      </c>
      <c r="C30" s="71">
        <v>250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1419.8452500000001</v>
      </c>
      <c r="O32" s="985">
        <f>SUM(O8,O9,O10,O11,O12,O13,O14,O15,O16,O17,O18,O19,O20,O21,O22,O23,O24,O25,O26,O27,O28,O29,O30,O31,)</f>
        <v>1348.7503599320883</v>
      </c>
    </row>
    <row r="33" spans="1:15" ht="16.5" thickBot="1">
      <c r="A33" s="1035">
        <v>1</v>
      </c>
      <c r="B33" s="1036" t="s">
        <v>121</v>
      </c>
      <c r="C33" s="1037">
        <v>5</v>
      </c>
      <c r="D33" s="1096"/>
      <c r="E33" s="1096"/>
      <c r="F33" s="1034">
        <v>8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/>
      <c r="B34" s="1015"/>
      <c r="C34" s="966"/>
      <c r="D34" s="1096"/>
      <c r="E34" s="1096"/>
      <c r="F34" s="1023"/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/>
      <c r="B35" s="817"/>
      <c r="C35" s="967"/>
      <c r="D35" s="1096"/>
      <c r="E35" s="1096"/>
      <c r="F35" s="1024"/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33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1.4198452500000001</v>
      </c>
      <c r="O36" s="980">
        <f>O32/1000</f>
        <v>1.3487503599320882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2</v>
      </c>
      <c r="B38" s="1032" t="s">
        <v>60</v>
      </c>
      <c r="C38" s="1033">
        <f>SUM(C33:C37,K33:K37)</f>
        <v>5</v>
      </c>
      <c r="D38" s="1523">
        <f>SUM(F33:F37,L33:L37)</f>
        <v>8</v>
      </c>
      <c r="E38" s="1524"/>
      <c r="F38" s="1525"/>
    </row>
  </sheetData>
  <mergeCells count="22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38"/>
  <sheetViews>
    <sheetView topLeftCell="A4" workbookViewId="0">
      <selection activeCell="C33" sqref="C33:C36"/>
    </sheetView>
  </sheetViews>
  <sheetFormatPr defaultRowHeight="15"/>
  <cols>
    <col min="1" max="1" width="6.140625" customWidth="1"/>
    <col min="2" max="2" width="29.7109375" customWidth="1"/>
    <col min="3" max="3" width="10.140625" customWidth="1"/>
    <col min="8" max="8" width="11.140625" customWidth="1"/>
    <col min="12" max="12" width="11" customWidth="1"/>
    <col min="13" max="13" width="13.85546875" customWidth="1"/>
    <col min="14" max="14" width="10.28515625" customWidth="1"/>
  </cols>
  <sheetData>
    <row r="1" spans="1:15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107</v>
      </c>
      <c r="F3" s="3">
        <v>696</v>
      </c>
      <c r="G3" s="1526" t="s">
        <v>171</v>
      </c>
      <c r="H3" s="1527"/>
      <c r="I3" s="1129" t="s">
        <v>168</v>
      </c>
      <c r="J3" s="1130"/>
      <c r="K3" s="1130"/>
      <c r="L3" s="1130"/>
      <c r="M3" s="1130"/>
      <c r="N3" s="1130"/>
      <c r="O3" s="1131"/>
    </row>
    <row r="4" spans="1:15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17200</v>
      </c>
      <c r="D8" s="23"/>
      <c r="E8" s="22"/>
      <c r="F8" s="22">
        <v>3000</v>
      </c>
      <c r="G8" s="24">
        <v>17100</v>
      </c>
      <c r="H8" s="25">
        <f>F8/E3</f>
        <v>28.037383177570092</v>
      </c>
      <c r="I8" s="22">
        <f t="shared" ref="I8:I31" si="0">(C8-F8)+D8</f>
        <v>14200</v>
      </c>
      <c r="J8" s="26">
        <f>G8/F3</f>
        <v>24.568965517241381</v>
      </c>
      <c r="K8" s="24">
        <v>36000</v>
      </c>
      <c r="L8" s="27">
        <f t="shared" ref="L8:L31" si="1">(F8/1000)*K8</f>
        <v>108000</v>
      </c>
      <c r="M8" s="28">
        <f t="shared" ref="M8:M31" si="2">(G8/1000)*K8</f>
        <v>615600</v>
      </c>
      <c r="N8" s="29">
        <f>L8/E3</f>
        <v>1009.3457943925233</v>
      </c>
      <c r="O8" s="30">
        <f>M8/F3</f>
        <v>884.48275862068965</v>
      </c>
    </row>
    <row r="9" spans="1:15" ht="15.75">
      <c r="A9" s="31">
        <v>2</v>
      </c>
      <c r="B9" s="817" t="s">
        <v>33</v>
      </c>
      <c r="C9" s="33">
        <v>1661</v>
      </c>
      <c r="D9" s="34">
        <v>15000</v>
      </c>
      <c r="E9" s="33">
        <v>15000</v>
      </c>
      <c r="F9" s="33">
        <v>197</v>
      </c>
      <c r="G9" s="35">
        <v>1106</v>
      </c>
      <c r="H9" s="36">
        <f>F9/E3</f>
        <v>1.8411214953271029</v>
      </c>
      <c r="I9" s="33">
        <f t="shared" si="0"/>
        <v>16464</v>
      </c>
      <c r="J9" s="37">
        <f>G9/F3</f>
        <v>1.5890804597701149</v>
      </c>
      <c r="K9" s="35">
        <v>33500</v>
      </c>
      <c r="L9" s="38">
        <f t="shared" si="1"/>
        <v>6599.5</v>
      </c>
      <c r="M9" s="38">
        <f t="shared" si="2"/>
        <v>37051</v>
      </c>
      <c r="N9" s="39">
        <f>L9/E3</f>
        <v>61.677570093457945</v>
      </c>
      <c r="O9" s="40">
        <f>M9/F3</f>
        <v>53.234195402298852</v>
      </c>
    </row>
    <row r="10" spans="1:15" ht="15.75">
      <c r="A10" s="31">
        <v>3</v>
      </c>
      <c r="B10" s="817" t="s">
        <v>34</v>
      </c>
      <c r="C10" s="33">
        <v>4061</v>
      </c>
      <c r="D10" s="34"/>
      <c r="E10" s="33"/>
      <c r="F10" s="33">
        <v>58</v>
      </c>
      <c r="G10" s="35">
        <v>386</v>
      </c>
      <c r="H10" s="36">
        <f>F10/E3</f>
        <v>0.54205607476635509</v>
      </c>
      <c r="I10" s="33">
        <f t="shared" si="0"/>
        <v>4003</v>
      </c>
      <c r="J10" s="37">
        <f>G10/F3</f>
        <v>0.5545977011494253</v>
      </c>
      <c r="K10" s="35">
        <v>98000</v>
      </c>
      <c r="L10" s="38">
        <f t="shared" si="1"/>
        <v>5684</v>
      </c>
      <c r="M10" s="38">
        <f t="shared" si="2"/>
        <v>37828</v>
      </c>
      <c r="N10" s="39">
        <f>L10/E3</f>
        <v>53.121495327102807</v>
      </c>
      <c r="O10" s="40">
        <f>M10/F3</f>
        <v>54.350574712643677</v>
      </c>
    </row>
    <row r="11" spans="1:15" ht="15.75">
      <c r="A11" s="31">
        <v>4</v>
      </c>
      <c r="B11" s="817" t="s">
        <v>35</v>
      </c>
      <c r="C11" s="33">
        <v>16.920000000000002</v>
      </c>
      <c r="D11" s="34"/>
      <c r="E11" s="33"/>
      <c r="F11" s="33">
        <v>0</v>
      </c>
      <c r="G11" s="41">
        <v>0.16</v>
      </c>
      <c r="H11" s="42">
        <f>F11/E3</f>
        <v>0</v>
      </c>
      <c r="I11" s="33">
        <f t="shared" si="0"/>
        <v>16.920000000000002</v>
      </c>
      <c r="J11" s="43">
        <f>G11/F3</f>
        <v>2.2988505747126436E-4</v>
      </c>
      <c r="K11" s="35">
        <v>750000</v>
      </c>
      <c r="L11" s="38">
        <f t="shared" si="1"/>
        <v>0</v>
      </c>
      <c r="M11" s="38">
        <f t="shared" si="2"/>
        <v>120.00000000000001</v>
      </c>
      <c r="N11" s="39">
        <f>L11/E3</f>
        <v>0</v>
      </c>
      <c r="O11" s="40">
        <f>M11/F3</f>
        <v>0.17241379310344829</v>
      </c>
    </row>
    <row r="12" spans="1:15" ht="15.75">
      <c r="A12" s="31">
        <v>5</v>
      </c>
      <c r="B12" s="817" t="s">
        <v>36</v>
      </c>
      <c r="C12" s="33">
        <v>872.7</v>
      </c>
      <c r="D12" s="34"/>
      <c r="E12" s="33"/>
      <c r="F12" s="33">
        <v>8</v>
      </c>
      <c r="G12" s="63">
        <v>79.8</v>
      </c>
      <c r="H12" s="36">
        <f>F12/E3</f>
        <v>7.476635514018691E-2</v>
      </c>
      <c r="I12" s="33">
        <f t="shared" si="0"/>
        <v>864.7</v>
      </c>
      <c r="J12" s="37">
        <f>G12/F3</f>
        <v>0.1146551724137931</v>
      </c>
      <c r="K12" s="35">
        <v>350000</v>
      </c>
      <c r="L12" s="38">
        <f t="shared" si="1"/>
        <v>2800</v>
      </c>
      <c r="M12" s="38">
        <f t="shared" si="2"/>
        <v>27930</v>
      </c>
      <c r="N12" s="39">
        <f>L12/E3</f>
        <v>26.168224299065422</v>
      </c>
      <c r="O12" s="40">
        <f>M12/F3</f>
        <v>40.129310344827587</v>
      </c>
    </row>
    <row r="13" spans="1:15" ht="15.75">
      <c r="A13" s="31">
        <v>6</v>
      </c>
      <c r="B13" s="817" t="s">
        <v>37</v>
      </c>
      <c r="C13" s="33">
        <v>710</v>
      </c>
      <c r="D13" s="34"/>
      <c r="E13" s="33"/>
      <c r="F13" s="159">
        <v>20</v>
      </c>
      <c r="G13" s="142">
        <v>250</v>
      </c>
      <c r="H13" s="36">
        <f>F13/E3</f>
        <v>0.18691588785046728</v>
      </c>
      <c r="I13" s="33">
        <f t="shared" si="0"/>
        <v>690</v>
      </c>
      <c r="J13" s="37">
        <f>G13/F3</f>
        <v>0.35919540229885055</v>
      </c>
      <c r="K13" s="35">
        <v>215000</v>
      </c>
      <c r="L13" s="38">
        <f t="shared" si="1"/>
        <v>4300</v>
      </c>
      <c r="M13" s="38">
        <f t="shared" si="2"/>
        <v>53750</v>
      </c>
      <c r="N13" s="39">
        <f>L13/E3</f>
        <v>40.186915887850468</v>
      </c>
      <c r="O13" s="40">
        <f>M13/F3</f>
        <v>77.227011494252878</v>
      </c>
    </row>
    <row r="14" spans="1:15" ht="15.75">
      <c r="A14" s="31">
        <v>7</v>
      </c>
      <c r="B14" s="817" t="s">
        <v>38</v>
      </c>
      <c r="C14" s="33">
        <v>2942</v>
      </c>
      <c r="D14" s="34"/>
      <c r="E14" s="1016"/>
      <c r="F14" s="33">
        <v>34</v>
      </c>
      <c r="G14" s="35">
        <v>250</v>
      </c>
      <c r="H14" s="1017">
        <f>F14/E3</f>
        <v>0.31775700934579437</v>
      </c>
      <c r="I14" s="33">
        <f t="shared" si="0"/>
        <v>2908</v>
      </c>
      <c r="J14" s="37">
        <f>G14/F3</f>
        <v>0.35919540229885055</v>
      </c>
      <c r="K14" s="35">
        <v>151000</v>
      </c>
      <c r="L14" s="38">
        <f t="shared" si="1"/>
        <v>5134</v>
      </c>
      <c r="M14" s="38">
        <f t="shared" si="2"/>
        <v>37750</v>
      </c>
      <c r="N14" s="39">
        <f>L14/E3</f>
        <v>47.981308411214954</v>
      </c>
      <c r="O14" s="40">
        <f>M14/F3</f>
        <v>54.238505747126439</v>
      </c>
    </row>
    <row r="15" spans="1:15" ht="15.75">
      <c r="A15" s="31">
        <v>8</v>
      </c>
      <c r="B15" s="817" t="s">
        <v>39</v>
      </c>
      <c r="C15" s="33">
        <v>847</v>
      </c>
      <c r="D15" s="33"/>
      <c r="E15" s="33"/>
      <c r="F15" s="1018">
        <v>15</v>
      </c>
      <c r="G15" s="1019">
        <v>88</v>
      </c>
      <c r="H15" s="36">
        <f>F15/E3</f>
        <v>0.14018691588785046</v>
      </c>
      <c r="I15" s="33">
        <f t="shared" si="0"/>
        <v>832</v>
      </c>
      <c r="J15" s="37">
        <f>G15/F3</f>
        <v>0.12643678160919541</v>
      </c>
      <c r="K15" s="35">
        <v>255000</v>
      </c>
      <c r="L15" s="38">
        <f t="shared" si="1"/>
        <v>3825</v>
      </c>
      <c r="M15" s="38">
        <f t="shared" si="2"/>
        <v>22440</v>
      </c>
      <c r="N15" s="39">
        <f>L15/E3</f>
        <v>35.747663551401871</v>
      </c>
      <c r="O15" s="40">
        <f>M15/F3</f>
        <v>32.241379310344826</v>
      </c>
    </row>
    <row r="16" spans="1:15" ht="15.75">
      <c r="A16" s="31">
        <v>9</v>
      </c>
      <c r="B16" s="817" t="s">
        <v>40</v>
      </c>
      <c r="C16" s="33">
        <v>18</v>
      </c>
      <c r="D16" s="34"/>
      <c r="E16" s="33"/>
      <c r="F16" s="33">
        <v>0</v>
      </c>
      <c r="G16" s="35">
        <v>1</v>
      </c>
      <c r="H16" s="36">
        <f>F16/E3</f>
        <v>0</v>
      </c>
      <c r="I16" s="33">
        <f t="shared" si="0"/>
        <v>18</v>
      </c>
      <c r="J16" s="37">
        <f>G16/F3</f>
        <v>1.4367816091954023E-3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0.50028735632183907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994">
        <v>0</v>
      </c>
      <c r="H17" s="995">
        <f>F17/E3</f>
        <v>0</v>
      </c>
      <c r="I17" s="993">
        <f t="shared" si="0"/>
        <v>2500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172.33700000000005</v>
      </c>
      <c r="D19" s="61"/>
      <c r="E19" s="61"/>
      <c r="F19" s="62">
        <v>6.7</v>
      </c>
      <c r="G19" s="1053">
        <v>37.5</v>
      </c>
      <c r="H19" s="64">
        <f>F19/E3</f>
        <v>6.2616822429906543E-2</v>
      </c>
      <c r="I19" s="65">
        <f t="shared" si="0"/>
        <v>165.63700000000006</v>
      </c>
      <c r="J19" s="66">
        <f>G19/F3</f>
        <v>5.3879310344827583E-2</v>
      </c>
      <c r="K19" s="60">
        <v>377600</v>
      </c>
      <c r="L19" s="67">
        <f t="shared" si="1"/>
        <v>2529.92</v>
      </c>
      <c r="M19" s="67">
        <f t="shared" si="2"/>
        <v>14160</v>
      </c>
      <c r="N19" s="67">
        <f>L19/E3</f>
        <v>23.64411214953271</v>
      </c>
      <c r="O19" s="68">
        <f>M19/F3</f>
        <v>20.344827586206897</v>
      </c>
    </row>
    <row r="20" spans="1:15" ht="15.75">
      <c r="A20" s="58">
        <v>13</v>
      </c>
      <c r="B20" s="843" t="s">
        <v>44</v>
      </c>
      <c r="C20" s="60">
        <v>193.76199999999997</v>
      </c>
      <c r="D20" s="61"/>
      <c r="E20" s="61"/>
      <c r="F20" s="62">
        <v>3.6</v>
      </c>
      <c r="G20" s="1053">
        <v>22.738</v>
      </c>
      <c r="H20" s="66">
        <f>F20/E3</f>
        <v>3.3644859813084113E-2</v>
      </c>
      <c r="I20" s="60">
        <f t="shared" si="0"/>
        <v>190.16199999999998</v>
      </c>
      <c r="J20" s="66">
        <f>G20/F3</f>
        <v>3.2669540229885059E-2</v>
      </c>
      <c r="K20" s="60">
        <v>271400</v>
      </c>
      <c r="L20" s="67">
        <f t="shared" si="1"/>
        <v>977.04</v>
      </c>
      <c r="M20" s="67">
        <f t="shared" si="2"/>
        <v>6171.0932000000003</v>
      </c>
      <c r="N20" s="67">
        <f>L20/E3</f>
        <v>9.1312149532710283</v>
      </c>
      <c r="O20" s="68">
        <f>M20/F3</f>
        <v>8.8665132183908053</v>
      </c>
    </row>
    <row r="21" spans="1:15" ht="15.75">
      <c r="A21" s="58">
        <v>14</v>
      </c>
      <c r="B21" s="843" t="s">
        <v>45</v>
      </c>
      <c r="C21" s="60">
        <v>2449.6000000000004</v>
      </c>
      <c r="D21" s="61"/>
      <c r="E21" s="61"/>
      <c r="F21" s="62">
        <v>56.6</v>
      </c>
      <c r="G21" s="925">
        <v>325.10000000000002</v>
      </c>
      <c r="H21" s="66">
        <f>F21/E3</f>
        <v>0.52897196261682244</v>
      </c>
      <c r="I21" s="61">
        <f t="shared" si="0"/>
        <v>2393.0000000000005</v>
      </c>
      <c r="J21" s="66">
        <f>G21/F3</f>
        <v>0.46709770114942534</v>
      </c>
      <c r="K21" s="60">
        <v>271400</v>
      </c>
      <c r="L21" s="67">
        <f t="shared" si="1"/>
        <v>15361.240000000002</v>
      </c>
      <c r="M21" s="67">
        <f t="shared" si="2"/>
        <v>88232.14</v>
      </c>
      <c r="N21" s="67">
        <f>L21/E3</f>
        <v>143.56299065420563</v>
      </c>
      <c r="O21" s="68">
        <f>M21/F3</f>
        <v>126.77031609195402</v>
      </c>
    </row>
    <row r="22" spans="1:15" ht="15.75">
      <c r="A22" s="69">
        <v>15</v>
      </c>
      <c r="B22" s="853" t="s">
        <v>46</v>
      </c>
      <c r="C22" s="71">
        <v>59</v>
      </c>
      <c r="D22" s="72"/>
      <c r="E22" s="72"/>
      <c r="F22" s="34">
        <v>3</v>
      </c>
      <c r="G22" s="35">
        <v>6</v>
      </c>
      <c r="H22" s="73">
        <f>F22/E3</f>
        <v>2.8037383177570093E-2</v>
      </c>
      <c r="I22" s="34">
        <f t="shared" si="0"/>
        <v>56</v>
      </c>
      <c r="J22" s="73">
        <f>G22/F3</f>
        <v>8.6206896551724137E-3</v>
      </c>
      <c r="K22" s="34">
        <v>41000</v>
      </c>
      <c r="L22" s="44">
        <f t="shared" si="1"/>
        <v>123</v>
      </c>
      <c r="M22" s="44">
        <f t="shared" si="2"/>
        <v>246</v>
      </c>
      <c r="N22" s="74">
        <f>L22/E3</f>
        <v>1.1495327102803738</v>
      </c>
      <c r="O22" s="75">
        <f>M22/F3</f>
        <v>0.35344827586206895</v>
      </c>
    </row>
    <row r="23" spans="1:15" ht="15.75">
      <c r="A23" s="69">
        <v>16</v>
      </c>
      <c r="B23" s="234" t="s">
        <v>47</v>
      </c>
      <c r="C23" s="71">
        <v>193</v>
      </c>
      <c r="D23" s="72"/>
      <c r="E23" s="34"/>
      <c r="F23" s="34">
        <v>10.199999999999999</v>
      </c>
      <c r="G23" s="63">
        <v>111</v>
      </c>
      <c r="H23" s="73">
        <f>F23/E3</f>
        <v>9.5327102803738309E-2</v>
      </c>
      <c r="I23" s="34">
        <f t="shared" si="0"/>
        <v>182.8</v>
      </c>
      <c r="J23" s="73">
        <f>G23/F3</f>
        <v>0.15948275862068967</v>
      </c>
      <c r="K23" s="34">
        <v>24000</v>
      </c>
      <c r="L23" s="44">
        <f t="shared" si="1"/>
        <v>244.79999999999998</v>
      </c>
      <c r="M23" s="44">
        <f t="shared" si="2"/>
        <v>2664</v>
      </c>
      <c r="N23" s="74">
        <f>L23/E3</f>
        <v>2.2878504672897195</v>
      </c>
      <c r="O23" s="75">
        <f>M23/F3</f>
        <v>3.8275862068965516</v>
      </c>
    </row>
    <row r="24" spans="1:15" ht="15.75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30</v>
      </c>
      <c r="D25" s="72"/>
      <c r="E25" s="34"/>
      <c r="F25" s="34">
        <v>5</v>
      </c>
      <c r="G25" s="35">
        <v>25</v>
      </c>
      <c r="H25" s="73">
        <f>F25/E3</f>
        <v>4.6728971962616821E-2</v>
      </c>
      <c r="I25" s="34">
        <f t="shared" si="0"/>
        <v>25</v>
      </c>
      <c r="J25" s="73">
        <f>G25/F3</f>
        <v>3.5919540229885055E-2</v>
      </c>
      <c r="K25" s="34">
        <v>14400</v>
      </c>
      <c r="L25" s="44">
        <f t="shared" si="1"/>
        <v>72</v>
      </c>
      <c r="M25" s="44">
        <f t="shared" si="2"/>
        <v>360</v>
      </c>
      <c r="N25" s="74">
        <f>L25/E3</f>
        <v>0.67289719626168221</v>
      </c>
      <c r="O25" s="75">
        <f>M25/F3</f>
        <v>0.51724137931034486</v>
      </c>
    </row>
    <row r="26" spans="1:15" ht="15.75">
      <c r="A26" s="69">
        <v>19</v>
      </c>
      <c r="B26" s="853" t="s">
        <v>50</v>
      </c>
      <c r="C26" s="71">
        <v>66</v>
      </c>
      <c r="D26" s="34"/>
      <c r="E26" s="72"/>
      <c r="F26" s="34">
        <v>3.5</v>
      </c>
      <c r="G26" s="63">
        <v>17.5</v>
      </c>
      <c r="H26" s="73">
        <f>F26/E3</f>
        <v>3.2710280373831772E-2</v>
      </c>
      <c r="I26" s="34">
        <f t="shared" si="0"/>
        <v>62.5</v>
      </c>
      <c r="J26" s="73">
        <f>G26/F3</f>
        <v>2.5143678160919541E-2</v>
      </c>
      <c r="K26" s="34">
        <v>102000</v>
      </c>
      <c r="L26" s="44">
        <f t="shared" si="1"/>
        <v>357</v>
      </c>
      <c r="M26" s="44">
        <f t="shared" si="2"/>
        <v>1785.0000000000002</v>
      </c>
      <c r="N26" s="74">
        <f>L26/E3</f>
        <v>3.3364485981308412</v>
      </c>
      <c r="O26" s="75">
        <f>M26/F3</f>
        <v>2.5646551724137936</v>
      </c>
    </row>
    <row r="27" spans="1:15" ht="15.75">
      <c r="A27" s="69">
        <v>20</v>
      </c>
      <c r="B27" s="853" t="s">
        <v>51</v>
      </c>
      <c r="C27" s="71">
        <v>30</v>
      </c>
      <c r="D27" s="72"/>
      <c r="E27" s="72"/>
      <c r="F27" s="34">
        <v>5</v>
      </c>
      <c r="G27" s="35">
        <v>25</v>
      </c>
      <c r="H27" s="73">
        <f>F27/E3</f>
        <v>4.6728971962616821E-2</v>
      </c>
      <c r="I27" s="34">
        <f t="shared" si="0"/>
        <v>25</v>
      </c>
      <c r="J27" s="73">
        <f>G27/F3</f>
        <v>3.5919540229885055E-2</v>
      </c>
      <c r="K27" s="34">
        <v>107000</v>
      </c>
      <c r="L27" s="44">
        <f t="shared" si="1"/>
        <v>535</v>
      </c>
      <c r="M27" s="44">
        <f t="shared" si="2"/>
        <v>2675</v>
      </c>
      <c r="N27" s="74">
        <f>L27/E3</f>
        <v>5</v>
      </c>
      <c r="O27" s="75">
        <f>M27/F3</f>
        <v>3.8433908045977012</v>
      </c>
    </row>
    <row r="28" spans="1:15" ht="15.75">
      <c r="A28" s="69">
        <v>21</v>
      </c>
      <c r="B28" s="234" t="s">
        <v>52</v>
      </c>
      <c r="C28" s="71">
        <v>68</v>
      </c>
      <c r="D28" s="72"/>
      <c r="E28" s="72"/>
      <c r="F28" s="34">
        <v>3</v>
      </c>
      <c r="G28" s="35">
        <v>15</v>
      </c>
      <c r="H28" s="73">
        <f>F28/E3</f>
        <v>2.8037383177570093E-2</v>
      </c>
      <c r="I28" s="34">
        <f t="shared" si="0"/>
        <v>65</v>
      </c>
      <c r="J28" s="73">
        <f>G28/F3</f>
        <v>2.1551724137931036E-2</v>
      </c>
      <c r="K28" s="34">
        <v>100000</v>
      </c>
      <c r="L28" s="44">
        <f t="shared" si="1"/>
        <v>300</v>
      </c>
      <c r="M28" s="44">
        <f t="shared" si="2"/>
        <v>1500</v>
      </c>
      <c r="N28" s="74">
        <f>L28/E3</f>
        <v>2.8037383177570092</v>
      </c>
      <c r="O28" s="75">
        <f>M28/F3</f>
        <v>2.1551724137931036</v>
      </c>
    </row>
    <row r="29" spans="1:15" ht="15.75">
      <c r="A29" s="69">
        <v>22</v>
      </c>
      <c r="B29" s="853" t="s">
        <v>53</v>
      </c>
      <c r="C29" s="71">
        <v>28</v>
      </c>
      <c r="D29" s="72"/>
      <c r="E29" s="72"/>
      <c r="F29" s="34">
        <v>1</v>
      </c>
      <c r="G29" s="35">
        <v>5</v>
      </c>
      <c r="H29" s="73">
        <f>F29/E3</f>
        <v>9.3457943925233638E-3</v>
      </c>
      <c r="I29" s="34">
        <f t="shared" si="0"/>
        <v>27</v>
      </c>
      <c r="J29" s="73">
        <f>G29/F3</f>
        <v>7.1839080459770114E-3</v>
      </c>
      <c r="K29" s="34">
        <v>255000</v>
      </c>
      <c r="L29" s="44">
        <f t="shared" si="1"/>
        <v>255</v>
      </c>
      <c r="M29" s="44">
        <f t="shared" si="2"/>
        <v>1275</v>
      </c>
      <c r="N29" s="74">
        <f>L29/E3</f>
        <v>2.3831775700934581</v>
      </c>
      <c r="O29" s="1047">
        <f>M29/F3</f>
        <v>1.8318965517241379</v>
      </c>
    </row>
    <row r="30" spans="1:15" ht="15.75">
      <c r="A30" s="69">
        <v>23</v>
      </c>
      <c r="B30" s="853" t="s">
        <v>54</v>
      </c>
      <c r="C30" s="71">
        <v>250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1468.2009345794395</v>
      </c>
      <c r="O32" s="985">
        <f>SUM(O8,O9,O10,O11,O12,O13,O14,O15,O16,O17,O18,O19,O20,O21,O22,O23,O24,O25,O26,O27,O28,O29,O30,O31,)</f>
        <v>1367.6514844827586</v>
      </c>
    </row>
    <row r="33" spans="1:15" ht="16.5" thickBot="1">
      <c r="A33" s="1035">
        <v>1</v>
      </c>
      <c r="B33" s="1036" t="s">
        <v>169</v>
      </c>
      <c r="C33" s="1037">
        <v>5</v>
      </c>
      <c r="D33" s="1096"/>
      <c r="E33" s="1096"/>
      <c r="F33" s="1034">
        <v>8.3000000000000007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15" t="s">
        <v>134</v>
      </c>
      <c r="C34" s="966">
        <v>18</v>
      </c>
      <c r="D34" s="1096"/>
      <c r="E34" s="1096"/>
      <c r="F34" s="1023">
        <v>31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>
        <v>3</v>
      </c>
      <c r="B35" s="1015" t="s">
        <v>126</v>
      </c>
      <c r="C35" s="967">
        <v>39</v>
      </c>
      <c r="D35" s="1096"/>
      <c r="E35" s="1096"/>
      <c r="F35" s="1024">
        <v>66</v>
      </c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>
        <v>4</v>
      </c>
      <c r="B36" s="1015" t="s">
        <v>170</v>
      </c>
      <c r="C36" s="1028">
        <v>1</v>
      </c>
      <c r="D36" s="1096"/>
      <c r="E36" s="1096"/>
      <c r="F36" s="1023">
        <v>1.7</v>
      </c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1.4682009345794396</v>
      </c>
      <c r="O36" s="980">
        <f>O32/1000</f>
        <v>1.3676514844827585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5</v>
      </c>
      <c r="B38" s="1032" t="s">
        <v>60</v>
      </c>
      <c r="C38" s="1033">
        <f>SUM(C33:C37,K33:K37)</f>
        <v>63</v>
      </c>
      <c r="D38" s="1523">
        <f>SUM(F33:F37,L33:L37)</f>
        <v>107</v>
      </c>
      <c r="E38" s="1524"/>
      <c r="F38" s="1525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8:F38"/>
    <mergeCell ref="D33:E37"/>
    <mergeCell ref="H33:J33"/>
    <mergeCell ref="M33:M35"/>
    <mergeCell ref="H34:J34"/>
    <mergeCell ref="H35:J35"/>
    <mergeCell ref="H36:J36"/>
    <mergeCell ref="H37:J37"/>
  </mergeCells>
  <pageMargins left="7.874015748031496E-2" right="0.11811023622047245" top="0.9055118110236221" bottom="0.15748031496062992" header="0.11811023622047245" footer="0.11811023622047245"/>
  <pageSetup scale="80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38"/>
  <sheetViews>
    <sheetView topLeftCell="A14" workbookViewId="0">
      <selection activeCell="A3" sqref="A1:XFD1048576"/>
    </sheetView>
  </sheetViews>
  <sheetFormatPr defaultRowHeight="15"/>
  <cols>
    <col min="1" max="1" width="5.28515625" customWidth="1"/>
    <col min="2" max="2" width="27.140625" customWidth="1"/>
    <col min="3" max="3" width="9.42578125" customWidth="1"/>
    <col min="8" max="8" width="10.7109375" customWidth="1"/>
    <col min="10" max="10" width="11.42578125" customWidth="1"/>
    <col min="12" max="12" width="11.28515625" customWidth="1"/>
    <col min="13" max="13" width="12.85546875" customWidth="1"/>
    <col min="15" max="15" width="12.7109375" customWidth="1"/>
  </cols>
  <sheetData>
    <row r="1" spans="1:15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167</v>
      </c>
      <c r="F3" s="3">
        <v>863</v>
      </c>
      <c r="G3" s="1526" t="s">
        <v>173</v>
      </c>
      <c r="H3" s="1527"/>
      <c r="I3" s="1129" t="s">
        <v>172</v>
      </c>
      <c r="J3" s="1130"/>
      <c r="K3" s="1130"/>
      <c r="L3" s="1130"/>
      <c r="M3" s="1130"/>
      <c r="N3" s="1130"/>
      <c r="O3" s="1131"/>
    </row>
    <row r="4" spans="1:15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14200</v>
      </c>
      <c r="D8" s="23"/>
      <c r="E8" s="22"/>
      <c r="F8" s="22">
        <v>3600</v>
      </c>
      <c r="G8" s="24">
        <f>17100+F8</f>
        <v>20700</v>
      </c>
      <c r="H8" s="25">
        <f>F8/E3</f>
        <v>21.556886227544911</v>
      </c>
      <c r="I8" s="22">
        <f t="shared" ref="I8:I31" si="0">(C8-F8)+D8</f>
        <v>10600</v>
      </c>
      <c r="J8" s="26">
        <f>G8/F3</f>
        <v>23.986095017381228</v>
      </c>
      <c r="K8" s="24">
        <v>36000</v>
      </c>
      <c r="L8" s="27">
        <f t="shared" ref="L8:L31" si="1">(F8/1000)*K8</f>
        <v>129600</v>
      </c>
      <c r="M8" s="28">
        <f t="shared" ref="M8:M31" si="2">(G8/1000)*K8</f>
        <v>745200</v>
      </c>
      <c r="N8" s="29">
        <f>L8/E3</f>
        <v>776.04790419161679</v>
      </c>
      <c r="O8" s="30">
        <f>M8/F3</f>
        <v>863.49942062572427</v>
      </c>
    </row>
    <row r="9" spans="1:15" ht="15.75">
      <c r="A9" s="31">
        <v>2</v>
      </c>
      <c r="B9" s="817" t="s">
        <v>33</v>
      </c>
      <c r="C9" s="33">
        <v>16464</v>
      </c>
      <c r="D9" s="34"/>
      <c r="E9" s="33">
        <v>15000</v>
      </c>
      <c r="F9" s="33">
        <v>210</v>
      </c>
      <c r="G9" s="35">
        <v>1316</v>
      </c>
      <c r="H9" s="36">
        <f>F9/E3</f>
        <v>1.2574850299401197</v>
      </c>
      <c r="I9" s="33">
        <f t="shared" si="0"/>
        <v>16254</v>
      </c>
      <c r="J9" s="37">
        <f>G9/F3</f>
        <v>1.5249130938586326</v>
      </c>
      <c r="K9" s="35">
        <v>33500</v>
      </c>
      <c r="L9" s="38">
        <f t="shared" si="1"/>
        <v>7035</v>
      </c>
      <c r="M9" s="38">
        <f t="shared" si="2"/>
        <v>44086</v>
      </c>
      <c r="N9" s="39">
        <f>L9/E3</f>
        <v>42.125748502994014</v>
      </c>
      <c r="O9" s="40">
        <f>M9/F3</f>
        <v>51.084588644264194</v>
      </c>
    </row>
    <row r="10" spans="1:15" ht="15.75">
      <c r="A10" s="31">
        <v>3</v>
      </c>
      <c r="B10" s="817" t="s">
        <v>34</v>
      </c>
      <c r="C10" s="33">
        <v>4003</v>
      </c>
      <c r="D10" s="34"/>
      <c r="E10" s="33"/>
      <c r="F10" s="33">
        <v>86</v>
      </c>
      <c r="G10" s="35">
        <v>472</v>
      </c>
      <c r="H10" s="36">
        <f>F10/E3</f>
        <v>0.51497005988023947</v>
      </c>
      <c r="I10" s="33">
        <f t="shared" si="0"/>
        <v>3917</v>
      </c>
      <c r="J10" s="37">
        <f>G10/F3</f>
        <v>0.54692931633835462</v>
      </c>
      <c r="K10" s="35">
        <v>98000</v>
      </c>
      <c r="L10" s="38">
        <f t="shared" si="1"/>
        <v>8428</v>
      </c>
      <c r="M10" s="38">
        <f t="shared" si="2"/>
        <v>46256</v>
      </c>
      <c r="N10" s="39">
        <f>L10/E3</f>
        <v>50.467065868263475</v>
      </c>
      <c r="O10" s="40">
        <f>M10/F3</f>
        <v>53.59907300115875</v>
      </c>
    </row>
    <row r="11" spans="1:15" ht="15.75">
      <c r="A11" s="31">
        <v>4</v>
      </c>
      <c r="B11" s="817" t="s">
        <v>35</v>
      </c>
      <c r="C11" s="33">
        <v>16.920000000000002</v>
      </c>
      <c r="D11" s="34"/>
      <c r="E11" s="33"/>
      <c r="F11" s="33">
        <v>0.08</v>
      </c>
      <c r="G11" s="41">
        <v>0.24</v>
      </c>
      <c r="H11" s="42">
        <f>F11/E3</f>
        <v>4.7904191616766467E-4</v>
      </c>
      <c r="I11" s="33">
        <f t="shared" si="0"/>
        <v>16.840000000000003</v>
      </c>
      <c r="J11" s="43">
        <f>G11/F3</f>
        <v>2.7809965237543451E-4</v>
      </c>
      <c r="K11" s="35">
        <v>750000</v>
      </c>
      <c r="L11" s="38">
        <f t="shared" si="1"/>
        <v>60.000000000000007</v>
      </c>
      <c r="M11" s="38">
        <f t="shared" si="2"/>
        <v>179.99999999999997</v>
      </c>
      <c r="N11" s="39">
        <f>L11/E3</f>
        <v>0.35928143712574856</v>
      </c>
      <c r="O11" s="40">
        <f>M11/F3</f>
        <v>0.20857473928157585</v>
      </c>
    </row>
    <row r="12" spans="1:15" ht="15.75">
      <c r="A12" s="31">
        <v>5</v>
      </c>
      <c r="B12" s="817" t="s">
        <v>36</v>
      </c>
      <c r="C12" s="33">
        <v>864.7</v>
      </c>
      <c r="D12" s="34"/>
      <c r="E12" s="33"/>
      <c r="F12" s="33">
        <v>18</v>
      </c>
      <c r="G12" s="63">
        <v>97.8</v>
      </c>
      <c r="H12" s="36">
        <f>F12/E3</f>
        <v>0.10778443113772455</v>
      </c>
      <c r="I12" s="33">
        <f t="shared" si="0"/>
        <v>846.7</v>
      </c>
      <c r="J12" s="37">
        <f>G12/F3</f>
        <v>0.11332560834298956</v>
      </c>
      <c r="K12" s="35">
        <v>350000</v>
      </c>
      <c r="L12" s="38">
        <f t="shared" si="1"/>
        <v>6299.9999999999991</v>
      </c>
      <c r="M12" s="38">
        <f t="shared" si="2"/>
        <v>34230</v>
      </c>
      <c r="N12" s="39">
        <f>L12/E3</f>
        <v>37.724550898203589</v>
      </c>
      <c r="O12" s="40">
        <f>M12/F3</f>
        <v>39.663962920046352</v>
      </c>
    </row>
    <row r="13" spans="1:15" ht="15.75">
      <c r="A13" s="31">
        <v>6</v>
      </c>
      <c r="B13" s="817" t="s">
        <v>37</v>
      </c>
      <c r="C13" s="33">
        <v>690</v>
      </c>
      <c r="D13" s="34"/>
      <c r="E13" s="33"/>
      <c r="F13" s="159">
        <v>40</v>
      </c>
      <c r="G13" s="142">
        <v>290</v>
      </c>
      <c r="H13" s="36">
        <f>F13/E3</f>
        <v>0.23952095808383234</v>
      </c>
      <c r="I13" s="33">
        <f t="shared" si="0"/>
        <v>650</v>
      </c>
      <c r="J13" s="37">
        <f>G13/F3</f>
        <v>0.33603707995365006</v>
      </c>
      <c r="K13" s="35">
        <v>215000</v>
      </c>
      <c r="L13" s="38">
        <f t="shared" si="1"/>
        <v>8600</v>
      </c>
      <c r="M13" s="38">
        <f t="shared" si="2"/>
        <v>62349.999999999993</v>
      </c>
      <c r="N13" s="39">
        <f>L13/E3</f>
        <v>51.49700598802395</v>
      </c>
      <c r="O13" s="40">
        <f>M13/F3</f>
        <v>72.247972190034758</v>
      </c>
    </row>
    <row r="14" spans="1:15" ht="15.75">
      <c r="A14" s="31">
        <v>7</v>
      </c>
      <c r="B14" s="817" t="s">
        <v>38</v>
      </c>
      <c r="C14" s="33">
        <v>2908</v>
      </c>
      <c r="D14" s="34"/>
      <c r="E14" s="1016"/>
      <c r="F14" s="33">
        <v>54</v>
      </c>
      <c r="G14" s="35">
        <v>304</v>
      </c>
      <c r="H14" s="1017">
        <f>F14/E3</f>
        <v>0.32335329341317365</v>
      </c>
      <c r="I14" s="33">
        <f t="shared" si="0"/>
        <v>2854</v>
      </c>
      <c r="J14" s="37">
        <f>G14/F3</f>
        <v>0.35225955967555039</v>
      </c>
      <c r="K14" s="35">
        <v>151000</v>
      </c>
      <c r="L14" s="38">
        <f t="shared" si="1"/>
        <v>8154</v>
      </c>
      <c r="M14" s="38">
        <f t="shared" si="2"/>
        <v>45904</v>
      </c>
      <c r="N14" s="39">
        <f>L14/E3</f>
        <v>48.82634730538922</v>
      </c>
      <c r="O14" s="40">
        <f>M14/F3</f>
        <v>53.191193511008109</v>
      </c>
    </row>
    <row r="15" spans="1:15" ht="15.75">
      <c r="A15" s="31">
        <v>8</v>
      </c>
      <c r="B15" s="817" t="s">
        <v>39</v>
      </c>
      <c r="C15" s="33">
        <v>832</v>
      </c>
      <c r="D15" s="33"/>
      <c r="E15" s="33"/>
      <c r="F15" s="1018">
        <v>20</v>
      </c>
      <c r="G15" s="1019">
        <v>108</v>
      </c>
      <c r="H15" s="36">
        <f>F15/E3</f>
        <v>0.11976047904191617</v>
      </c>
      <c r="I15" s="33">
        <f t="shared" si="0"/>
        <v>812</v>
      </c>
      <c r="J15" s="37">
        <f>G15/F3</f>
        <v>0.12514484356894554</v>
      </c>
      <c r="K15" s="35">
        <v>255000</v>
      </c>
      <c r="L15" s="38">
        <f t="shared" si="1"/>
        <v>5100</v>
      </c>
      <c r="M15" s="38">
        <f t="shared" si="2"/>
        <v>27540</v>
      </c>
      <c r="N15" s="39">
        <f>L15/E3</f>
        <v>30.538922155688624</v>
      </c>
      <c r="O15" s="40">
        <f>M15/F3</f>
        <v>31.911935110081114</v>
      </c>
    </row>
    <row r="16" spans="1:15" ht="15.75">
      <c r="A16" s="31">
        <v>9</v>
      </c>
      <c r="B16" s="817" t="s">
        <v>40</v>
      </c>
      <c r="C16" s="33">
        <v>18</v>
      </c>
      <c r="D16" s="34"/>
      <c r="E16" s="33"/>
      <c r="F16" s="33">
        <v>0</v>
      </c>
      <c r="G16" s="35">
        <v>1</v>
      </c>
      <c r="H16" s="36">
        <f>F16/E3</f>
        <v>0</v>
      </c>
      <c r="I16" s="33">
        <f t="shared" si="0"/>
        <v>18</v>
      </c>
      <c r="J16" s="37">
        <f>G16/F3</f>
        <v>1.1587485515643105E-3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0.40347624565469292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994">
        <v>0</v>
      </c>
      <c r="H17" s="995">
        <f>F17/E3</f>
        <v>0</v>
      </c>
      <c r="I17" s="993">
        <f t="shared" si="0"/>
        <v>2500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926">
        <f>'16-07-26'!G21+'17-07-26'!F18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165.63700000000006</v>
      </c>
      <c r="D19" s="61"/>
      <c r="E19" s="61"/>
      <c r="F19" s="62">
        <v>8.4</v>
      </c>
      <c r="G19" s="1053">
        <v>45.9</v>
      </c>
      <c r="H19" s="64">
        <f>F19/E3</f>
        <v>5.0299401197604794E-2</v>
      </c>
      <c r="I19" s="65">
        <f t="shared" si="0"/>
        <v>157.23700000000005</v>
      </c>
      <c r="J19" s="66">
        <f>G19/F3</f>
        <v>5.3186558516801853E-2</v>
      </c>
      <c r="K19" s="60">
        <v>377600</v>
      </c>
      <c r="L19" s="67">
        <f t="shared" si="1"/>
        <v>3171.8400000000006</v>
      </c>
      <c r="M19" s="67">
        <f t="shared" si="2"/>
        <v>17331.84</v>
      </c>
      <c r="N19" s="67">
        <f>L19/E3</f>
        <v>18.993053892215574</v>
      </c>
      <c r="O19" s="68">
        <f>M19/F3</f>
        <v>20.083244495944381</v>
      </c>
    </row>
    <row r="20" spans="1:15" ht="15.75">
      <c r="A20" s="58">
        <v>13</v>
      </c>
      <c r="B20" s="843" t="s">
        <v>44</v>
      </c>
      <c r="C20" s="60">
        <v>190.16199999999998</v>
      </c>
      <c r="D20" s="61"/>
      <c r="E20" s="61"/>
      <c r="F20" s="62">
        <v>5</v>
      </c>
      <c r="G20" s="1053">
        <v>27.738</v>
      </c>
      <c r="H20" s="66">
        <f>F20/E3</f>
        <v>2.9940119760479042E-2</v>
      </c>
      <c r="I20" s="60">
        <f t="shared" si="0"/>
        <v>185.16199999999998</v>
      </c>
      <c r="J20" s="66">
        <f>G20/F3</f>
        <v>3.2141367323290843E-2</v>
      </c>
      <c r="K20" s="60">
        <v>271400</v>
      </c>
      <c r="L20" s="67">
        <f t="shared" si="1"/>
        <v>1357</v>
      </c>
      <c r="M20" s="67">
        <f t="shared" si="2"/>
        <v>7528.0931999999993</v>
      </c>
      <c r="N20" s="67">
        <f>L20/E3</f>
        <v>8.1257485029940124</v>
      </c>
      <c r="O20" s="68">
        <f>M20/F3</f>
        <v>8.7231670915411357</v>
      </c>
    </row>
    <row r="21" spans="1:15" ht="15.75">
      <c r="A21" s="58">
        <v>14</v>
      </c>
      <c r="B21" s="843" t="s">
        <v>45</v>
      </c>
      <c r="C21" s="60">
        <v>2393.0000000000005</v>
      </c>
      <c r="D21" s="61"/>
      <c r="E21" s="61"/>
      <c r="F21" s="62">
        <v>79.599999999999994</v>
      </c>
      <c r="G21" s="925">
        <v>404.7</v>
      </c>
      <c r="H21" s="66">
        <f>F21/E3</f>
        <v>0.47664670658682634</v>
      </c>
      <c r="I21" s="65">
        <f t="shared" si="0"/>
        <v>2313.4000000000005</v>
      </c>
      <c r="J21" s="66">
        <f>G21/F3</f>
        <v>0.46894553881807649</v>
      </c>
      <c r="K21" s="60">
        <v>271400</v>
      </c>
      <c r="L21" s="67">
        <f t="shared" si="1"/>
        <v>21603.439999999999</v>
      </c>
      <c r="M21" s="67">
        <f t="shared" si="2"/>
        <v>109835.58</v>
      </c>
      <c r="N21" s="67">
        <f>L21/E3</f>
        <v>129.36191616766467</v>
      </c>
      <c r="O21" s="68">
        <f>M21/F3</f>
        <v>127.27181923522596</v>
      </c>
    </row>
    <row r="22" spans="1:15" ht="15.75">
      <c r="A22" s="69">
        <v>15</v>
      </c>
      <c r="B22" s="853" t="s">
        <v>46</v>
      </c>
      <c r="C22" s="71">
        <v>56</v>
      </c>
      <c r="D22" s="72"/>
      <c r="E22" s="72"/>
      <c r="F22" s="34">
        <v>0</v>
      </c>
      <c r="G22" s="35">
        <v>6</v>
      </c>
      <c r="H22" s="73">
        <f>F22/E3</f>
        <v>0</v>
      </c>
      <c r="I22" s="34">
        <f t="shared" si="0"/>
        <v>56</v>
      </c>
      <c r="J22" s="73">
        <f>G22/F3</f>
        <v>6.9524913093858632E-3</v>
      </c>
      <c r="K22" s="34">
        <v>41000</v>
      </c>
      <c r="L22" s="44">
        <f t="shared" si="1"/>
        <v>0</v>
      </c>
      <c r="M22" s="44">
        <f t="shared" si="2"/>
        <v>246</v>
      </c>
      <c r="N22" s="74">
        <f>L22/E3</f>
        <v>0</v>
      </c>
      <c r="O22" s="75">
        <f>M22/F3</f>
        <v>0.2850521436848204</v>
      </c>
    </row>
    <row r="23" spans="1:15" ht="15.75">
      <c r="A23" s="69">
        <v>16</v>
      </c>
      <c r="B23" s="234" t="s">
        <v>47</v>
      </c>
      <c r="C23" s="71">
        <v>182.8</v>
      </c>
      <c r="D23" s="72"/>
      <c r="E23" s="34"/>
      <c r="F23" s="34">
        <v>20.399999999999999</v>
      </c>
      <c r="G23" s="63">
        <v>131.4</v>
      </c>
      <c r="H23" s="73">
        <f>F23/E3</f>
        <v>0.12215568862275449</v>
      </c>
      <c r="I23" s="34">
        <f t="shared" si="0"/>
        <v>162.4</v>
      </c>
      <c r="J23" s="73">
        <f>G23/F3</f>
        <v>0.15225955967555041</v>
      </c>
      <c r="K23" s="34">
        <v>24000</v>
      </c>
      <c r="L23" s="44">
        <f t="shared" si="1"/>
        <v>489.59999999999997</v>
      </c>
      <c r="M23" s="44">
        <f t="shared" si="2"/>
        <v>3153.6000000000004</v>
      </c>
      <c r="N23" s="74">
        <f>L23/E3</f>
        <v>2.9317365269461075</v>
      </c>
      <c r="O23" s="75">
        <f>M23/F3</f>
        <v>3.6542294322132101</v>
      </c>
    </row>
    <row r="24" spans="1:15" ht="15.75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35">
        <f>'16-07-26'!G27+'17-07-26'!F24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25</v>
      </c>
      <c r="D25" s="72"/>
      <c r="E25" s="34"/>
      <c r="F25" s="34">
        <v>5</v>
      </c>
      <c r="G25" s="35">
        <v>30</v>
      </c>
      <c r="H25" s="73">
        <f>F25/E3</f>
        <v>2.9940119760479042E-2</v>
      </c>
      <c r="I25" s="34">
        <f t="shared" si="0"/>
        <v>20</v>
      </c>
      <c r="J25" s="73">
        <f>G25/F3</f>
        <v>3.4762456546929318E-2</v>
      </c>
      <c r="K25" s="34">
        <v>14400</v>
      </c>
      <c r="L25" s="44">
        <f t="shared" si="1"/>
        <v>72</v>
      </c>
      <c r="M25" s="44">
        <f t="shared" si="2"/>
        <v>432</v>
      </c>
      <c r="N25" s="74">
        <f>L25/E3</f>
        <v>0.43113772455089822</v>
      </c>
      <c r="O25" s="75">
        <f>M25/F3</f>
        <v>0.50057937427578214</v>
      </c>
    </row>
    <row r="26" spans="1:15" ht="15.75">
      <c r="A26" s="69">
        <v>19</v>
      </c>
      <c r="B26" s="853" t="s">
        <v>50</v>
      </c>
      <c r="C26" s="71">
        <v>62.5</v>
      </c>
      <c r="D26" s="34"/>
      <c r="E26" s="72"/>
      <c r="F26" s="34">
        <v>3.5</v>
      </c>
      <c r="G26" s="63">
        <v>21</v>
      </c>
      <c r="H26" s="73">
        <f>F26/E3</f>
        <v>2.0958083832335328E-2</v>
      </c>
      <c r="I26" s="34">
        <f t="shared" si="0"/>
        <v>59</v>
      </c>
      <c r="J26" s="73">
        <f>G26/F3</f>
        <v>2.4333719582850522E-2</v>
      </c>
      <c r="K26" s="34">
        <v>102000</v>
      </c>
      <c r="L26" s="44">
        <f t="shared" si="1"/>
        <v>357</v>
      </c>
      <c r="M26" s="44">
        <f t="shared" si="2"/>
        <v>2142</v>
      </c>
      <c r="N26" s="74">
        <f>L26/E3</f>
        <v>2.1377245508982035</v>
      </c>
      <c r="O26" s="75">
        <f>M26/F3</f>
        <v>2.4820393974507531</v>
      </c>
    </row>
    <row r="27" spans="1:15" ht="15.75">
      <c r="A27" s="69">
        <v>20</v>
      </c>
      <c r="B27" s="853" t="s">
        <v>51</v>
      </c>
      <c r="C27" s="71">
        <v>25</v>
      </c>
      <c r="D27" s="72"/>
      <c r="E27" s="72"/>
      <c r="F27" s="34">
        <v>5</v>
      </c>
      <c r="G27" s="35">
        <v>30</v>
      </c>
      <c r="H27" s="73">
        <f>F27/E3</f>
        <v>2.9940119760479042E-2</v>
      </c>
      <c r="I27" s="34">
        <f t="shared" si="0"/>
        <v>20</v>
      </c>
      <c r="J27" s="73">
        <f>G27/F3</f>
        <v>3.4762456546929318E-2</v>
      </c>
      <c r="K27" s="34">
        <v>107000</v>
      </c>
      <c r="L27" s="44">
        <f t="shared" si="1"/>
        <v>535</v>
      </c>
      <c r="M27" s="44">
        <f t="shared" si="2"/>
        <v>3210</v>
      </c>
      <c r="N27" s="74">
        <f>L27/E3</f>
        <v>3.2035928143712575</v>
      </c>
      <c r="O27" s="75">
        <f>M27/F3</f>
        <v>3.7195828505214368</v>
      </c>
    </row>
    <row r="28" spans="1:15" ht="15.75">
      <c r="A28" s="69">
        <v>21</v>
      </c>
      <c r="B28" s="234" t="s">
        <v>52</v>
      </c>
      <c r="C28" s="71">
        <v>65</v>
      </c>
      <c r="D28" s="72"/>
      <c r="E28" s="72"/>
      <c r="F28" s="34">
        <v>3</v>
      </c>
      <c r="G28" s="35">
        <v>18</v>
      </c>
      <c r="H28" s="73">
        <f>F28/E3</f>
        <v>1.7964071856287425E-2</v>
      </c>
      <c r="I28" s="34">
        <f t="shared" si="0"/>
        <v>62</v>
      </c>
      <c r="J28" s="73">
        <f>G28/F3</f>
        <v>2.085747392815759E-2</v>
      </c>
      <c r="K28" s="34">
        <v>100000</v>
      </c>
      <c r="L28" s="44">
        <f t="shared" si="1"/>
        <v>300</v>
      </c>
      <c r="M28" s="44">
        <f t="shared" si="2"/>
        <v>1799.9999999999998</v>
      </c>
      <c r="N28" s="74">
        <f>L28/E3</f>
        <v>1.7964071856287425</v>
      </c>
      <c r="O28" s="75">
        <f>M28/F3</f>
        <v>2.0857473928157586</v>
      </c>
    </row>
    <row r="29" spans="1:15" ht="15.75">
      <c r="A29" s="69">
        <v>22</v>
      </c>
      <c r="B29" s="853" t="s">
        <v>53</v>
      </c>
      <c r="C29" s="71">
        <v>27</v>
      </c>
      <c r="D29" s="72"/>
      <c r="E29" s="72"/>
      <c r="F29" s="34">
        <v>1</v>
      </c>
      <c r="G29" s="35">
        <v>6</v>
      </c>
      <c r="H29" s="73">
        <f>F29/E3</f>
        <v>5.9880239520958087E-3</v>
      </c>
      <c r="I29" s="34">
        <f t="shared" si="0"/>
        <v>26</v>
      </c>
      <c r="J29" s="73">
        <f>G29/F3</f>
        <v>6.9524913093858632E-3</v>
      </c>
      <c r="K29" s="34">
        <v>255000</v>
      </c>
      <c r="L29" s="44">
        <f t="shared" si="1"/>
        <v>255</v>
      </c>
      <c r="M29" s="44">
        <f t="shared" si="2"/>
        <v>1530</v>
      </c>
      <c r="N29" s="74">
        <f>L29/E3</f>
        <v>1.5269461077844311</v>
      </c>
      <c r="O29" s="1047">
        <f>M29/F3</f>
        <v>1.7728852838933951</v>
      </c>
    </row>
    <row r="30" spans="1:15" ht="15.75">
      <c r="A30" s="69">
        <v>23</v>
      </c>
      <c r="B30" s="853" t="s">
        <v>54</v>
      </c>
      <c r="C30" s="71">
        <v>250</v>
      </c>
      <c r="D30" s="72"/>
      <c r="E30" s="72"/>
      <c r="F30" s="34">
        <v>0</v>
      </c>
      <c r="G30" s="35">
        <f>'16-07-26'!G33+'17-07-26'!F30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83">
        <f>'16-07-26'!G34+'17-07-26'!F31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1206.0950898203591</v>
      </c>
      <c r="O32" s="985">
        <f>SUM(O8,O9,O10,O11,O12,O13,O14,O15,O16,O17,O18,O19,O20,O21,O22,O23,O24,O25,O26,O27,O28,O29,O30,O31,)</f>
        <v>1336.3885436848207</v>
      </c>
    </row>
    <row r="33" spans="1:15" ht="16.5" thickBot="1">
      <c r="A33" s="1035">
        <v>1</v>
      </c>
      <c r="B33" s="1036" t="s">
        <v>126</v>
      </c>
      <c r="C33" s="1037">
        <v>5</v>
      </c>
      <c r="D33" s="1096"/>
      <c r="E33" s="1096"/>
      <c r="F33" s="1034">
        <v>8.5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15" t="s">
        <v>115</v>
      </c>
      <c r="C34" s="966">
        <v>84</v>
      </c>
      <c r="D34" s="1096"/>
      <c r="E34" s="1096"/>
      <c r="F34" s="1023">
        <v>143.5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>
        <v>3</v>
      </c>
      <c r="B35" s="1015" t="s">
        <v>134</v>
      </c>
      <c r="C35" s="967">
        <v>9</v>
      </c>
      <c r="D35" s="1096"/>
      <c r="E35" s="1096"/>
      <c r="F35" s="1024">
        <v>15</v>
      </c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1015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1.2060950898203591</v>
      </c>
      <c r="O36" s="980">
        <f>O32/1000</f>
        <v>1.3363885436848206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5</v>
      </c>
      <c r="B38" s="1032" t="s">
        <v>60</v>
      </c>
      <c r="C38" s="1033">
        <f>SUM(C33:C37,K33:K37)</f>
        <v>98</v>
      </c>
      <c r="D38" s="1523">
        <f>SUM(F33:F37,L33:L37)</f>
        <v>167</v>
      </c>
      <c r="E38" s="1524"/>
      <c r="F38" s="1525"/>
    </row>
  </sheetData>
  <mergeCells count="22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38"/>
  <sheetViews>
    <sheetView topLeftCell="A17" workbookViewId="0">
      <selection activeCell="G8" sqref="G8"/>
    </sheetView>
  </sheetViews>
  <sheetFormatPr defaultRowHeight="15"/>
  <cols>
    <col min="1" max="1" width="5.28515625" customWidth="1"/>
    <col min="2" max="2" width="27.140625" customWidth="1"/>
    <col min="3" max="3" width="9.42578125" customWidth="1"/>
    <col min="8" max="8" width="10.7109375" customWidth="1"/>
    <col min="10" max="10" width="11.42578125" customWidth="1"/>
    <col min="12" max="12" width="11.28515625" customWidth="1"/>
    <col min="13" max="13" width="12.85546875" customWidth="1"/>
    <col min="15" max="15" width="12.7109375" customWidth="1"/>
  </cols>
  <sheetData>
    <row r="1" spans="1:15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115</v>
      </c>
      <c r="F3" s="3">
        <v>978</v>
      </c>
      <c r="G3" s="1526" t="s">
        <v>174</v>
      </c>
      <c r="H3" s="1527"/>
      <c r="I3" s="1129" t="s">
        <v>175</v>
      </c>
      <c r="J3" s="1130"/>
      <c r="K3" s="1130"/>
      <c r="L3" s="1130"/>
      <c r="M3" s="1130"/>
      <c r="N3" s="1130"/>
      <c r="O3" s="1131"/>
    </row>
    <row r="4" spans="1:15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10600</v>
      </c>
      <c r="D8" s="23">
        <v>20000</v>
      </c>
      <c r="E8" s="22">
        <v>20000</v>
      </c>
      <c r="F8" s="22">
        <v>2500</v>
      </c>
      <c r="G8" s="24">
        <f>'7-08-2026'!G8+'08-08-2026'!F8</f>
        <v>23200</v>
      </c>
      <c r="H8" s="25">
        <f>F8/E3</f>
        <v>21.739130434782609</v>
      </c>
      <c r="I8" s="22">
        <f t="shared" ref="I8:I31" si="0">(C8-F8)+D8</f>
        <v>28100</v>
      </c>
      <c r="J8" s="26">
        <f>G8/F3</f>
        <v>23.721881390593047</v>
      </c>
      <c r="K8" s="24">
        <v>36000</v>
      </c>
      <c r="L8" s="27">
        <f t="shared" ref="L8:L31" si="1">(F8/1000)*K8</f>
        <v>90000</v>
      </c>
      <c r="M8" s="28">
        <f t="shared" ref="M8:M31" si="2">(G8/1000)*K8</f>
        <v>835200</v>
      </c>
      <c r="N8" s="29">
        <f>L8/E3</f>
        <v>782.60869565217388</v>
      </c>
      <c r="O8" s="30">
        <f>M8/F3</f>
        <v>853.98773006134968</v>
      </c>
    </row>
    <row r="9" spans="1:15" ht="15.75">
      <c r="A9" s="31">
        <v>2</v>
      </c>
      <c r="B9" s="817" t="s">
        <v>33</v>
      </c>
      <c r="C9" s="33">
        <v>16254</v>
      </c>
      <c r="D9" s="34"/>
      <c r="E9" s="33">
        <v>15000</v>
      </c>
      <c r="F9" s="33">
        <v>180</v>
      </c>
      <c r="G9" s="35">
        <f>'7-08-2026'!G9+'08-08-2026'!F9</f>
        <v>1496</v>
      </c>
      <c r="H9" s="36">
        <f>F9/E3</f>
        <v>1.5652173913043479</v>
      </c>
      <c r="I9" s="33">
        <f t="shared" si="0"/>
        <v>16074</v>
      </c>
      <c r="J9" s="37">
        <f>G9/F3</f>
        <v>1.5296523517382412</v>
      </c>
      <c r="K9" s="35">
        <v>33500</v>
      </c>
      <c r="L9" s="38">
        <f t="shared" si="1"/>
        <v>6030</v>
      </c>
      <c r="M9" s="38">
        <f t="shared" si="2"/>
        <v>50116</v>
      </c>
      <c r="N9" s="39">
        <f>L9/E3</f>
        <v>52.434782608695649</v>
      </c>
      <c r="O9" s="40">
        <f>M9/F3</f>
        <v>51.243353783231086</v>
      </c>
    </row>
    <row r="10" spans="1:15" ht="15.75">
      <c r="A10" s="31">
        <v>3</v>
      </c>
      <c r="B10" s="817" t="s">
        <v>34</v>
      </c>
      <c r="C10" s="33">
        <v>3917</v>
      </c>
      <c r="D10" s="34"/>
      <c r="E10" s="33"/>
      <c r="F10" s="33">
        <v>60</v>
      </c>
      <c r="G10" s="35">
        <f>'7-08-2026'!G10+'08-08-2026'!F10</f>
        <v>532</v>
      </c>
      <c r="H10" s="36">
        <f>F10/E3</f>
        <v>0.52173913043478259</v>
      </c>
      <c r="I10" s="33">
        <f t="shared" si="0"/>
        <v>3857</v>
      </c>
      <c r="J10" s="37">
        <f>G10/F3</f>
        <v>0.54396728016359919</v>
      </c>
      <c r="K10" s="35">
        <v>98000</v>
      </c>
      <c r="L10" s="38">
        <f t="shared" si="1"/>
        <v>5880</v>
      </c>
      <c r="M10" s="38">
        <f t="shared" si="2"/>
        <v>52136</v>
      </c>
      <c r="N10" s="39">
        <f>L10/E3</f>
        <v>51.130434782608695</v>
      </c>
      <c r="O10" s="40">
        <f>M10/F3</f>
        <v>53.308793456032717</v>
      </c>
    </row>
    <row r="11" spans="1:15" ht="15.75">
      <c r="A11" s="31">
        <v>4</v>
      </c>
      <c r="B11" s="817" t="s">
        <v>35</v>
      </c>
      <c r="C11" s="33">
        <v>16.840000000000003</v>
      </c>
      <c r="D11" s="34"/>
      <c r="E11" s="33"/>
      <c r="F11" s="33">
        <v>0</v>
      </c>
      <c r="G11" s="35">
        <f>'7-08-2026'!G11+'08-08-2026'!F11</f>
        <v>0.24</v>
      </c>
      <c r="H11" s="42">
        <f>F11/E3</f>
        <v>0</v>
      </c>
      <c r="I11" s="33">
        <f t="shared" si="0"/>
        <v>16.840000000000003</v>
      </c>
      <c r="J11" s="43">
        <f>G11/F3</f>
        <v>2.4539877300613498E-4</v>
      </c>
      <c r="K11" s="35">
        <v>750000</v>
      </c>
      <c r="L11" s="38">
        <f t="shared" si="1"/>
        <v>0</v>
      </c>
      <c r="M11" s="38">
        <f t="shared" si="2"/>
        <v>179.99999999999997</v>
      </c>
      <c r="N11" s="39">
        <f>L11/E3</f>
        <v>0</v>
      </c>
      <c r="O11" s="40">
        <f>M11/F3</f>
        <v>0.18404907975460119</v>
      </c>
    </row>
    <row r="12" spans="1:15" ht="15.75">
      <c r="A12" s="31">
        <v>5</v>
      </c>
      <c r="B12" s="817" t="s">
        <v>36</v>
      </c>
      <c r="C12" s="33">
        <v>846.7</v>
      </c>
      <c r="D12" s="34"/>
      <c r="E12" s="33"/>
      <c r="F12" s="33">
        <v>7</v>
      </c>
      <c r="G12" s="35">
        <f>'7-08-2026'!G12+'08-08-2026'!F12</f>
        <v>104.8</v>
      </c>
      <c r="H12" s="36">
        <f>F12/E3</f>
        <v>6.0869565217391307E-2</v>
      </c>
      <c r="I12" s="33">
        <f t="shared" si="0"/>
        <v>839.7</v>
      </c>
      <c r="J12" s="37">
        <f>G12/F3</f>
        <v>0.10715746421267894</v>
      </c>
      <c r="K12" s="35">
        <v>350000</v>
      </c>
      <c r="L12" s="38">
        <f t="shared" si="1"/>
        <v>2450</v>
      </c>
      <c r="M12" s="38">
        <f t="shared" si="2"/>
        <v>36680</v>
      </c>
      <c r="N12" s="39">
        <f>L12/E3</f>
        <v>21.304347826086957</v>
      </c>
      <c r="O12" s="40">
        <f>M12/F3</f>
        <v>37.505112474437631</v>
      </c>
    </row>
    <row r="13" spans="1:15" ht="15.75">
      <c r="A13" s="31">
        <v>6</v>
      </c>
      <c r="B13" s="817" t="s">
        <v>37</v>
      </c>
      <c r="C13" s="33">
        <v>650</v>
      </c>
      <c r="D13" s="34"/>
      <c r="E13" s="33"/>
      <c r="F13" s="159">
        <v>30</v>
      </c>
      <c r="G13" s="35">
        <f>'7-08-2026'!G13+'08-08-2026'!F13</f>
        <v>320</v>
      </c>
      <c r="H13" s="36">
        <f>F13/E3</f>
        <v>0.2608695652173913</v>
      </c>
      <c r="I13" s="33">
        <f t="shared" si="0"/>
        <v>620</v>
      </c>
      <c r="J13" s="37">
        <f>G13/F3</f>
        <v>0.32719836400817998</v>
      </c>
      <c r="K13" s="35">
        <v>215000</v>
      </c>
      <c r="L13" s="38">
        <f t="shared" si="1"/>
        <v>6450</v>
      </c>
      <c r="M13" s="38">
        <f t="shared" si="2"/>
        <v>68800</v>
      </c>
      <c r="N13" s="39">
        <f>L13/E3</f>
        <v>56.086956521739133</v>
      </c>
      <c r="O13" s="40">
        <f>M13/F3</f>
        <v>70.347648261758692</v>
      </c>
    </row>
    <row r="14" spans="1:15" ht="15.75">
      <c r="A14" s="31">
        <v>7</v>
      </c>
      <c r="B14" s="817" t="s">
        <v>38</v>
      </c>
      <c r="C14" s="33">
        <v>2854</v>
      </c>
      <c r="D14" s="34"/>
      <c r="E14" s="1016"/>
      <c r="F14" s="33">
        <v>40</v>
      </c>
      <c r="G14" s="35">
        <f>'7-08-2026'!G14+'08-08-2026'!F14</f>
        <v>344</v>
      </c>
      <c r="H14" s="1017">
        <f>F14/E3</f>
        <v>0.34782608695652173</v>
      </c>
      <c r="I14" s="33">
        <f t="shared" si="0"/>
        <v>2814</v>
      </c>
      <c r="J14" s="37">
        <f>G14/F3</f>
        <v>0.35173824130879344</v>
      </c>
      <c r="K14" s="35">
        <v>151000</v>
      </c>
      <c r="L14" s="38">
        <f t="shared" si="1"/>
        <v>6040</v>
      </c>
      <c r="M14" s="38">
        <f t="shared" si="2"/>
        <v>51943.999999999993</v>
      </c>
      <c r="N14" s="39">
        <f>L14/E3</f>
        <v>52.521739130434781</v>
      </c>
      <c r="O14" s="40">
        <f>M14/F3</f>
        <v>53.112474437627803</v>
      </c>
    </row>
    <row r="15" spans="1:15" ht="15.75">
      <c r="A15" s="31">
        <v>8</v>
      </c>
      <c r="B15" s="817" t="s">
        <v>39</v>
      </c>
      <c r="C15" s="33">
        <v>812</v>
      </c>
      <c r="D15" s="33"/>
      <c r="E15" s="33"/>
      <c r="F15" s="1018">
        <v>20</v>
      </c>
      <c r="G15" s="35">
        <f>'7-08-2026'!G15+'08-08-2026'!F15</f>
        <v>128</v>
      </c>
      <c r="H15" s="36">
        <f>F15/E3</f>
        <v>0.17391304347826086</v>
      </c>
      <c r="I15" s="33">
        <f t="shared" si="0"/>
        <v>792</v>
      </c>
      <c r="J15" s="37">
        <f>G15/F3</f>
        <v>0.130879345603272</v>
      </c>
      <c r="K15" s="35">
        <v>255000</v>
      </c>
      <c r="L15" s="38">
        <f t="shared" si="1"/>
        <v>5100</v>
      </c>
      <c r="M15" s="38">
        <f t="shared" si="2"/>
        <v>32640</v>
      </c>
      <c r="N15" s="39">
        <f>L15/E3</f>
        <v>44.347826086956523</v>
      </c>
      <c r="O15" s="40">
        <f>M15/F3</f>
        <v>33.374233128834355</v>
      </c>
    </row>
    <row r="16" spans="1:15" ht="15.75">
      <c r="A16" s="31">
        <v>9</v>
      </c>
      <c r="B16" s="817" t="s">
        <v>40</v>
      </c>
      <c r="C16" s="33">
        <v>18</v>
      </c>
      <c r="D16" s="34"/>
      <c r="E16" s="33"/>
      <c r="F16" s="33">
        <v>0</v>
      </c>
      <c r="G16" s="35">
        <f>'7-08-2026'!G16+'08-08-2026'!F16</f>
        <v>1</v>
      </c>
      <c r="H16" s="36">
        <f>F16/E3</f>
        <v>0</v>
      </c>
      <c r="I16" s="33">
        <f t="shared" si="0"/>
        <v>18</v>
      </c>
      <c r="J16" s="37">
        <f>G16/F3</f>
        <v>1.0224948875255625E-3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0.35603271983640078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35">
        <f>'7-08-2026'!G17+'08-08-2026'!F17</f>
        <v>0</v>
      </c>
      <c r="H17" s="995">
        <f>F17/E3</f>
        <v>0</v>
      </c>
      <c r="I17" s="993">
        <f t="shared" si="0"/>
        <v>2500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35">
        <f>'7-08-2026'!G18+'08-08-2026'!F18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157.23700000000005</v>
      </c>
      <c r="D19" s="61"/>
      <c r="E19" s="61"/>
      <c r="F19" s="62">
        <v>6.7</v>
      </c>
      <c r="G19" s="35">
        <f>'7-08-2026'!G19+'08-08-2026'!F19</f>
        <v>52.6</v>
      </c>
      <c r="H19" s="64">
        <f>F19/E3</f>
        <v>5.8260869565217394E-2</v>
      </c>
      <c r="I19" s="65">
        <f t="shared" si="0"/>
        <v>150.53700000000006</v>
      </c>
      <c r="J19" s="66">
        <f>G19/F3</f>
        <v>5.3783231083844585E-2</v>
      </c>
      <c r="K19" s="60">
        <v>377600</v>
      </c>
      <c r="L19" s="67">
        <f t="shared" si="1"/>
        <v>2529.92</v>
      </c>
      <c r="M19" s="67">
        <f t="shared" si="2"/>
        <v>19861.760000000002</v>
      </c>
      <c r="N19" s="67">
        <f>L19/E3</f>
        <v>21.999304347826087</v>
      </c>
      <c r="O19" s="68">
        <f>M19/F3</f>
        <v>20.308548057259717</v>
      </c>
    </row>
    <row r="20" spans="1:15" ht="15.75">
      <c r="A20" s="58">
        <v>13</v>
      </c>
      <c r="B20" s="843" t="s">
        <v>44</v>
      </c>
      <c r="C20" s="60">
        <v>185.16199999999998</v>
      </c>
      <c r="D20" s="61"/>
      <c r="E20" s="61"/>
      <c r="F20" s="62">
        <v>4</v>
      </c>
      <c r="G20" s="35">
        <f>'7-08-2026'!G20+'08-08-2026'!F20</f>
        <v>31.738</v>
      </c>
      <c r="H20" s="66">
        <f>F20/E3</f>
        <v>3.4782608695652174E-2</v>
      </c>
      <c r="I20" s="60">
        <f t="shared" si="0"/>
        <v>181.16199999999998</v>
      </c>
      <c r="J20" s="66">
        <f>G20/F3</f>
        <v>3.2451942740286295E-2</v>
      </c>
      <c r="K20" s="60">
        <v>271400</v>
      </c>
      <c r="L20" s="67">
        <f t="shared" si="1"/>
        <v>1085.5999999999999</v>
      </c>
      <c r="M20" s="67">
        <f t="shared" si="2"/>
        <v>8613.6932000000015</v>
      </c>
      <c r="N20" s="67">
        <f>L20/E3</f>
        <v>9.44</v>
      </c>
      <c r="O20" s="68">
        <f>M20/F3</f>
        <v>8.8074572597137024</v>
      </c>
    </row>
    <row r="21" spans="1:15" ht="15.75">
      <c r="A21" s="58">
        <v>14</v>
      </c>
      <c r="B21" s="843" t="s">
        <v>45</v>
      </c>
      <c r="C21" s="60">
        <v>2313.4000000000005</v>
      </c>
      <c r="D21" s="61"/>
      <c r="E21" s="61"/>
      <c r="F21" s="62">
        <v>56.1</v>
      </c>
      <c r="G21" s="35">
        <f>'7-08-2026'!G21+'08-08-2026'!F21</f>
        <v>460.8</v>
      </c>
      <c r="H21" s="66">
        <f>F21/E3</f>
        <v>0.48782608695652174</v>
      </c>
      <c r="I21" s="65">
        <f t="shared" si="0"/>
        <v>2257.3000000000006</v>
      </c>
      <c r="J21" s="66">
        <f>G21/F3</f>
        <v>0.47116564417177914</v>
      </c>
      <c r="K21" s="60">
        <v>271400</v>
      </c>
      <c r="L21" s="67">
        <f t="shared" si="1"/>
        <v>15225.54</v>
      </c>
      <c r="M21" s="67">
        <f t="shared" si="2"/>
        <v>125061.12</v>
      </c>
      <c r="N21" s="67">
        <f>L21/E3</f>
        <v>132.39600000000002</v>
      </c>
      <c r="O21" s="68">
        <f>M21/F3</f>
        <v>127.87435582822086</v>
      </c>
    </row>
    <row r="22" spans="1:15" ht="15.75">
      <c r="A22" s="69">
        <v>15</v>
      </c>
      <c r="B22" s="853" t="s">
        <v>46</v>
      </c>
      <c r="C22" s="71">
        <v>56</v>
      </c>
      <c r="D22" s="72"/>
      <c r="E22" s="72"/>
      <c r="F22" s="34">
        <v>3</v>
      </c>
      <c r="G22" s="35">
        <f>'7-08-2026'!G22+'08-08-2026'!F22</f>
        <v>9</v>
      </c>
      <c r="H22" s="73">
        <f>F22/E3</f>
        <v>2.6086956521739129E-2</v>
      </c>
      <c r="I22" s="34">
        <f t="shared" si="0"/>
        <v>53</v>
      </c>
      <c r="J22" s="73">
        <f>G22/F3</f>
        <v>9.202453987730062E-3</v>
      </c>
      <c r="K22" s="34">
        <v>41000</v>
      </c>
      <c r="L22" s="44">
        <f t="shared" si="1"/>
        <v>123</v>
      </c>
      <c r="M22" s="44">
        <f t="shared" si="2"/>
        <v>369</v>
      </c>
      <c r="N22" s="74">
        <f>L22/E3</f>
        <v>1.0695652173913044</v>
      </c>
      <c r="O22" s="75">
        <f>M22/F3</f>
        <v>0.3773006134969325</v>
      </c>
    </row>
    <row r="23" spans="1:15" ht="15.75">
      <c r="A23" s="69">
        <v>16</v>
      </c>
      <c r="B23" s="234" t="s">
        <v>47</v>
      </c>
      <c r="C23" s="71">
        <v>162.4</v>
      </c>
      <c r="D23" s="72"/>
      <c r="E23" s="34"/>
      <c r="F23" s="34">
        <v>17</v>
      </c>
      <c r="G23" s="35">
        <f>'7-08-2026'!G23+'08-08-2026'!F23</f>
        <v>148.4</v>
      </c>
      <c r="H23" s="73">
        <f>F23/E3</f>
        <v>0.14782608695652175</v>
      </c>
      <c r="I23" s="34">
        <f t="shared" si="0"/>
        <v>145.4</v>
      </c>
      <c r="J23" s="73">
        <f>G23/F3</f>
        <v>0.15173824130879346</v>
      </c>
      <c r="K23" s="34">
        <v>24000</v>
      </c>
      <c r="L23" s="44">
        <f t="shared" si="1"/>
        <v>408.00000000000006</v>
      </c>
      <c r="M23" s="44">
        <f t="shared" si="2"/>
        <v>3561.6</v>
      </c>
      <c r="N23" s="74">
        <f>L23/E3</f>
        <v>3.5478260869565221</v>
      </c>
      <c r="O23" s="75">
        <f>M23/F3</f>
        <v>3.6417177914110428</v>
      </c>
    </row>
    <row r="24" spans="1:15" ht="15.75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35">
        <f>'7-08-2026'!G24+'08-08-2026'!F24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20</v>
      </c>
      <c r="D25" s="72"/>
      <c r="E25" s="34"/>
      <c r="F25" s="34">
        <v>5</v>
      </c>
      <c r="G25" s="35">
        <f>'7-08-2026'!G25+'08-08-2026'!F25</f>
        <v>35</v>
      </c>
      <c r="H25" s="73">
        <f>F25/E3</f>
        <v>4.3478260869565216E-2</v>
      </c>
      <c r="I25" s="34">
        <f t="shared" si="0"/>
        <v>15</v>
      </c>
      <c r="J25" s="73">
        <f>G25/F3</f>
        <v>3.5787321063394682E-2</v>
      </c>
      <c r="K25" s="34">
        <v>14400</v>
      </c>
      <c r="L25" s="44">
        <f t="shared" si="1"/>
        <v>72</v>
      </c>
      <c r="M25" s="44">
        <f t="shared" si="2"/>
        <v>504.00000000000006</v>
      </c>
      <c r="N25" s="74">
        <f>L25/E3</f>
        <v>0.62608695652173918</v>
      </c>
      <c r="O25" s="75">
        <f>M25/F3</f>
        <v>0.51533742331288346</v>
      </c>
    </row>
    <row r="26" spans="1:15" ht="15.75">
      <c r="A26" s="69">
        <v>19</v>
      </c>
      <c r="B26" s="853" t="s">
        <v>50</v>
      </c>
      <c r="C26" s="71">
        <v>59</v>
      </c>
      <c r="D26" s="34"/>
      <c r="E26" s="72"/>
      <c r="F26" s="34">
        <v>3.5</v>
      </c>
      <c r="G26" s="35">
        <f>'7-08-2026'!G26+'08-08-2026'!F26</f>
        <v>24.5</v>
      </c>
      <c r="H26" s="73">
        <f>F26/E3</f>
        <v>3.0434782608695653E-2</v>
      </c>
      <c r="I26" s="34">
        <f t="shared" si="0"/>
        <v>55.5</v>
      </c>
      <c r="J26" s="73">
        <f>G26/F3</f>
        <v>2.5051124744376277E-2</v>
      </c>
      <c r="K26" s="34">
        <v>102000</v>
      </c>
      <c r="L26" s="44">
        <f t="shared" si="1"/>
        <v>357</v>
      </c>
      <c r="M26" s="44">
        <f t="shared" si="2"/>
        <v>2499</v>
      </c>
      <c r="N26" s="74">
        <f>L26/E3</f>
        <v>3.1043478260869564</v>
      </c>
      <c r="O26" s="75">
        <f>M26/F3</f>
        <v>2.5552147239263805</v>
      </c>
    </row>
    <row r="27" spans="1:15" ht="15.75">
      <c r="A27" s="69">
        <v>20</v>
      </c>
      <c r="B27" s="853" t="s">
        <v>51</v>
      </c>
      <c r="C27" s="71">
        <v>20</v>
      </c>
      <c r="D27" s="72"/>
      <c r="E27" s="72"/>
      <c r="F27" s="34">
        <v>5</v>
      </c>
      <c r="G27" s="35">
        <f>'7-08-2026'!G27+'08-08-2026'!F27</f>
        <v>35</v>
      </c>
      <c r="H27" s="73">
        <f>F27/E3</f>
        <v>4.3478260869565216E-2</v>
      </c>
      <c r="I27" s="34">
        <f t="shared" si="0"/>
        <v>15</v>
      </c>
      <c r="J27" s="73">
        <f>G27/F3</f>
        <v>3.5787321063394682E-2</v>
      </c>
      <c r="K27" s="34">
        <v>107000</v>
      </c>
      <c r="L27" s="44">
        <f t="shared" si="1"/>
        <v>535</v>
      </c>
      <c r="M27" s="44">
        <f t="shared" si="2"/>
        <v>3745.0000000000005</v>
      </c>
      <c r="N27" s="74">
        <f>L27/E3</f>
        <v>4.6521739130434785</v>
      </c>
      <c r="O27" s="75">
        <f>M27/F3</f>
        <v>3.8292433537832316</v>
      </c>
    </row>
    <row r="28" spans="1:15" ht="15.75">
      <c r="A28" s="69">
        <v>21</v>
      </c>
      <c r="B28" s="234" t="s">
        <v>52</v>
      </c>
      <c r="C28" s="71">
        <v>62</v>
      </c>
      <c r="D28" s="72"/>
      <c r="E28" s="72"/>
      <c r="F28" s="34">
        <v>3</v>
      </c>
      <c r="G28" s="35">
        <f>'7-08-2026'!G28+'08-08-2026'!F28</f>
        <v>21</v>
      </c>
      <c r="H28" s="73">
        <f>F28/E3</f>
        <v>2.6086956521739129E-2</v>
      </c>
      <c r="I28" s="34">
        <f t="shared" si="0"/>
        <v>59</v>
      </c>
      <c r="J28" s="73">
        <f>G28/F3</f>
        <v>2.1472392638036811E-2</v>
      </c>
      <c r="K28" s="34">
        <v>100000</v>
      </c>
      <c r="L28" s="44">
        <f t="shared" si="1"/>
        <v>300</v>
      </c>
      <c r="M28" s="44">
        <f t="shared" si="2"/>
        <v>2100</v>
      </c>
      <c r="N28" s="74">
        <f>L28/E3</f>
        <v>2.6086956521739131</v>
      </c>
      <c r="O28" s="75">
        <f>M28/F3</f>
        <v>2.147239263803681</v>
      </c>
    </row>
    <row r="29" spans="1:15" ht="15.75">
      <c r="A29" s="69">
        <v>22</v>
      </c>
      <c r="B29" s="853" t="s">
        <v>53</v>
      </c>
      <c r="C29" s="71">
        <v>26</v>
      </c>
      <c r="D29" s="72"/>
      <c r="E29" s="72"/>
      <c r="F29" s="34">
        <v>1</v>
      </c>
      <c r="G29" s="35">
        <f>'7-08-2026'!G29+'08-08-2026'!F29</f>
        <v>7</v>
      </c>
      <c r="H29" s="73">
        <f>F29/E3</f>
        <v>8.6956521739130436E-3</v>
      </c>
      <c r="I29" s="34">
        <f t="shared" si="0"/>
        <v>25</v>
      </c>
      <c r="J29" s="73">
        <f>G29/F3</f>
        <v>7.1574642126789366E-3</v>
      </c>
      <c r="K29" s="34">
        <v>255000</v>
      </c>
      <c r="L29" s="44">
        <f t="shared" si="1"/>
        <v>255</v>
      </c>
      <c r="M29" s="44">
        <f t="shared" si="2"/>
        <v>1785</v>
      </c>
      <c r="N29" s="74">
        <f>L29/E3</f>
        <v>2.2173913043478262</v>
      </c>
      <c r="O29" s="1047">
        <f>M29/F3</f>
        <v>1.8251533742331287</v>
      </c>
    </row>
    <row r="30" spans="1:15" ht="15.75">
      <c r="A30" s="69">
        <v>23</v>
      </c>
      <c r="B30" s="853" t="s">
        <v>54</v>
      </c>
      <c r="C30" s="71">
        <v>250</v>
      </c>
      <c r="D30" s="72"/>
      <c r="E30" s="72"/>
      <c r="F30" s="34">
        <v>0</v>
      </c>
      <c r="G30" s="35">
        <f>'7-08-2026'!G30+'08-08-2026'!F30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35">
        <f>'7-08-2026'!G31+'08-08-2026'!F31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1242.0961739130437</v>
      </c>
      <c r="O32" s="985">
        <f>SUM(O8,O9,O10,O11,O12,O13,O14,O15,O16,O17,O18,O19,O20,O21,O22,O23,O24,O25,O26,O27,O28,O29,O30,O31,)</f>
        <v>1325.3009950920246</v>
      </c>
    </row>
    <row r="33" spans="1:15" ht="16.5" thickBot="1">
      <c r="A33" s="1035">
        <v>1</v>
      </c>
      <c r="B33" s="1036" t="s">
        <v>126</v>
      </c>
      <c r="C33" s="1037">
        <v>21</v>
      </c>
      <c r="D33" s="1096"/>
      <c r="E33" s="1096"/>
      <c r="F33" s="1034">
        <v>35.5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15" t="s">
        <v>121</v>
      </c>
      <c r="C34" s="966">
        <v>43</v>
      </c>
      <c r="D34" s="1096"/>
      <c r="E34" s="1096"/>
      <c r="F34" s="1023">
        <v>73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>
        <v>3</v>
      </c>
      <c r="B35" s="1015" t="s">
        <v>134</v>
      </c>
      <c r="C35" s="967">
        <v>4</v>
      </c>
      <c r="D35" s="1096"/>
      <c r="E35" s="1096"/>
      <c r="F35" s="1024">
        <v>6.5</v>
      </c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1015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1.2420961739130436</v>
      </c>
      <c r="O36" s="980">
        <f>O32/1000</f>
        <v>1.3253009950920245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5</v>
      </c>
      <c r="B38" s="1032" t="s">
        <v>60</v>
      </c>
      <c r="C38" s="1033">
        <f>SUM(C33:C37,K33:K37)</f>
        <v>68</v>
      </c>
      <c r="D38" s="1523">
        <f>SUM(F33:F37,L33:L37)</f>
        <v>115</v>
      </c>
      <c r="E38" s="1524"/>
      <c r="F38" s="1525"/>
    </row>
  </sheetData>
  <mergeCells count="22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38"/>
  <sheetViews>
    <sheetView workbookViewId="0">
      <selection activeCell="G8" sqref="G8"/>
    </sheetView>
  </sheetViews>
  <sheetFormatPr defaultRowHeight="15"/>
  <cols>
    <col min="1" max="1" width="5.28515625" customWidth="1"/>
    <col min="2" max="2" width="27.140625" customWidth="1"/>
    <col min="3" max="3" width="9.42578125" customWidth="1"/>
    <col min="8" max="8" width="10.7109375" customWidth="1"/>
    <col min="10" max="10" width="11.42578125" customWidth="1"/>
    <col min="12" max="12" width="11.28515625" customWidth="1"/>
    <col min="13" max="13" width="12.85546875" customWidth="1"/>
    <col min="15" max="15" width="12.7109375" customWidth="1"/>
  </cols>
  <sheetData>
    <row r="1" spans="1:15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97</v>
      </c>
      <c r="F3" s="3">
        <v>1075</v>
      </c>
      <c r="G3" s="1526" t="s">
        <v>176</v>
      </c>
      <c r="H3" s="1527"/>
      <c r="I3" s="1129" t="s">
        <v>177</v>
      </c>
      <c r="J3" s="1130"/>
      <c r="K3" s="1130"/>
      <c r="L3" s="1130"/>
      <c r="M3" s="1130"/>
      <c r="N3" s="1130"/>
      <c r="O3" s="1131"/>
    </row>
    <row r="4" spans="1:15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5.75">
      <c r="A8" s="20">
        <v>1</v>
      </c>
      <c r="B8" s="933" t="s">
        <v>32</v>
      </c>
      <c r="C8" s="22">
        <v>28100</v>
      </c>
      <c r="D8" s="23"/>
      <c r="E8" s="22">
        <v>20000</v>
      </c>
      <c r="F8" s="22">
        <v>2100</v>
      </c>
      <c r="G8" s="24">
        <f>'08-08-2026'!G8+'09-08-2026'!F8</f>
        <v>25300</v>
      </c>
      <c r="H8" s="25">
        <f>F8/E3</f>
        <v>21.649484536082475</v>
      </c>
      <c r="I8" s="22">
        <f t="shared" ref="I8:I31" si="0">(C8-F8)+D8</f>
        <v>26000</v>
      </c>
      <c r="J8" s="26">
        <f>G8/F3</f>
        <v>23.534883720930232</v>
      </c>
      <c r="K8" s="24">
        <v>36000</v>
      </c>
      <c r="L8" s="27">
        <f t="shared" ref="L8:L31" si="1">(F8/1000)*K8</f>
        <v>75600</v>
      </c>
      <c r="M8" s="28">
        <f t="shared" ref="M8:M31" si="2">(G8/1000)*K8</f>
        <v>910800</v>
      </c>
      <c r="N8" s="29">
        <f>L8/E3</f>
        <v>779.38144329896909</v>
      </c>
      <c r="O8" s="30">
        <f>M8/F3</f>
        <v>847.25581395348843</v>
      </c>
    </row>
    <row r="9" spans="1:15" ht="15.75">
      <c r="A9" s="31">
        <v>2</v>
      </c>
      <c r="B9" s="817" t="s">
        <v>33</v>
      </c>
      <c r="C9" s="33">
        <v>16074</v>
      </c>
      <c r="D9" s="34"/>
      <c r="E9" s="33">
        <v>15000</v>
      </c>
      <c r="F9" s="33">
        <v>150</v>
      </c>
      <c r="G9" s="35">
        <f>'08-08-2026'!G9+'09-08-2026'!F9</f>
        <v>1646</v>
      </c>
      <c r="H9" s="36">
        <f>F9/E3</f>
        <v>1.5463917525773196</v>
      </c>
      <c r="I9" s="33">
        <f t="shared" si="0"/>
        <v>15924</v>
      </c>
      <c r="J9" s="37">
        <f>G9/F3</f>
        <v>1.5311627906976744</v>
      </c>
      <c r="K9" s="35">
        <v>33500</v>
      </c>
      <c r="L9" s="38">
        <f t="shared" si="1"/>
        <v>5025</v>
      </c>
      <c r="M9" s="38">
        <f t="shared" si="2"/>
        <v>55141</v>
      </c>
      <c r="N9" s="39">
        <f>L9/E3</f>
        <v>51.804123711340203</v>
      </c>
      <c r="O9" s="40">
        <f>M9/F3</f>
        <v>51.29395348837209</v>
      </c>
    </row>
    <row r="10" spans="1:15" ht="15.75">
      <c r="A10" s="31">
        <v>3</v>
      </c>
      <c r="B10" s="817" t="s">
        <v>34</v>
      </c>
      <c r="C10" s="33">
        <v>3857</v>
      </c>
      <c r="D10" s="34"/>
      <c r="E10" s="33"/>
      <c r="F10" s="33">
        <v>50</v>
      </c>
      <c r="G10" s="35">
        <f>'08-08-2026'!G10+'09-08-2026'!F10</f>
        <v>582</v>
      </c>
      <c r="H10" s="36">
        <f>F10/E3</f>
        <v>0.51546391752577314</v>
      </c>
      <c r="I10" s="33">
        <f t="shared" si="0"/>
        <v>3807</v>
      </c>
      <c r="J10" s="37">
        <f>G10/F3</f>
        <v>0.5413953488372093</v>
      </c>
      <c r="K10" s="35">
        <v>98000</v>
      </c>
      <c r="L10" s="38">
        <f t="shared" si="1"/>
        <v>4900</v>
      </c>
      <c r="M10" s="38">
        <f t="shared" si="2"/>
        <v>57035.999999999993</v>
      </c>
      <c r="N10" s="39">
        <f>L10/E3</f>
        <v>50.515463917525771</v>
      </c>
      <c r="O10" s="40">
        <f>M10/F3</f>
        <v>53.056744186046508</v>
      </c>
    </row>
    <row r="11" spans="1:15" ht="15.75">
      <c r="A11" s="31">
        <v>4</v>
      </c>
      <c r="B11" s="817" t="s">
        <v>35</v>
      </c>
      <c r="C11" s="33">
        <v>16.840000000000003</v>
      </c>
      <c r="D11" s="34"/>
      <c r="E11" s="33"/>
      <c r="F11" s="33">
        <v>0</v>
      </c>
      <c r="G11" s="35">
        <f>'08-08-2026'!G11+'09-08-2026'!F11</f>
        <v>0.24</v>
      </c>
      <c r="H11" s="42">
        <f>F11/E3</f>
        <v>0</v>
      </c>
      <c r="I11" s="33">
        <f t="shared" si="0"/>
        <v>16.840000000000003</v>
      </c>
      <c r="J11" s="43">
        <f>G11/F3</f>
        <v>2.2325581395348835E-4</v>
      </c>
      <c r="K11" s="35">
        <v>750000</v>
      </c>
      <c r="L11" s="38">
        <f t="shared" si="1"/>
        <v>0</v>
      </c>
      <c r="M11" s="38">
        <f t="shared" si="2"/>
        <v>179.99999999999997</v>
      </c>
      <c r="N11" s="39">
        <f>L11/E3</f>
        <v>0</v>
      </c>
      <c r="O11" s="40">
        <f>M11/F3</f>
        <v>0.16744186046511625</v>
      </c>
    </row>
    <row r="12" spans="1:15" ht="15.75">
      <c r="A12" s="31">
        <v>5</v>
      </c>
      <c r="B12" s="817" t="s">
        <v>36</v>
      </c>
      <c r="C12" s="33">
        <v>839.7</v>
      </c>
      <c r="D12" s="34"/>
      <c r="E12" s="33"/>
      <c r="F12" s="33">
        <v>4</v>
      </c>
      <c r="G12" s="35">
        <f>'08-08-2026'!G12+'09-08-2026'!F12</f>
        <v>108.8</v>
      </c>
      <c r="H12" s="36">
        <f>F12/E3</f>
        <v>4.1237113402061855E-2</v>
      </c>
      <c r="I12" s="33">
        <f t="shared" si="0"/>
        <v>835.7</v>
      </c>
      <c r="J12" s="37">
        <f>G12/F3</f>
        <v>0.1012093023255814</v>
      </c>
      <c r="K12" s="35">
        <v>350000</v>
      </c>
      <c r="L12" s="38">
        <f t="shared" si="1"/>
        <v>1400</v>
      </c>
      <c r="M12" s="38">
        <f t="shared" si="2"/>
        <v>38080</v>
      </c>
      <c r="N12" s="39">
        <f>L12/E3</f>
        <v>14.43298969072165</v>
      </c>
      <c r="O12" s="40">
        <f>M12/F3</f>
        <v>35.423255813953489</v>
      </c>
    </row>
    <row r="13" spans="1:15" ht="15.75">
      <c r="A13" s="31">
        <v>6</v>
      </c>
      <c r="B13" s="817" t="s">
        <v>37</v>
      </c>
      <c r="C13" s="33">
        <v>620</v>
      </c>
      <c r="D13" s="34"/>
      <c r="E13" s="33"/>
      <c r="F13" s="159">
        <v>30</v>
      </c>
      <c r="G13" s="35">
        <f>'08-08-2026'!G13+'09-08-2026'!F13</f>
        <v>350</v>
      </c>
      <c r="H13" s="36">
        <f>F13/E3</f>
        <v>0.30927835051546393</v>
      </c>
      <c r="I13" s="33">
        <f t="shared" si="0"/>
        <v>590</v>
      </c>
      <c r="J13" s="37">
        <f>G13/F3</f>
        <v>0.32558139534883723</v>
      </c>
      <c r="K13" s="35">
        <v>215000</v>
      </c>
      <c r="L13" s="38">
        <f t="shared" si="1"/>
        <v>6450</v>
      </c>
      <c r="M13" s="38">
        <f t="shared" si="2"/>
        <v>75250</v>
      </c>
      <c r="N13" s="39">
        <f>L13/E3</f>
        <v>66.494845360824741</v>
      </c>
      <c r="O13" s="40">
        <f>M13/F3</f>
        <v>70</v>
      </c>
    </row>
    <row r="14" spans="1:15" ht="15.75">
      <c r="A14" s="31">
        <v>7</v>
      </c>
      <c r="B14" s="817" t="s">
        <v>38</v>
      </c>
      <c r="C14" s="33">
        <v>2814</v>
      </c>
      <c r="D14" s="34"/>
      <c r="E14" s="1016"/>
      <c r="F14" s="33">
        <v>40</v>
      </c>
      <c r="G14" s="35">
        <f>'08-08-2026'!G14+'09-08-2026'!F14</f>
        <v>384</v>
      </c>
      <c r="H14" s="1017">
        <f>F14/E3</f>
        <v>0.41237113402061853</v>
      </c>
      <c r="I14" s="33">
        <f t="shared" si="0"/>
        <v>2774</v>
      </c>
      <c r="J14" s="37">
        <f>G14/F3</f>
        <v>0.3572093023255814</v>
      </c>
      <c r="K14" s="35">
        <v>151000</v>
      </c>
      <c r="L14" s="38">
        <f t="shared" si="1"/>
        <v>6040</v>
      </c>
      <c r="M14" s="38">
        <f t="shared" si="2"/>
        <v>57984</v>
      </c>
      <c r="N14" s="39">
        <f>L14/E3</f>
        <v>62.268041237113401</v>
      </c>
      <c r="O14" s="40">
        <f>M14/F3</f>
        <v>53.938604651162791</v>
      </c>
    </row>
    <row r="15" spans="1:15" ht="15.75">
      <c r="A15" s="31">
        <v>8</v>
      </c>
      <c r="B15" s="817" t="s">
        <v>39</v>
      </c>
      <c r="C15" s="33">
        <v>792</v>
      </c>
      <c r="D15" s="33"/>
      <c r="E15" s="33"/>
      <c r="F15" s="1018">
        <v>15</v>
      </c>
      <c r="G15" s="35">
        <f>'08-08-2026'!G15+'09-08-2026'!F15</f>
        <v>143</v>
      </c>
      <c r="H15" s="36">
        <f>F15/E3</f>
        <v>0.15463917525773196</v>
      </c>
      <c r="I15" s="33">
        <f t="shared" si="0"/>
        <v>777</v>
      </c>
      <c r="J15" s="37">
        <f>G15/F3</f>
        <v>0.13302325581395349</v>
      </c>
      <c r="K15" s="35">
        <v>255000</v>
      </c>
      <c r="L15" s="38">
        <f t="shared" si="1"/>
        <v>3825</v>
      </c>
      <c r="M15" s="38">
        <f t="shared" si="2"/>
        <v>36465</v>
      </c>
      <c r="N15" s="39">
        <f>L15/E3</f>
        <v>39.432989690721648</v>
      </c>
      <c r="O15" s="40">
        <f>M15/F3</f>
        <v>33.920930232558142</v>
      </c>
    </row>
    <row r="16" spans="1:15" ht="15.75">
      <c r="A16" s="31">
        <v>9</v>
      </c>
      <c r="B16" s="817" t="s">
        <v>40</v>
      </c>
      <c r="C16" s="33">
        <v>18</v>
      </c>
      <c r="D16" s="34"/>
      <c r="E16" s="33"/>
      <c r="F16" s="33">
        <v>0</v>
      </c>
      <c r="G16" s="35">
        <f>'08-08-2026'!G16+'09-08-2026'!F16</f>
        <v>1</v>
      </c>
      <c r="H16" s="36">
        <f>F16/E3</f>
        <v>0</v>
      </c>
      <c r="I16" s="33">
        <f t="shared" si="0"/>
        <v>18</v>
      </c>
      <c r="J16" s="37">
        <f>G16/F3</f>
        <v>9.3023255813953494E-4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0.32390697674418606</v>
      </c>
    </row>
    <row r="17" spans="1:15" ht="15.75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35">
        <f>'08-08-2026'!G17+'09-08-2026'!F17</f>
        <v>0</v>
      </c>
      <c r="H17" s="995">
        <f>F17/E3</f>
        <v>0</v>
      </c>
      <c r="I17" s="993">
        <f t="shared" si="0"/>
        <v>2500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5.75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35">
        <f>'08-08-2026'!G18+'09-08-2026'!F18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5.75">
      <c r="A19" s="58">
        <v>12</v>
      </c>
      <c r="B19" s="843" t="s">
        <v>43</v>
      </c>
      <c r="C19" s="60">
        <v>150.53700000000006</v>
      </c>
      <c r="D19" s="61"/>
      <c r="E19" s="61"/>
      <c r="F19" s="62">
        <v>6.3</v>
      </c>
      <c r="G19" s="41">
        <f>'08-08-2026'!G19+'09-08-2026'!F19</f>
        <v>58.9</v>
      </c>
      <c r="H19" s="64">
        <f>F19/E3</f>
        <v>6.4948453608247414E-2</v>
      </c>
      <c r="I19" s="65">
        <f t="shared" si="0"/>
        <v>144.23700000000005</v>
      </c>
      <c r="J19" s="66">
        <f>G19/F3</f>
        <v>5.4790697674418604E-2</v>
      </c>
      <c r="K19" s="60">
        <v>377600</v>
      </c>
      <c r="L19" s="67">
        <f t="shared" si="1"/>
        <v>2378.88</v>
      </c>
      <c r="M19" s="67">
        <f t="shared" si="2"/>
        <v>22240.639999999999</v>
      </c>
      <c r="N19" s="67">
        <f>L19/E3</f>
        <v>24.524536082474228</v>
      </c>
      <c r="O19" s="68">
        <f>M19/F3</f>
        <v>20.688967441860466</v>
      </c>
    </row>
    <row r="20" spans="1:15" ht="15.75">
      <c r="A20" s="58">
        <v>13</v>
      </c>
      <c r="B20" s="843" t="s">
        <v>44</v>
      </c>
      <c r="C20" s="60">
        <v>181.16199999999998</v>
      </c>
      <c r="D20" s="61"/>
      <c r="E20" s="61"/>
      <c r="F20" s="62">
        <v>3.8</v>
      </c>
      <c r="G20" s="41">
        <f>'08-08-2026'!G20+'09-08-2026'!F20</f>
        <v>35.537999999999997</v>
      </c>
      <c r="H20" s="66">
        <f>F20/E3</f>
        <v>3.9175257731958762E-2</v>
      </c>
      <c r="I20" s="60">
        <f t="shared" si="0"/>
        <v>177.36199999999997</v>
      </c>
      <c r="J20" s="66">
        <f>G20/F3</f>
        <v>3.3058604651162789E-2</v>
      </c>
      <c r="K20" s="60">
        <v>271400</v>
      </c>
      <c r="L20" s="67">
        <f t="shared" si="1"/>
        <v>1031.32</v>
      </c>
      <c r="M20" s="67">
        <f t="shared" si="2"/>
        <v>9645.0131999999994</v>
      </c>
      <c r="N20" s="67">
        <f>L20/E3</f>
        <v>10.632164948453607</v>
      </c>
      <c r="O20" s="68">
        <f>M20/F3</f>
        <v>8.9721053023255806</v>
      </c>
    </row>
    <row r="21" spans="1:15" ht="15.75">
      <c r="A21" s="58">
        <v>14</v>
      </c>
      <c r="B21" s="843" t="s">
        <v>45</v>
      </c>
      <c r="C21" s="60">
        <v>2257.3000000000006</v>
      </c>
      <c r="D21" s="61"/>
      <c r="E21" s="61"/>
      <c r="F21" s="62">
        <v>53</v>
      </c>
      <c r="G21" s="41">
        <f>'08-08-2026'!G21+'09-08-2026'!F21</f>
        <v>513.79999999999995</v>
      </c>
      <c r="H21" s="66">
        <f>F21/E3</f>
        <v>0.54639175257731953</v>
      </c>
      <c r="I21" s="65">
        <f t="shared" si="0"/>
        <v>2204.3000000000006</v>
      </c>
      <c r="J21" s="66">
        <f>G21/F3</f>
        <v>0.477953488372093</v>
      </c>
      <c r="K21" s="60">
        <v>271400</v>
      </c>
      <c r="L21" s="67">
        <f t="shared" si="1"/>
        <v>14384.199999999999</v>
      </c>
      <c r="M21" s="67">
        <f t="shared" si="2"/>
        <v>139445.31999999998</v>
      </c>
      <c r="N21" s="67">
        <f>L21/E3</f>
        <v>148.29072164948454</v>
      </c>
      <c r="O21" s="68">
        <f>M21/F3</f>
        <v>129.71657674418603</v>
      </c>
    </row>
    <row r="22" spans="1:15" ht="15.75">
      <c r="A22" s="69">
        <v>15</v>
      </c>
      <c r="B22" s="853" t="s">
        <v>46</v>
      </c>
      <c r="C22" s="71">
        <v>53</v>
      </c>
      <c r="D22" s="72"/>
      <c r="E22" s="72"/>
      <c r="F22" s="34">
        <v>0</v>
      </c>
      <c r="G22" s="35">
        <f>'08-08-2026'!G22+'09-08-2026'!F22</f>
        <v>9</v>
      </c>
      <c r="H22" s="73">
        <f>F22/E3</f>
        <v>0</v>
      </c>
      <c r="I22" s="34">
        <f t="shared" si="0"/>
        <v>53</v>
      </c>
      <c r="J22" s="73">
        <f>G22/F3</f>
        <v>8.3720930232558145E-3</v>
      </c>
      <c r="K22" s="34">
        <v>41000</v>
      </c>
      <c r="L22" s="44">
        <f t="shared" si="1"/>
        <v>0</v>
      </c>
      <c r="M22" s="44">
        <f t="shared" si="2"/>
        <v>369</v>
      </c>
      <c r="N22" s="74">
        <f>L22/E3</f>
        <v>0</v>
      </c>
      <c r="O22" s="75">
        <f>M22/F3</f>
        <v>0.34325581395348836</v>
      </c>
    </row>
    <row r="23" spans="1:15" ht="15.75">
      <c r="A23" s="69">
        <v>16</v>
      </c>
      <c r="B23" s="234" t="s">
        <v>47</v>
      </c>
      <c r="C23" s="71">
        <v>145.4</v>
      </c>
      <c r="D23" s="72"/>
      <c r="E23" s="34"/>
      <c r="F23" s="34">
        <v>14.4</v>
      </c>
      <c r="G23" s="35">
        <f>'08-08-2026'!G23+'09-08-2026'!F23</f>
        <v>162.80000000000001</v>
      </c>
      <c r="H23" s="73">
        <f>F23/E3</f>
        <v>0.14845360824742268</v>
      </c>
      <c r="I23" s="34">
        <f t="shared" si="0"/>
        <v>131</v>
      </c>
      <c r="J23" s="73">
        <f>G23/F3</f>
        <v>0.15144186046511629</v>
      </c>
      <c r="K23" s="34">
        <v>24000</v>
      </c>
      <c r="L23" s="44">
        <f t="shared" si="1"/>
        <v>345.59999999999997</v>
      </c>
      <c r="M23" s="44">
        <f t="shared" si="2"/>
        <v>3907.2</v>
      </c>
      <c r="N23" s="74">
        <f>L23/E3</f>
        <v>3.5628865979381441</v>
      </c>
      <c r="O23" s="75">
        <f>M23/F3</f>
        <v>3.6346046511627907</v>
      </c>
    </row>
    <row r="24" spans="1:15" ht="15.75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35">
        <f>'08-08-2026'!G24+'09-08-2026'!F24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5.75">
      <c r="A25" s="69">
        <v>18</v>
      </c>
      <c r="B25" s="853" t="s">
        <v>49</v>
      </c>
      <c r="C25" s="71">
        <v>15</v>
      </c>
      <c r="D25" s="72"/>
      <c r="E25" s="34"/>
      <c r="F25" s="34">
        <v>5</v>
      </c>
      <c r="G25" s="35">
        <f>'08-08-2026'!G25+'09-08-2026'!F25</f>
        <v>40</v>
      </c>
      <c r="H25" s="73">
        <f>F25/E3</f>
        <v>5.1546391752577317E-2</v>
      </c>
      <c r="I25" s="34">
        <f t="shared" si="0"/>
        <v>10</v>
      </c>
      <c r="J25" s="73">
        <f>G25/F3</f>
        <v>3.7209302325581395E-2</v>
      </c>
      <c r="K25" s="34">
        <v>14400</v>
      </c>
      <c r="L25" s="44">
        <f t="shared" si="1"/>
        <v>72</v>
      </c>
      <c r="M25" s="44">
        <f t="shared" si="2"/>
        <v>576</v>
      </c>
      <c r="N25" s="74">
        <f>L25/E3</f>
        <v>0.74226804123711343</v>
      </c>
      <c r="O25" s="75">
        <f>M25/F3</f>
        <v>0.53581395348837213</v>
      </c>
    </row>
    <row r="26" spans="1:15" ht="15.75">
      <c r="A26" s="69">
        <v>19</v>
      </c>
      <c r="B26" s="853" t="s">
        <v>50</v>
      </c>
      <c r="C26" s="71">
        <v>55.5</v>
      </c>
      <c r="D26" s="34"/>
      <c r="E26" s="72"/>
      <c r="F26" s="34">
        <v>4</v>
      </c>
      <c r="G26" s="35">
        <f>'08-08-2026'!G26+'09-08-2026'!F26</f>
        <v>28.5</v>
      </c>
      <c r="H26" s="73">
        <f>F26/E3</f>
        <v>4.1237113402061855E-2</v>
      </c>
      <c r="I26" s="34">
        <f t="shared" si="0"/>
        <v>51.5</v>
      </c>
      <c r="J26" s="73">
        <f>G26/F3</f>
        <v>2.6511627906976743E-2</v>
      </c>
      <c r="K26" s="34">
        <v>102000</v>
      </c>
      <c r="L26" s="44">
        <f t="shared" si="1"/>
        <v>408</v>
      </c>
      <c r="M26" s="44">
        <f t="shared" si="2"/>
        <v>2907</v>
      </c>
      <c r="N26" s="74">
        <f>L26/E3</f>
        <v>4.2061855670103094</v>
      </c>
      <c r="O26" s="75">
        <f>M26/F3</f>
        <v>2.7041860465116279</v>
      </c>
    </row>
    <row r="27" spans="1:15" ht="15.75">
      <c r="A27" s="69">
        <v>20</v>
      </c>
      <c r="B27" s="853" t="s">
        <v>51</v>
      </c>
      <c r="C27" s="71">
        <v>15</v>
      </c>
      <c r="D27" s="72"/>
      <c r="E27" s="72"/>
      <c r="F27" s="34">
        <v>5</v>
      </c>
      <c r="G27" s="35">
        <f>'08-08-2026'!G27+'09-08-2026'!F27</f>
        <v>40</v>
      </c>
      <c r="H27" s="73">
        <f>F27/E3</f>
        <v>5.1546391752577317E-2</v>
      </c>
      <c r="I27" s="34">
        <f t="shared" si="0"/>
        <v>10</v>
      </c>
      <c r="J27" s="73">
        <f>G27/F3</f>
        <v>3.7209302325581395E-2</v>
      </c>
      <c r="K27" s="34">
        <v>107000</v>
      </c>
      <c r="L27" s="44">
        <f t="shared" si="1"/>
        <v>535</v>
      </c>
      <c r="M27" s="44">
        <f t="shared" si="2"/>
        <v>4280</v>
      </c>
      <c r="N27" s="74">
        <f>L27/E3</f>
        <v>5.5154639175257731</v>
      </c>
      <c r="O27" s="75">
        <f>M27/F3</f>
        <v>3.9813953488372094</v>
      </c>
    </row>
    <row r="28" spans="1:15" ht="15.75">
      <c r="A28" s="69">
        <v>21</v>
      </c>
      <c r="B28" s="234" t="s">
        <v>52</v>
      </c>
      <c r="C28" s="71">
        <v>59</v>
      </c>
      <c r="D28" s="72"/>
      <c r="E28" s="72"/>
      <c r="F28" s="34">
        <v>3</v>
      </c>
      <c r="G28" s="35">
        <f>'08-08-2026'!G28+'09-08-2026'!F28</f>
        <v>24</v>
      </c>
      <c r="H28" s="73">
        <f>F28/E3</f>
        <v>3.0927835051546393E-2</v>
      </c>
      <c r="I28" s="34">
        <f t="shared" si="0"/>
        <v>56</v>
      </c>
      <c r="J28" s="73">
        <f>G28/F3</f>
        <v>2.2325581395348838E-2</v>
      </c>
      <c r="K28" s="34">
        <v>100000</v>
      </c>
      <c r="L28" s="44">
        <f t="shared" si="1"/>
        <v>300</v>
      </c>
      <c r="M28" s="44">
        <f t="shared" si="2"/>
        <v>2400</v>
      </c>
      <c r="N28" s="74">
        <f>L28/E3</f>
        <v>3.0927835051546393</v>
      </c>
      <c r="O28" s="75">
        <f>M28/F3</f>
        <v>2.2325581395348837</v>
      </c>
    </row>
    <row r="29" spans="1:15" ht="15.75">
      <c r="A29" s="69">
        <v>22</v>
      </c>
      <c r="B29" s="853" t="s">
        <v>53</v>
      </c>
      <c r="C29" s="71">
        <v>25</v>
      </c>
      <c r="D29" s="72"/>
      <c r="E29" s="72"/>
      <c r="F29" s="34">
        <v>1</v>
      </c>
      <c r="G29" s="35">
        <f>'08-08-2026'!G29+'09-08-2026'!F29</f>
        <v>8</v>
      </c>
      <c r="H29" s="73">
        <f>F29/E3</f>
        <v>1.0309278350515464E-2</v>
      </c>
      <c r="I29" s="34">
        <f t="shared" si="0"/>
        <v>24</v>
      </c>
      <c r="J29" s="73">
        <f>G29/F3</f>
        <v>7.4418604651162795E-3</v>
      </c>
      <c r="K29" s="34">
        <v>255000</v>
      </c>
      <c r="L29" s="44">
        <f t="shared" si="1"/>
        <v>255</v>
      </c>
      <c r="M29" s="44">
        <f t="shared" si="2"/>
        <v>2040</v>
      </c>
      <c r="N29" s="74">
        <f>L29/E3</f>
        <v>2.6288659793814433</v>
      </c>
      <c r="O29" s="1047">
        <f>M29/F3</f>
        <v>1.8976744186046512</v>
      </c>
    </row>
    <row r="30" spans="1:15" ht="15.75">
      <c r="A30" s="69">
        <v>23</v>
      </c>
      <c r="B30" s="853" t="s">
        <v>54</v>
      </c>
      <c r="C30" s="71">
        <v>250</v>
      </c>
      <c r="D30" s="72"/>
      <c r="E30" s="72"/>
      <c r="F30" s="34">
        <v>0</v>
      </c>
      <c r="G30" s="35">
        <f>'08-08-2026'!G30+'09-08-2026'!F30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35">
        <f>'08-08-2026'!G31+'09-08-2026'!F31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1267.5257731958766</v>
      </c>
      <c r="O32" s="985">
        <f>SUM(O8,O9,O10,O11,O12,O13,O14,O15,O16,O17,O18,O19,O20,O21,O22,O23,O24,O25,O26,O27,O28,O29,O30,O31,)</f>
        <v>1320.0877890232557</v>
      </c>
    </row>
    <row r="33" spans="1:15" ht="16.5" thickBot="1">
      <c r="A33" s="1035">
        <v>1</v>
      </c>
      <c r="B33" s="1036" t="s">
        <v>121</v>
      </c>
      <c r="C33" s="1037">
        <v>57</v>
      </c>
      <c r="D33" s="1096"/>
      <c r="E33" s="1096"/>
      <c r="F33" s="1034">
        <v>97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/>
      <c r="B34" s="1015"/>
      <c r="C34" s="966"/>
      <c r="D34" s="1096"/>
      <c r="E34" s="1096"/>
      <c r="F34" s="1023"/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/>
      <c r="B35" s="1015"/>
      <c r="C35" s="967"/>
      <c r="D35" s="1096"/>
      <c r="E35" s="1096"/>
      <c r="F35" s="1024"/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1015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1.2675257731958767</v>
      </c>
      <c r="O36" s="980">
        <f>O32/1000</f>
        <v>1.3200877890232556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5</v>
      </c>
      <c r="B38" s="1032" t="s">
        <v>60</v>
      </c>
      <c r="C38" s="1033">
        <f>SUM(C33:C37,K33:K37)</f>
        <v>57</v>
      </c>
      <c r="D38" s="1523">
        <f>SUM(F33:F37,L33:L37)</f>
        <v>97</v>
      </c>
      <c r="E38" s="1524"/>
      <c r="F38" s="1525"/>
    </row>
  </sheetData>
  <mergeCells count="22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38"/>
  <sheetViews>
    <sheetView topLeftCell="A20" workbookViewId="0">
      <selection activeCell="G13" sqref="G13"/>
    </sheetView>
  </sheetViews>
  <sheetFormatPr defaultRowHeight="15"/>
  <cols>
    <col min="1" max="1" width="5.28515625" customWidth="1"/>
    <col min="2" max="2" width="27.140625" customWidth="1"/>
    <col min="3" max="3" width="9.42578125" customWidth="1"/>
    <col min="8" max="8" width="10.7109375" customWidth="1"/>
    <col min="10" max="10" width="11.42578125" customWidth="1"/>
    <col min="12" max="12" width="11.28515625" customWidth="1"/>
    <col min="13" max="13" width="12.85546875" customWidth="1"/>
    <col min="15" max="15" width="12.7109375" customWidth="1"/>
  </cols>
  <sheetData>
    <row r="1" spans="1:15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136</v>
      </c>
      <c r="F3" s="3">
        <v>1211</v>
      </c>
      <c r="G3" s="1526" t="s">
        <v>179</v>
      </c>
      <c r="H3" s="1527"/>
      <c r="I3" s="1129" t="s">
        <v>178</v>
      </c>
      <c r="J3" s="1130"/>
      <c r="K3" s="1130"/>
      <c r="L3" s="1130"/>
      <c r="M3" s="1130"/>
      <c r="N3" s="1130"/>
      <c r="O3" s="1131"/>
    </row>
    <row r="4" spans="1:15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6.5" thickBot="1">
      <c r="A8" s="20">
        <v>1</v>
      </c>
      <c r="B8" s="933" t="s">
        <v>32</v>
      </c>
      <c r="C8" s="22">
        <v>26000</v>
      </c>
      <c r="D8" s="23"/>
      <c r="E8" s="22">
        <v>20000</v>
      </c>
      <c r="F8" s="22">
        <v>3000</v>
      </c>
      <c r="G8" s="24">
        <f>'09-08-2026'!G8+'10-08-2026'!F8</f>
        <v>28300</v>
      </c>
      <c r="H8" s="25">
        <f>F8/E3</f>
        <v>22.058823529411764</v>
      </c>
      <c r="I8" s="22">
        <f t="shared" ref="I8:I31" si="0">(C8-F8)+D8</f>
        <v>23000</v>
      </c>
      <c r="J8" s="26">
        <f>G8/F3</f>
        <v>23.369116432700249</v>
      </c>
      <c r="K8" s="24">
        <v>36000</v>
      </c>
      <c r="L8" s="27">
        <f t="shared" ref="L8:L31" si="1">(F8/1000)*K8</f>
        <v>108000</v>
      </c>
      <c r="M8" s="28">
        <f t="shared" ref="M8:M31" si="2">(G8/1000)*K8</f>
        <v>1018800</v>
      </c>
      <c r="N8" s="29">
        <f>L8/E3</f>
        <v>794.11764705882354</v>
      </c>
      <c r="O8" s="30">
        <f>M8/F3</f>
        <v>841.28819157720886</v>
      </c>
    </row>
    <row r="9" spans="1:15" ht="16.5" thickBot="1">
      <c r="A9" s="31">
        <v>2</v>
      </c>
      <c r="B9" s="817" t="s">
        <v>33</v>
      </c>
      <c r="C9" s="33">
        <v>15924</v>
      </c>
      <c r="D9" s="34"/>
      <c r="E9" s="33">
        <v>15000</v>
      </c>
      <c r="F9" s="33">
        <v>228</v>
      </c>
      <c r="G9" s="24">
        <f>'09-08-2026'!G9+'10-08-2026'!F9</f>
        <v>1874</v>
      </c>
      <c r="H9" s="36">
        <f>F9/E3</f>
        <v>1.6764705882352942</v>
      </c>
      <c r="I9" s="33">
        <f t="shared" si="0"/>
        <v>15696</v>
      </c>
      <c r="J9" s="37">
        <f>G9/F3</f>
        <v>1.5474814203137903</v>
      </c>
      <c r="K9" s="35">
        <v>33500</v>
      </c>
      <c r="L9" s="38">
        <f t="shared" si="1"/>
        <v>7638</v>
      </c>
      <c r="M9" s="38">
        <f t="shared" si="2"/>
        <v>62779.000000000007</v>
      </c>
      <c r="N9" s="39">
        <f>L9/E3</f>
        <v>56.161764705882355</v>
      </c>
      <c r="O9" s="40">
        <f>M9/F3</f>
        <v>51.840627580511978</v>
      </c>
    </row>
    <row r="10" spans="1:15" ht="16.5" thickBot="1">
      <c r="A10" s="31">
        <v>3</v>
      </c>
      <c r="B10" s="817" t="s">
        <v>34</v>
      </c>
      <c r="C10" s="33">
        <v>3807</v>
      </c>
      <c r="D10" s="34"/>
      <c r="E10" s="33"/>
      <c r="F10" s="33">
        <v>84</v>
      </c>
      <c r="G10" s="24">
        <f>'09-08-2026'!G10+'10-08-2026'!F10</f>
        <v>666</v>
      </c>
      <c r="H10" s="36">
        <f>F10/E3</f>
        <v>0.61764705882352944</v>
      </c>
      <c r="I10" s="33">
        <f t="shared" si="0"/>
        <v>3723</v>
      </c>
      <c r="J10" s="37">
        <f>G10/F3</f>
        <v>0.54995871180842282</v>
      </c>
      <c r="K10" s="35">
        <v>98000</v>
      </c>
      <c r="L10" s="38">
        <f t="shared" si="1"/>
        <v>8232</v>
      </c>
      <c r="M10" s="38">
        <f t="shared" si="2"/>
        <v>65268</v>
      </c>
      <c r="N10" s="39">
        <f>L10/E3</f>
        <v>60.529411764705884</v>
      </c>
      <c r="O10" s="40">
        <f>M10/F3</f>
        <v>53.895953757225435</v>
      </c>
    </row>
    <row r="11" spans="1:15" ht="16.5" thickBot="1">
      <c r="A11" s="31">
        <v>4</v>
      </c>
      <c r="B11" s="817" t="s">
        <v>35</v>
      </c>
      <c r="C11" s="33">
        <v>16.840000000000003</v>
      </c>
      <c r="D11" s="34"/>
      <c r="E11" s="33"/>
      <c r="F11" s="33">
        <v>0</v>
      </c>
      <c r="G11" s="24">
        <f>'09-08-2026'!G11+'10-08-2026'!F11</f>
        <v>0.24</v>
      </c>
      <c r="H11" s="42">
        <f>F11/E3</f>
        <v>0</v>
      </c>
      <c r="I11" s="33">
        <f t="shared" si="0"/>
        <v>16.840000000000003</v>
      </c>
      <c r="J11" s="43">
        <f>G11/F3</f>
        <v>1.9818331957060281E-4</v>
      </c>
      <c r="K11" s="35">
        <v>750000</v>
      </c>
      <c r="L11" s="38">
        <f t="shared" si="1"/>
        <v>0</v>
      </c>
      <c r="M11" s="38">
        <f t="shared" si="2"/>
        <v>179.99999999999997</v>
      </c>
      <c r="N11" s="39">
        <f>L11/E3</f>
        <v>0</v>
      </c>
      <c r="O11" s="40">
        <f>M11/F3</f>
        <v>0.14863748967795209</v>
      </c>
    </row>
    <row r="12" spans="1:15" ht="16.5" thickBot="1">
      <c r="A12" s="31">
        <v>5</v>
      </c>
      <c r="B12" s="817" t="s">
        <v>36</v>
      </c>
      <c r="C12" s="33">
        <v>835.7</v>
      </c>
      <c r="D12" s="34"/>
      <c r="E12" s="33"/>
      <c r="F12" s="33">
        <v>9</v>
      </c>
      <c r="G12" s="24">
        <f>'09-08-2026'!G12+'10-08-2026'!F12</f>
        <v>117.8</v>
      </c>
      <c r="H12" s="36">
        <f>F12/E3</f>
        <v>6.6176470588235295E-2</v>
      </c>
      <c r="I12" s="33">
        <f t="shared" si="0"/>
        <v>826.7</v>
      </c>
      <c r="J12" s="37">
        <f>G12/F3</f>
        <v>9.7274979355904206E-2</v>
      </c>
      <c r="K12" s="35">
        <v>350000</v>
      </c>
      <c r="L12" s="38">
        <f t="shared" si="1"/>
        <v>3149.9999999999995</v>
      </c>
      <c r="M12" s="38">
        <f t="shared" si="2"/>
        <v>41230</v>
      </c>
      <c r="N12" s="39">
        <f>L12/E3</f>
        <v>23.161764705882348</v>
      </c>
      <c r="O12" s="40">
        <f>M12/F3</f>
        <v>34.046242774566473</v>
      </c>
    </row>
    <row r="13" spans="1:15" ht="16.5" thickBot="1">
      <c r="A13" s="31">
        <v>6</v>
      </c>
      <c r="B13" s="817" t="s">
        <v>37</v>
      </c>
      <c r="C13" s="33">
        <v>590</v>
      </c>
      <c r="D13" s="34"/>
      <c r="E13" s="33"/>
      <c r="F13" s="159">
        <v>30</v>
      </c>
      <c r="G13" s="24">
        <f>'09-08-2026'!G13+'10-08-2026'!F13</f>
        <v>380</v>
      </c>
      <c r="H13" s="36">
        <f>F13/E3</f>
        <v>0.22058823529411764</v>
      </c>
      <c r="I13" s="33">
        <f t="shared" si="0"/>
        <v>560</v>
      </c>
      <c r="J13" s="37">
        <f>G13/F3</f>
        <v>0.31379025598678778</v>
      </c>
      <c r="K13" s="35">
        <v>215000</v>
      </c>
      <c r="L13" s="38">
        <f t="shared" si="1"/>
        <v>6450</v>
      </c>
      <c r="M13" s="38">
        <f t="shared" si="2"/>
        <v>81700</v>
      </c>
      <c r="N13" s="39">
        <f>L13/E3</f>
        <v>47.426470588235297</v>
      </c>
      <c r="O13" s="40">
        <f>M13/F3</f>
        <v>67.464905037159369</v>
      </c>
    </row>
    <row r="14" spans="1:15" ht="16.5" thickBot="1">
      <c r="A14" s="31">
        <v>7</v>
      </c>
      <c r="B14" s="817" t="s">
        <v>38</v>
      </c>
      <c r="C14" s="33">
        <v>2774</v>
      </c>
      <c r="D14" s="34"/>
      <c r="E14" s="1016"/>
      <c r="F14" s="33">
        <v>54</v>
      </c>
      <c r="G14" s="24">
        <f>'09-08-2026'!G14+'10-08-2026'!F14</f>
        <v>438</v>
      </c>
      <c r="H14" s="1017">
        <f>F14/E3</f>
        <v>0.39705882352941174</v>
      </c>
      <c r="I14" s="33">
        <f t="shared" si="0"/>
        <v>2720</v>
      </c>
      <c r="J14" s="37">
        <f>G14/F3</f>
        <v>0.36168455821635015</v>
      </c>
      <c r="K14" s="35">
        <v>151000</v>
      </c>
      <c r="L14" s="38">
        <f t="shared" si="1"/>
        <v>8154</v>
      </c>
      <c r="M14" s="38">
        <f t="shared" si="2"/>
        <v>66138</v>
      </c>
      <c r="N14" s="39">
        <f>L14/E3</f>
        <v>59.955882352941174</v>
      </c>
      <c r="O14" s="40">
        <f>M14/F3</f>
        <v>54.614368290668871</v>
      </c>
    </row>
    <row r="15" spans="1:15" ht="16.5" thickBot="1">
      <c r="A15" s="31">
        <v>8</v>
      </c>
      <c r="B15" s="817" t="s">
        <v>39</v>
      </c>
      <c r="C15" s="33">
        <v>777</v>
      </c>
      <c r="D15" s="33"/>
      <c r="E15" s="33"/>
      <c r="F15" s="1018">
        <v>20</v>
      </c>
      <c r="G15" s="24">
        <f>'09-08-2026'!G15+'10-08-2026'!F15</f>
        <v>163</v>
      </c>
      <c r="H15" s="36">
        <f>F15/E3</f>
        <v>0.14705882352941177</v>
      </c>
      <c r="I15" s="33">
        <f t="shared" si="0"/>
        <v>757</v>
      </c>
      <c r="J15" s="37">
        <f>G15/F3</f>
        <v>0.13459950454170108</v>
      </c>
      <c r="K15" s="35">
        <v>255000</v>
      </c>
      <c r="L15" s="38">
        <f t="shared" si="1"/>
        <v>5100</v>
      </c>
      <c r="M15" s="38">
        <f t="shared" si="2"/>
        <v>41565</v>
      </c>
      <c r="N15" s="39">
        <f>L15/E3</f>
        <v>37.5</v>
      </c>
      <c r="O15" s="40">
        <f>M15/F3</f>
        <v>34.322873658133773</v>
      </c>
    </row>
    <row r="16" spans="1:15" ht="16.5" thickBot="1">
      <c r="A16" s="31">
        <v>9</v>
      </c>
      <c r="B16" s="817" t="s">
        <v>40</v>
      </c>
      <c r="C16" s="33">
        <v>18</v>
      </c>
      <c r="D16" s="34"/>
      <c r="E16" s="33"/>
      <c r="F16" s="33">
        <v>0</v>
      </c>
      <c r="G16" s="24">
        <f>'09-08-2026'!G16+'10-08-2026'!F16</f>
        <v>1</v>
      </c>
      <c r="H16" s="36">
        <f>F16/E3</f>
        <v>0</v>
      </c>
      <c r="I16" s="33">
        <f t="shared" si="0"/>
        <v>18</v>
      </c>
      <c r="J16" s="37">
        <f>G16/F3</f>
        <v>8.2576383154417832E-4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0.2875309661436829</v>
      </c>
    </row>
    <row r="17" spans="1:15" ht="16.5" thickBot="1">
      <c r="A17" s="991">
        <v>10</v>
      </c>
      <c r="B17" s="992" t="s">
        <v>41</v>
      </c>
      <c r="C17" s="993">
        <v>2500</v>
      </c>
      <c r="D17" s="993"/>
      <c r="E17" s="993"/>
      <c r="F17" s="993">
        <v>0</v>
      </c>
      <c r="G17" s="24">
        <f>'09-08-2026'!G17+'10-08-2026'!F17</f>
        <v>0</v>
      </c>
      <c r="H17" s="995">
        <f>F17/E3</f>
        <v>0</v>
      </c>
      <c r="I17" s="993">
        <f t="shared" si="0"/>
        <v>2500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'09-08-2026'!G18+'10-08-2026'!F18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6.5" thickBot="1">
      <c r="A19" s="58">
        <v>12</v>
      </c>
      <c r="B19" s="843" t="s">
        <v>43</v>
      </c>
      <c r="C19" s="60">
        <v>144.23700000000005</v>
      </c>
      <c r="D19" s="61"/>
      <c r="E19" s="61"/>
      <c r="F19" s="62">
        <v>8</v>
      </c>
      <c r="G19" s="24">
        <f>'09-08-2026'!G19+'10-08-2026'!F19</f>
        <v>66.900000000000006</v>
      </c>
      <c r="H19" s="64">
        <f>F19/E3</f>
        <v>5.8823529411764705E-2</v>
      </c>
      <c r="I19" s="65">
        <f t="shared" si="0"/>
        <v>136.23700000000005</v>
      </c>
      <c r="J19" s="66">
        <f>G19/F3</f>
        <v>5.5243600330305537E-2</v>
      </c>
      <c r="K19" s="60">
        <v>377600</v>
      </c>
      <c r="L19" s="67">
        <f t="shared" si="1"/>
        <v>3020.8</v>
      </c>
      <c r="M19" s="67">
        <f t="shared" si="2"/>
        <v>25261.439999999999</v>
      </c>
      <c r="N19" s="67">
        <f>L19/E3</f>
        <v>22.211764705882356</v>
      </c>
      <c r="O19" s="68">
        <f>M19/F3</f>
        <v>20.859983484723369</v>
      </c>
    </row>
    <row r="20" spans="1:15" ht="16.5" thickBot="1">
      <c r="A20" s="58">
        <v>13</v>
      </c>
      <c r="B20" s="843" t="s">
        <v>44</v>
      </c>
      <c r="C20" s="60">
        <v>177.36199999999997</v>
      </c>
      <c r="D20" s="61"/>
      <c r="E20" s="61"/>
      <c r="F20" s="62">
        <v>4.8</v>
      </c>
      <c r="G20" s="24">
        <f>'09-08-2026'!G20+'10-08-2026'!F20</f>
        <v>40.337999999999994</v>
      </c>
      <c r="H20" s="66">
        <f>F20/E3</f>
        <v>3.5294117647058823E-2</v>
      </c>
      <c r="I20" s="60">
        <f t="shared" si="0"/>
        <v>172.56199999999995</v>
      </c>
      <c r="J20" s="66">
        <f>G20/F3</f>
        <v>3.3309661436829063E-2</v>
      </c>
      <c r="K20" s="60">
        <v>271400</v>
      </c>
      <c r="L20" s="67">
        <f t="shared" si="1"/>
        <v>1302.7199999999998</v>
      </c>
      <c r="M20" s="67">
        <f t="shared" si="2"/>
        <v>10947.733199999997</v>
      </c>
      <c r="N20" s="67">
        <f>L20/E3</f>
        <v>9.5788235294117641</v>
      </c>
      <c r="O20" s="68">
        <f>M20/F3</f>
        <v>9.0402421139554061</v>
      </c>
    </row>
    <row r="21" spans="1:15" ht="16.5" thickBot="1">
      <c r="A21" s="58">
        <v>14</v>
      </c>
      <c r="B21" s="843" t="s">
        <v>45</v>
      </c>
      <c r="C21" s="60">
        <v>2204.3000000000006</v>
      </c>
      <c r="D21" s="61"/>
      <c r="E21" s="61"/>
      <c r="F21" s="62">
        <v>61.9</v>
      </c>
      <c r="G21" s="24">
        <f>'09-08-2026'!G21+'10-08-2026'!F21</f>
        <v>575.69999999999993</v>
      </c>
      <c r="H21" s="66">
        <f>F21/E3</f>
        <v>0.4551470588235294</v>
      </c>
      <c r="I21" s="65">
        <f t="shared" si="0"/>
        <v>2142.4000000000005</v>
      </c>
      <c r="J21" s="66">
        <f>G21/F3</f>
        <v>0.47539223781998341</v>
      </c>
      <c r="K21" s="60">
        <v>271400</v>
      </c>
      <c r="L21" s="67">
        <f t="shared" si="1"/>
        <v>16799.66</v>
      </c>
      <c r="M21" s="67">
        <f t="shared" si="2"/>
        <v>156244.97999999998</v>
      </c>
      <c r="N21" s="67">
        <f>L21/E3</f>
        <v>123.52691176470589</v>
      </c>
      <c r="O21" s="68">
        <f>M21/F3</f>
        <v>129.02145334434351</v>
      </c>
    </row>
    <row r="22" spans="1:15" ht="16.5" thickBot="1">
      <c r="A22" s="69">
        <v>15</v>
      </c>
      <c r="B22" s="853" t="s">
        <v>46</v>
      </c>
      <c r="C22" s="71">
        <v>53</v>
      </c>
      <c r="D22" s="72"/>
      <c r="E22" s="72"/>
      <c r="F22" s="34">
        <v>3</v>
      </c>
      <c r="G22" s="24">
        <f>'09-08-2026'!G22+'10-08-2026'!F22</f>
        <v>12</v>
      </c>
      <c r="H22" s="73">
        <f>F22/E3</f>
        <v>2.2058823529411766E-2</v>
      </c>
      <c r="I22" s="34">
        <f t="shared" si="0"/>
        <v>50</v>
      </c>
      <c r="J22" s="73">
        <f>G22/F3</f>
        <v>9.9091659785301399E-3</v>
      </c>
      <c r="K22" s="34">
        <v>41000</v>
      </c>
      <c r="L22" s="44">
        <f t="shared" si="1"/>
        <v>123</v>
      </c>
      <c r="M22" s="44">
        <f t="shared" si="2"/>
        <v>492</v>
      </c>
      <c r="N22" s="74">
        <f>L22/E3</f>
        <v>0.90441176470588236</v>
      </c>
      <c r="O22" s="75">
        <f>M22/F3</f>
        <v>0.40627580511973577</v>
      </c>
    </row>
    <row r="23" spans="1:15" ht="16.5" thickBot="1">
      <c r="A23" s="69">
        <v>16</v>
      </c>
      <c r="B23" s="234" t="s">
        <v>47</v>
      </c>
      <c r="C23" s="71">
        <v>131</v>
      </c>
      <c r="D23" s="72"/>
      <c r="E23" s="34"/>
      <c r="F23" s="34">
        <v>14.4</v>
      </c>
      <c r="G23" s="24">
        <f>'09-08-2026'!G23+'10-08-2026'!F23</f>
        <v>177.20000000000002</v>
      </c>
      <c r="H23" s="73">
        <f>F23/E3</f>
        <v>0.10588235294117647</v>
      </c>
      <c r="I23" s="34">
        <f t="shared" si="0"/>
        <v>116.6</v>
      </c>
      <c r="J23" s="73">
        <f>G23/F3</f>
        <v>0.14632535094962842</v>
      </c>
      <c r="K23" s="34">
        <v>24000</v>
      </c>
      <c r="L23" s="44">
        <f t="shared" si="1"/>
        <v>345.59999999999997</v>
      </c>
      <c r="M23" s="44">
        <f t="shared" si="2"/>
        <v>4252.8</v>
      </c>
      <c r="N23" s="74">
        <f>L23/E3</f>
        <v>2.5411764705882351</v>
      </c>
      <c r="O23" s="75">
        <f>M23/F3</f>
        <v>3.511808422791082</v>
      </c>
    </row>
    <row r="24" spans="1:15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'09-08-2026'!G24+'10-08-2026'!F24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6.5" thickBot="1">
      <c r="A25" s="69">
        <v>18</v>
      </c>
      <c r="B25" s="853" t="s">
        <v>49</v>
      </c>
      <c r="C25" s="71">
        <v>10</v>
      </c>
      <c r="D25" s="72">
        <v>300</v>
      </c>
      <c r="E25" s="34">
        <v>300</v>
      </c>
      <c r="F25" s="34">
        <v>5</v>
      </c>
      <c r="G25" s="24">
        <f>'09-08-2026'!G25+'10-08-2026'!F25</f>
        <v>45</v>
      </c>
      <c r="H25" s="73">
        <f>F25/E3</f>
        <v>3.6764705882352942E-2</v>
      </c>
      <c r="I25" s="34">
        <f t="shared" si="0"/>
        <v>305</v>
      </c>
      <c r="J25" s="73">
        <f>G25/F3</f>
        <v>3.7159372419488024E-2</v>
      </c>
      <c r="K25" s="34">
        <v>14400</v>
      </c>
      <c r="L25" s="44">
        <f t="shared" si="1"/>
        <v>72</v>
      </c>
      <c r="M25" s="44">
        <f t="shared" si="2"/>
        <v>648</v>
      </c>
      <c r="N25" s="74">
        <f>L25/E3</f>
        <v>0.52941176470588236</v>
      </c>
      <c r="O25" s="75">
        <f>M25/F3</f>
        <v>0.53509496284062763</v>
      </c>
    </row>
    <row r="26" spans="1:15" ht="16.5" thickBot="1">
      <c r="A26" s="69">
        <v>19</v>
      </c>
      <c r="B26" s="853" t="s">
        <v>50</v>
      </c>
      <c r="C26" s="71">
        <v>51.5</v>
      </c>
      <c r="D26" s="34">
        <v>150</v>
      </c>
      <c r="E26" s="71">
        <v>150</v>
      </c>
      <c r="F26" s="34">
        <v>3.5</v>
      </c>
      <c r="G26" s="24">
        <f>'09-08-2026'!G26+'10-08-2026'!F26</f>
        <v>32</v>
      </c>
      <c r="H26" s="73">
        <f>F26/E3</f>
        <v>2.5735294117647058E-2</v>
      </c>
      <c r="I26" s="34">
        <f t="shared" si="0"/>
        <v>198</v>
      </c>
      <c r="J26" s="73">
        <f>G26/F3</f>
        <v>2.6424442609413706E-2</v>
      </c>
      <c r="K26" s="34">
        <v>102000</v>
      </c>
      <c r="L26" s="44">
        <f t="shared" si="1"/>
        <v>357</v>
      </c>
      <c r="M26" s="44">
        <f t="shared" si="2"/>
        <v>3264</v>
      </c>
      <c r="N26" s="74">
        <f>L26/E3</f>
        <v>2.625</v>
      </c>
      <c r="O26" s="75">
        <f>M26/F3</f>
        <v>2.6952931461601981</v>
      </c>
    </row>
    <row r="27" spans="1:15" ht="16.5" thickBot="1">
      <c r="A27" s="69">
        <v>20</v>
      </c>
      <c r="B27" s="853" t="s">
        <v>51</v>
      </c>
      <c r="C27" s="71">
        <v>10</v>
      </c>
      <c r="D27" s="71">
        <v>300</v>
      </c>
      <c r="E27" s="71">
        <v>300</v>
      </c>
      <c r="F27" s="34">
        <v>5</v>
      </c>
      <c r="G27" s="24">
        <f>'09-08-2026'!G27+'10-08-2026'!F27</f>
        <v>45</v>
      </c>
      <c r="H27" s="73">
        <f>F27/E3</f>
        <v>3.6764705882352942E-2</v>
      </c>
      <c r="I27" s="34">
        <f t="shared" si="0"/>
        <v>305</v>
      </c>
      <c r="J27" s="73">
        <f>G27/F3</f>
        <v>3.7159372419488024E-2</v>
      </c>
      <c r="K27" s="34">
        <v>107000</v>
      </c>
      <c r="L27" s="44">
        <f t="shared" si="1"/>
        <v>535</v>
      </c>
      <c r="M27" s="44">
        <f t="shared" si="2"/>
        <v>4815</v>
      </c>
      <c r="N27" s="74">
        <f>L27/E3</f>
        <v>3.9338235294117645</v>
      </c>
      <c r="O27" s="75">
        <f>M27/F3</f>
        <v>3.9760528488852187</v>
      </c>
    </row>
    <row r="28" spans="1:15" ht="16.5" thickBot="1">
      <c r="A28" s="69">
        <v>21</v>
      </c>
      <c r="B28" s="234" t="s">
        <v>52</v>
      </c>
      <c r="C28" s="71">
        <v>56</v>
      </c>
      <c r="D28" s="71">
        <v>175</v>
      </c>
      <c r="E28" s="71">
        <v>175</v>
      </c>
      <c r="F28" s="34">
        <v>3</v>
      </c>
      <c r="G28" s="24">
        <f>'09-08-2026'!G28+'10-08-2026'!F28</f>
        <v>27</v>
      </c>
      <c r="H28" s="73">
        <f>F28/E3</f>
        <v>2.2058823529411766E-2</v>
      </c>
      <c r="I28" s="34">
        <f t="shared" si="0"/>
        <v>228</v>
      </c>
      <c r="J28" s="73">
        <f>G28/F3</f>
        <v>2.2295623451692816E-2</v>
      </c>
      <c r="K28" s="34">
        <v>100000</v>
      </c>
      <c r="L28" s="44">
        <f t="shared" si="1"/>
        <v>300</v>
      </c>
      <c r="M28" s="44">
        <f t="shared" si="2"/>
        <v>2700</v>
      </c>
      <c r="N28" s="74">
        <f>L28/E3</f>
        <v>2.2058823529411766</v>
      </c>
      <c r="O28" s="75">
        <f>M28/F3</f>
        <v>2.2295623451692816</v>
      </c>
    </row>
    <row r="29" spans="1:15" ht="16.5" thickBot="1">
      <c r="A29" s="69">
        <v>22</v>
      </c>
      <c r="B29" s="853" t="s">
        <v>53</v>
      </c>
      <c r="C29" s="71">
        <v>24</v>
      </c>
      <c r="D29" s="71">
        <v>50</v>
      </c>
      <c r="E29" s="71">
        <v>50</v>
      </c>
      <c r="F29" s="34">
        <v>1</v>
      </c>
      <c r="G29" s="24">
        <f>'09-08-2026'!G29+'10-08-2026'!F29</f>
        <v>9</v>
      </c>
      <c r="H29" s="73">
        <f>F29/E3</f>
        <v>7.3529411764705881E-3</v>
      </c>
      <c r="I29" s="34">
        <f t="shared" si="0"/>
        <v>73</v>
      </c>
      <c r="J29" s="73">
        <f>G29/F3</f>
        <v>7.4318744838976049E-3</v>
      </c>
      <c r="K29" s="34">
        <v>255000</v>
      </c>
      <c r="L29" s="44">
        <f t="shared" si="1"/>
        <v>255</v>
      </c>
      <c r="M29" s="44">
        <f t="shared" si="2"/>
        <v>2295</v>
      </c>
      <c r="N29" s="74">
        <f>L29/E3</f>
        <v>1.875</v>
      </c>
      <c r="O29" s="1047">
        <f>M29/F3</f>
        <v>1.8951279933938894</v>
      </c>
    </row>
    <row r="30" spans="1:15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'09-08-2026'!G30+'10-08-2026'!F30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'09-08-2026'!G31+'10-08-2026'!F31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1248.7851470588232</v>
      </c>
      <c r="O32" s="985">
        <f>SUM(O8,O9,O10,O11,O12,O13,O14,O15,O16,O17,O18,O19,O20,O21,O22,O23,O24,O25,O26,O27,O28,O29,O30,O31,)</f>
        <v>1312.0802255986791</v>
      </c>
    </row>
    <row r="33" spans="1:15" ht="16.5" thickBot="1">
      <c r="A33" s="1035">
        <v>1</v>
      </c>
      <c r="B33" s="1036" t="s">
        <v>121</v>
      </c>
      <c r="C33" s="1037">
        <v>80</v>
      </c>
      <c r="D33" s="1096"/>
      <c r="E33" s="1096"/>
      <c r="F33" s="1034">
        <v>136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/>
      <c r="B34" s="1015"/>
      <c r="C34" s="966"/>
      <c r="D34" s="1096"/>
      <c r="E34" s="1096"/>
      <c r="F34" s="1023"/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/>
      <c r="B35" s="1015"/>
      <c r="C35" s="967"/>
      <c r="D35" s="1096"/>
      <c r="E35" s="1096"/>
      <c r="F35" s="1024"/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1015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1.2487851470588232</v>
      </c>
      <c r="O36" s="980">
        <f>O32/1000</f>
        <v>1.3120802255986792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5</v>
      </c>
      <c r="B38" s="1032" t="s">
        <v>60</v>
      </c>
      <c r="C38" s="1033">
        <f>SUM(C33:C37,K33:K37)</f>
        <v>80</v>
      </c>
      <c r="D38" s="1523">
        <f>SUM(F33:F37,L33:L37)</f>
        <v>136</v>
      </c>
      <c r="E38" s="1524"/>
      <c r="F38" s="1525"/>
    </row>
  </sheetData>
  <mergeCells count="22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38"/>
  <sheetViews>
    <sheetView workbookViewId="0">
      <selection sqref="A1:XFD1048576"/>
    </sheetView>
  </sheetViews>
  <sheetFormatPr defaultRowHeight="15"/>
  <cols>
    <col min="1" max="1" width="5.28515625" customWidth="1"/>
    <col min="2" max="2" width="27.140625" customWidth="1"/>
    <col min="3" max="3" width="9.42578125" customWidth="1"/>
    <col min="8" max="8" width="10.7109375" customWidth="1"/>
    <col min="10" max="10" width="11.42578125" customWidth="1"/>
    <col min="12" max="12" width="11.28515625" customWidth="1"/>
    <col min="13" max="13" width="12.85546875" customWidth="1"/>
    <col min="15" max="15" width="12.7109375" customWidth="1"/>
  </cols>
  <sheetData>
    <row r="1" spans="1:15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5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5" ht="20.25" thickBot="1">
      <c r="A3" s="1124" t="s">
        <v>2</v>
      </c>
      <c r="B3" s="1125"/>
      <c r="C3" s="1125"/>
      <c r="D3" s="1126"/>
      <c r="E3" s="3">
        <v>144</v>
      </c>
      <c r="F3" s="3">
        <v>1355</v>
      </c>
      <c r="G3" s="1526" t="s">
        <v>181</v>
      </c>
      <c r="H3" s="1527"/>
      <c r="I3" s="1129" t="s">
        <v>180</v>
      </c>
      <c r="J3" s="1130"/>
      <c r="K3" s="1130"/>
      <c r="L3" s="1130"/>
      <c r="M3" s="1130"/>
      <c r="N3" s="1130"/>
      <c r="O3" s="1131"/>
    </row>
    <row r="4" spans="1:15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5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5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5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5" ht="16.5" thickBot="1">
      <c r="A8" s="20">
        <v>1</v>
      </c>
      <c r="B8" s="933" t="s">
        <v>32</v>
      </c>
      <c r="C8" s="22">
        <v>23000</v>
      </c>
      <c r="D8" s="23"/>
      <c r="E8" s="22">
        <v>20000</v>
      </c>
      <c r="F8" s="22">
        <v>3150</v>
      </c>
      <c r="G8" s="24">
        <f>'10-08-2026'!G8+'11-08-2026'!F8</f>
        <v>31450</v>
      </c>
      <c r="H8" s="25">
        <f>F8/E3</f>
        <v>21.875</v>
      </c>
      <c r="I8" s="22">
        <f t="shared" ref="I8:I31" si="0">(C8-F8)+D8</f>
        <v>19850</v>
      </c>
      <c r="J8" s="26">
        <f>G8/F3</f>
        <v>23.210332103321033</v>
      </c>
      <c r="K8" s="24">
        <v>36000</v>
      </c>
      <c r="L8" s="27">
        <f t="shared" ref="L8:L31" si="1">(F8/1000)*K8</f>
        <v>113400</v>
      </c>
      <c r="M8" s="28">
        <f t="shared" ref="M8:M31" si="2">(G8/1000)*K8</f>
        <v>1132200</v>
      </c>
      <c r="N8" s="29">
        <f>L8/E3</f>
        <v>787.5</v>
      </c>
      <c r="O8" s="30">
        <f>M8/F3</f>
        <v>835.5719557195572</v>
      </c>
    </row>
    <row r="9" spans="1:15" ht="16.5" thickBot="1">
      <c r="A9" s="31">
        <v>2</v>
      </c>
      <c r="B9" s="817" t="s">
        <v>33</v>
      </c>
      <c r="C9" s="33">
        <v>15696</v>
      </c>
      <c r="D9" s="34"/>
      <c r="E9" s="33">
        <v>15000</v>
      </c>
      <c r="F9" s="33">
        <v>230</v>
      </c>
      <c r="G9" s="24">
        <f>'10-08-2026'!G9+'11-08-2026'!F9</f>
        <v>2104</v>
      </c>
      <c r="H9" s="36">
        <f>F9/E3</f>
        <v>1.5972222222222223</v>
      </c>
      <c r="I9" s="33">
        <f t="shared" si="0"/>
        <v>15466</v>
      </c>
      <c r="J9" s="37">
        <f>G9/F3</f>
        <v>1.5527675276752768</v>
      </c>
      <c r="K9" s="35">
        <v>33500</v>
      </c>
      <c r="L9" s="38">
        <f t="shared" si="1"/>
        <v>7705</v>
      </c>
      <c r="M9" s="38">
        <f t="shared" si="2"/>
        <v>70484</v>
      </c>
      <c r="N9" s="39">
        <f>L9/E3</f>
        <v>53.506944444444443</v>
      </c>
      <c r="O9" s="40">
        <f>M9/F3</f>
        <v>52.017712177121773</v>
      </c>
    </row>
    <row r="10" spans="1:15" ht="16.5" thickBot="1">
      <c r="A10" s="31">
        <v>3</v>
      </c>
      <c r="B10" s="817" t="s">
        <v>34</v>
      </c>
      <c r="C10" s="33">
        <v>3723</v>
      </c>
      <c r="D10" s="34"/>
      <c r="E10" s="33"/>
      <c r="F10" s="33">
        <v>80</v>
      </c>
      <c r="G10" s="24">
        <f>'10-08-2026'!G10+'11-08-2026'!F10</f>
        <v>746</v>
      </c>
      <c r="H10" s="36">
        <f>F10/E3</f>
        <v>0.55555555555555558</v>
      </c>
      <c r="I10" s="33">
        <f t="shared" si="0"/>
        <v>3643</v>
      </c>
      <c r="J10" s="37">
        <f>G10/F3</f>
        <v>0.55055350553505533</v>
      </c>
      <c r="K10" s="35">
        <v>98000</v>
      </c>
      <c r="L10" s="38">
        <f t="shared" si="1"/>
        <v>7840</v>
      </c>
      <c r="M10" s="38">
        <f t="shared" si="2"/>
        <v>73108</v>
      </c>
      <c r="N10" s="39">
        <f>L10/E3</f>
        <v>54.444444444444443</v>
      </c>
      <c r="O10" s="40">
        <f>M10/F3</f>
        <v>53.954243542435421</v>
      </c>
    </row>
    <row r="11" spans="1:15" ht="16.5" thickBot="1">
      <c r="A11" s="31">
        <v>4</v>
      </c>
      <c r="B11" s="817" t="s">
        <v>35</v>
      </c>
      <c r="C11" s="33">
        <v>16.840000000000003</v>
      </c>
      <c r="D11" s="34"/>
      <c r="E11" s="33"/>
      <c r="F11" s="33">
        <v>0</v>
      </c>
      <c r="G11" s="24">
        <f>'10-08-2026'!G11+'11-08-2026'!F11</f>
        <v>0.24</v>
      </c>
      <c r="H11" s="42">
        <f>F11/E3</f>
        <v>0</v>
      </c>
      <c r="I11" s="33">
        <f t="shared" si="0"/>
        <v>16.840000000000003</v>
      </c>
      <c r="J11" s="43">
        <f>G11/F3</f>
        <v>1.7712177121771217E-4</v>
      </c>
      <c r="K11" s="35">
        <v>750000</v>
      </c>
      <c r="L11" s="38">
        <f t="shared" si="1"/>
        <v>0</v>
      </c>
      <c r="M11" s="38">
        <f t="shared" si="2"/>
        <v>179.99999999999997</v>
      </c>
      <c r="N11" s="39">
        <f>L11/E3</f>
        <v>0</v>
      </c>
      <c r="O11" s="40">
        <f>M11/F3</f>
        <v>0.13284132841328411</v>
      </c>
    </row>
    <row r="12" spans="1:15" ht="16.5" thickBot="1">
      <c r="A12" s="31">
        <v>5</v>
      </c>
      <c r="B12" s="817" t="s">
        <v>36</v>
      </c>
      <c r="C12" s="33">
        <v>826.7</v>
      </c>
      <c r="D12" s="34"/>
      <c r="E12" s="33"/>
      <c r="F12" s="33">
        <v>18</v>
      </c>
      <c r="G12" s="24">
        <f>'10-08-2026'!G12+'11-08-2026'!F12</f>
        <v>135.80000000000001</v>
      </c>
      <c r="H12" s="36">
        <f>F12/E3</f>
        <v>0.125</v>
      </c>
      <c r="I12" s="33">
        <f t="shared" si="0"/>
        <v>808.7</v>
      </c>
      <c r="J12" s="37">
        <f>G12/F3</f>
        <v>0.10022140221402215</v>
      </c>
      <c r="K12" s="35">
        <v>350000</v>
      </c>
      <c r="L12" s="38">
        <f t="shared" si="1"/>
        <v>6299.9999999999991</v>
      </c>
      <c r="M12" s="38">
        <f t="shared" si="2"/>
        <v>47530</v>
      </c>
      <c r="N12" s="39">
        <f>L12/E3</f>
        <v>43.749999999999993</v>
      </c>
      <c r="O12" s="40">
        <f>M12/F3</f>
        <v>35.077490774907751</v>
      </c>
    </row>
    <row r="13" spans="1:15" ht="16.5" thickBot="1">
      <c r="A13" s="31">
        <v>6</v>
      </c>
      <c r="B13" s="817" t="s">
        <v>37</v>
      </c>
      <c r="C13" s="33">
        <v>560</v>
      </c>
      <c r="D13" s="34"/>
      <c r="E13" s="33"/>
      <c r="F13" s="159">
        <v>75</v>
      </c>
      <c r="G13" s="24">
        <f>'10-08-2026'!G13+'11-08-2026'!F13</f>
        <v>455</v>
      </c>
      <c r="H13" s="36">
        <f>F13/E3</f>
        <v>0.52083333333333337</v>
      </c>
      <c r="I13" s="33">
        <f t="shared" si="0"/>
        <v>485</v>
      </c>
      <c r="J13" s="37">
        <f>G13/F3</f>
        <v>0.33579335793357934</v>
      </c>
      <c r="K13" s="35">
        <v>215000</v>
      </c>
      <c r="L13" s="38">
        <f t="shared" si="1"/>
        <v>16125</v>
      </c>
      <c r="M13" s="38">
        <f t="shared" si="2"/>
        <v>97825</v>
      </c>
      <c r="N13" s="39">
        <f>L13/E3</f>
        <v>111.97916666666667</v>
      </c>
      <c r="O13" s="40">
        <f>M13/F3</f>
        <v>72.195571955719558</v>
      </c>
    </row>
    <row r="14" spans="1:15" ht="16.5" thickBot="1">
      <c r="A14" s="31">
        <v>7</v>
      </c>
      <c r="B14" s="817" t="s">
        <v>38</v>
      </c>
      <c r="C14" s="33">
        <v>2720</v>
      </c>
      <c r="D14" s="34"/>
      <c r="E14" s="1016"/>
      <c r="F14" s="33">
        <v>54</v>
      </c>
      <c r="G14" s="24">
        <f>'10-08-2026'!G14+'11-08-2026'!F14</f>
        <v>492</v>
      </c>
      <c r="H14" s="1017">
        <f>F14/E3</f>
        <v>0.375</v>
      </c>
      <c r="I14" s="33">
        <f t="shared" si="0"/>
        <v>2666</v>
      </c>
      <c r="J14" s="37">
        <f>G14/F3</f>
        <v>0.36309963099630999</v>
      </c>
      <c r="K14" s="35">
        <v>151000</v>
      </c>
      <c r="L14" s="38">
        <f t="shared" si="1"/>
        <v>8154</v>
      </c>
      <c r="M14" s="38">
        <f t="shared" si="2"/>
        <v>74292</v>
      </c>
      <c r="N14" s="39">
        <f>L14/E3</f>
        <v>56.625</v>
      </c>
      <c r="O14" s="40">
        <f>M14/F3</f>
        <v>54.828044280442803</v>
      </c>
    </row>
    <row r="15" spans="1:15" ht="16.5" thickBot="1">
      <c r="A15" s="31">
        <v>8</v>
      </c>
      <c r="B15" s="817" t="s">
        <v>39</v>
      </c>
      <c r="C15" s="33">
        <v>757</v>
      </c>
      <c r="D15" s="33"/>
      <c r="E15" s="33"/>
      <c r="F15" s="1018">
        <v>20</v>
      </c>
      <c r="G15" s="24">
        <f>'10-08-2026'!G15+'11-08-2026'!F15</f>
        <v>183</v>
      </c>
      <c r="H15" s="36">
        <f>F15/E3</f>
        <v>0.1388888888888889</v>
      </c>
      <c r="I15" s="33">
        <f t="shared" si="0"/>
        <v>737</v>
      </c>
      <c r="J15" s="37">
        <f>G15/F3</f>
        <v>0.13505535055350554</v>
      </c>
      <c r="K15" s="35">
        <v>255000</v>
      </c>
      <c r="L15" s="38">
        <f t="shared" si="1"/>
        <v>5100</v>
      </c>
      <c r="M15" s="38">
        <f t="shared" si="2"/>
        <v>46665</v>
      </c>
      <c r="N15" s="39">
        <f>L15/E3</f>
        <v>35.416666666666664</v>
      </c>
      <c r="O15" s="40">
        <f>M15/F3</f>
        <v>34.43911439114391</v>
      </c>
    </row>
    <row r="16" spans="1:15" ht="16.5" thickBot="1">
      <c r="A16" s="31">
        <v>9</v>
      </c>
      <c r="B16" s="817" t="s">
        <v>40</v>
      </c>
      <c r="C16" s="33">
        <v>18</v>
      </c>
      <c r="D16" s="34"/>
      <c r="E16" s="33"/>
      <c r="F16" s="33">
        <v>0</v>
      </c>
      <c r="G16" s="24">
        <f>'10-08-2026'!G16+'11-08-2026'!F16</f>
        <v>1</v>
      </c>
      <c r="H16" s="36">
        <f>F16/E3</f>
        <v>0</v>
      </c>
      <c r="I16" s="33">
        <f t="shared" si="0"/>
        <v>18</v>
      </c>
      <c r="J16" s="37">
        <f>G16/F3</f>
        <v>7.3800738007380072E-4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0.2569741697416974</v>
      </c>
    </row>
    <row r="17" spans="1:15" ht="16.5" thickBot="1">
      <c r="A17" s="991">
        <v>10</v>
      </c>
      <c r="B17" s="992" t="s">
        <v>41</v>
      </c>
      <c r="C17" s="993">
        <v>2975</v>
      </c>
      <c r="D17" s="993"/>
      <c r="E17" s="993">
        <v>475</v>
      </c>
      <c r="F17" s="993">
        <v>0</v>
      </c>
      <c r="G17" s="24">
        <f>'10-08-2026'!G17+'11-08-2026'!F17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'10-08-2026'!G18+'11-08-2026'!F18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6.5" thickBot="1">
      <c r="A19" s="58">
        <v>12</v>
      </c>
      <c r="B19" s="843" t="s">
        <v>43</v>
      </c>
      <c r="C19" s="60">
        <v>137.6</v>
      </c>
      <c r="D19" s="61"/>
      <c r="E19" s="61"/>
      <c r="F19" s="62">
        <v>8.4</v>
      </c>
      <c r="G19" s="24">
        <f>'10-08-2026'!G19+'11-08-2026'!F19</f>
        <v>75.300000000000011</v>
      </c>
      <c r="H19" s="64">
        <f>F19/E3</f>
        <v>5.8333333333333334E-2</v>
      </c>
      <c r="I19" s="65">
        <f t="shared" si="0"/>
        <v>129.19999999999999</v>
      </c>
      <c r="J19" s="66">
        <f>G19/F3</f>
        <v>5.5571955719557205E-2</v>
      </c>
      <c r="K19" s="60">
        <v>377600</v>
      </c>
      <c r="L19" s="67">
        <f t="shared" si="1"/>
        <v>3171.8400000000006</v>
      </c>
      <c r="M19" s="67">
        <f t="shared" si="2"/>
        <v>28433.280000000002</v>
      </c>
      <c r="N19" s="67">
        <f>L19/E3</f>
        <v>22.026666666666671</v>
      </c>
      <c r="O19" s="68">
        <f>M19/F3</f>
        <v>20.983970479704798</v>
      </c>
    </row>
    <row r="20" spans="1:15" ht="16.5" thickBot="1">
      <c r="A20" s="58">
        <v>13</v>
      </c>
      <c r="B20" s="843" t="s">
        <v>44</v>
      </c>
      <c r="C20" s="60">
        <v>179.06200000000001</v>
      </c>
      <c r="D20" s="61"/>
      <c r="E20" s="61"/>
      <c r="F20" s="62">
        <v>4.5</v>
      </c>
      <c r="G20" s="24">
        <f>'10-08-2026'!G20+'11-08-2026'!F20</f>
        <v>44.837999999999994</v>
      </c>
      <c r="H20" s="66">
        <f>F20/E3</f>
        <v>3.125E-2</v>
      </c>
      <c r="I20" s="60">
        <f t="shared" si="0"/>
        <v>174.56200000000001</v>
      </c>
      <c r="J20" s="66">
        <f>G20/F3</f>
        <v>3.3090774907749074E-2</v>
      </c>
      <c r="K20" s="60">
        <v>271400</v>
      </c>
      <c r="L20" s="67">
        <f t="shared" si="1"/>
        <v>1221.3</v>
      </c>
      <c r="M20" s="67">
        <f t="shared" si="2"/>
        <v>12169.033199999998</v>
      </c>
      <c r="N20" s="67">
        <f>L20/E3</f>
        <v>8.4812499999999993</v>
      </c>
      <c r="O20" s="68">
        <f>M20/F3</f>
        <v>8.9808363099630988</v>
      </c>
    </row>
    <row r="21" spans="1:15" ht="16.5" thickBot="1">
      <c r="A21" s="58">
        <v>14</v>
      </c>
      <c r="B21" s="843" t="s">
        <v>45</v>
      </c>
      <c r="C21" s="60">
        <v>2152.4</v>
      </c>
      <c r="D21" s="61"/>
      <c r="E21" s="61"/>
      <c r="F21" s="62">
        <v>64.8</v>
      </c>
      <c r="G21" s="24">
        <f>'10-08-2026'!G21+'11-08-2026'!F21</f>
        <v>640.49999999999989</v>
      </c>
      <c r="H21" s="66">
        <f>F21/E3</f>
        <v>0.44999999999999996</v>
      </c>
      <c r="I21" s="65">
        <f t="shared" si="0"/>
        <v>2087.6</v>
      </c>
      <c r="J21" s="66">
        <f>G21/F3</f>
        <v>0.4726937269372693</v>
      </c>
      <c r="K21" s="60">
        <v>271400</v>
      </c>
      <c r="L21" s="67">
        <f t="shared" si="1"/>
        <v>17586.719999999998</v>
      </c>
      <c r="M21" s="67">
        <f t="shared" si="2"/>
        <v>173831.69999999995</v>
      </c>
      <c r="N21" s="67">
        <f>L21/E3</f>
        <v>122.12999999999998</v>
      </c>
      <c r="O21" s="68">
        <f>M21/F3</f>
        <v>128.28907749077487</v>
      </c>
    </row>
    <row r="22" spans="1:15" ht="16.5" thickBot="1">
      <c r="A22" s="69">
        <v>15</v>
      </c>
      <c r="B22" s="853" t="s">
        <v>46</v>
      </c>
      <c r="C22" s="71">
        <v>50</v>
      </c>
      <c r="D22" s="72"/>
      <c r="E22" s="72"/>
      <c r="F22" s="34">
        <v>0</v>
      </c>
      <c r="G22" s="24">
        <f>'10-08-2026'!G22+'11-08-2026'!F22</f>
        <v>12</v>
      </c>
      <c r="H22" s="73">
        <f>F22/E3</f>
        <v>0</v>
      </c>
      <c r="I22" s="34">
        <f t="shared" si="0"/>
        <v>50</v>
      </c>
      <c r="J22" s="73">
        <f>G22/F3</f>
        <v>8.8560885608856086E-3</v>
      </c>
      <c r="K22" s="34">
        <v>41000</v>
      </c>
      <c r="L22" s="44">
        <f t="shared" si="1"/>
        <v>0</v>
      </c>
      <c r="M22" s="44">
        <f t="shared" si="2"/>
        <v>492</v>
      </c>
      <c r="N22" s="74">
        <f>L22/E3</f>
        <v>0</v>
      </c>
      <c r="O22" s="75">
        <f>M22/F3</f>
        <v>0.36309963099630999</v>
      </c>
    </row>
    <row r="23" spans="1:15" ht="16.5" thickBot="1">
      <c r="A23" s="69">
        <v>16</v>
      </c>
      <c r="B23" s="234" t="s">
        <v>47</v>
      </c>
      <c r="C23" s="71">
        <v>116.6</v>
      </c>
      <c r="D23" s="72"/>
      <c r="E23" s="34"/>
      <c r="F23" s="34">
        <v>14.4</v>
      </c>
      <c r="G23" s="24">
        <f>'10-08-2026'!G23+'11-08-2026'!F23</f>
        <v>191.60000000000002</v>
      </c>
      <c r="H23" s="73">
        <f>F23/E3</f>
        <v>0.1</v>
      </c>
      <c r="I23" s="34">
        <f t="shared" si="0"/>
        <v>102.19999999999999</v>
      </c>
      <c r="J23" s="73">
        <f>G23/F3</f>
        <v>0.14140221402214023</v>
      </c>
      <c r="K23" s="34">
        <v>24000</v>
      </c>
      <c r="L23" s="44">
        <f t="shared" si="1"/>
        <v>345.59999999999997</v>
      </c>
      <c r="M23" s="44">
        <f t="shared" si="2"/>
        <v>4598.4000000000005</v>
      </c>
      <c r="N23" s="74">
        <f>L23/E3</f>
        <v>2.4</v>
      </c>
      <c r="O23" s="75">
        <f>M23/F3</f>
        <v>3.3936531365313658</v>
      </c>
    </row>
    <row r="24" spans="1:15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'10-08-2026'!G24+'11-08-2026'!F24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6.5" thickBot="1">
      <c r="A25" s="69">
        <v>18</v>
      </c>
      <c r="B25" s="853" t="s">
        <v>49</v>
      </c>
      <c r="C25" s="71">
        <v>305</v>
      </c>
      <c r="D25" s="71">
        <v>300</v>
      </c>
      <c r="E25" s="34">
        <v>300</v>
      </c>
      <c r="F25" s="34">
        <v>5</v>
      </c>
      <c r="G25" s="24">
        <f>'10-08-2026'!G25+'11-08-2026'!F25</f>
        <v>50</v>
      </c>
      <c r="H25" s="73">
        <f>F25/E3</f>
        <v>3.4722222222222224E-2</v>
      </c>
      <c r="I25" s="34">
        <f t="shared" si="0"/>
        <v>600</v>
      </c>
      <c r="J25" s="73">
        <f>G25/F3</f>
        <v>3.6900369003690037E-2</v>
      </c>
      <c r="K25" s="34">
        <v>14400</v>
      </c>
      <c r="L25" s="44">
        <f t="shared" si="1"/>
        <v>72</v>
      </c>
      <c r="M25" s="44">
        <f t="shared" si="2"/>
        <v>720</v>
      </c>
      <c r="N25" s="74">
        <f>L25/E3</f>
        <v>0.5</v>
      </c>
      <c r="O25" s="75">
        <f>M25/F3</f>
        <v>0.53136531365313655</v>
      </c>
    </row>
    <row r="26" spans="1:15" ht="16.5" thickBot="1">
      <c r="A26" s="69">
        <v>19</v>
      </c>
      <c r="B26" s="853" t="s">
        <v>50</v>
      </c>
      <c r="C26" s="71">
        <v>198</v>
      </c>
      <c r="D26" s="34">
        <v>150</v>
      </c>
      <c r="E26" s="71">
        <v>150</v>
      </c>
      <c r="F26" s="34">
        <v>3.5</v>
      </c>
      <c r="G26" s="24">
        <f>'10-08-2026'!G26+'11-08-2026'!F26</f>
        <v>35.5</v>
      </c>
      <c r="H26" s="73">
        <f>F26/E3</f>
        <v>2.4305555555555556E-2</v>
      </c>
      <c r="I26" s="34">
        <f t="shared" si="0"/>
        <v>344.5</v>
      </c>
      <c r="J26" s="73">
        <f>G26/F3</f>
        <v>2.6199261992619925E-2</v>
      </c>
      <c r="K26" s="34">
        <v>102000</v>
      </c>
      <c r="L26" s="44">
        <f t="shared" si="1"/>
        <v>357</v>
      </c>
      <c r="M26" s="44">
        <f t="shared" si="2"/>
        <v>3620.9999999999995</v>
      </c>
      <c r="N26" s="74">
        <f>L26/E3</f>
        <v>2.4791666666666665</v>
      </c>
      <c r="O26" s="75">
        <f>M26/F3</f>
        <v>2.672324723247232</v>
      </c>
    </row>
    <row r="27" spans="1:15" ht="16.5" thickBot="1">
      <c r="A27" s="69">
        <v>20</v>
      </c>
      <c r="B27" s="853" t="s">
        <v>51</v>
      </c>
      <c r="C27" s="71">
        <v>305</v>
      </c>
      <c r="D27" s="71">
        <v>300</v>
      </c>
      <c r="E27" s="71">
        <v>300</v>
      </c>
      <c r="F27" s="34">
        <v>5</v>
      </c>
      <c r="G27" s="24">
        <f>'10-08-2026'!G27+'11-08-2026'!F27</f>
        <v>50</v>
      </c>
      <c r="H27" s="73">
        <f>F27/E3</f>
        <v>3.4722222222222224E-2</v>
      </c>
      <c r="I27" s="34">
        <f t="shared" si="0"/>
        <v>600</v>
      </c>
      <c r="J27" s="73">
        <f>G27/F3</f>
        <v>3.6900369003690037E-2</v>
      </c>
      <c r="K27" s="34">
        <v>107000</v>
      </c>
      <c r="L27" s="44">
        <f t="shared" si="1"/>
        <v>535</v>
      </c>
      <c r="M27" s="44">
        <f t="shared" si="2"/>
        <v>5350</v>
      </c>
      <c r="N27" s="74">
        <f>L27/E3</f>
        <v>3.7152777777777777</v>
      </c>
      <c r="O27" s="75">
        <f>M27/F3</f>
        <v>3.9483394833948338</v>
      </c>
    </row>
    <row r="28" spans="1:15" ht="16.5" thickBot="1">
      <c r="A28" s="69">
        <v>21</v>
      </c>
      <c r="B28" s="234" t="s">
        <v>52</v>
      </c>
      <c r="C28" s="71">
        <v>228</v>
      </c>
      <c r="D28" s="71">
        <v>175</v>
      </c>
      <c r="E28" s="71">
        <v>175</v>
      </c>
      <c r="F28" s="34">
        <v>3</v>
      </c>
      <c r="G28" s="24">
        <f>'10-08-2026'!G28+'11-08-2026'!F28</f>
        <v>30</v>
      </c>
      <c r="H28" s="73">
        <f>F28/E3</f>
        <v>2.0833333333333332E-2</v>
      </c>
      <c r="I28" s="34">
        <f t="shared" si="0"/>
        <v>400</v>
      </c>
      <c r="J28" s="73">
        <f>G28/F3</f>
        <v>2.2140221402214021E-2</v>
      </c>
      <c r="K28" s="34">
        <v>100000</v>
      </c>
      <c r="L28" s="44">
        <f t="shared" si="1"/>
        <v>300</v>
      </c>
      <c r="M28" s="44">
        <f t="shared" si="2"/>
        <v>3000</v>
      </c>
      <c r="N28" s="74">
        <f>L28/E3</f>
        <v>2.0833333333333335</v>
      </c>
      <c r="O28" s="75">
        <f>M28/F3</f>
        <v>2.2140221402214024</v>
      </c>
    </row>
    <row r="29" spans="1:15" ht="16.5" thickBot="1">
      <c r="A29" s="69">
        <v>22</v>
      </c>
      <c r="B29" s="853" t="s">
        <v>53</v>
      </c>
      <c r="C29" s="71">
        <v>73</v>
      </c>
      <c r="D29" s="71">
        <v>50</v>
      </c>
      <c r="E29" s="71">
        <v>50</v>
      </c>
      <c r="F29" s="34">
        <v>1</v>
      </c>
      <c r="G29" s="24">
        <f>'10-08-2026'!G29+'11-08-2026'!F29</f>
        <v>10</v>
      </c>
      <c r="H29" s="73">
        <f>F29/E3</f>
        <v>6.9444444444444441E-3</v>
      </c>
      <c r="I29" s="34">
        <f t="shared" si="0"/>
        <v>122</v>
      </c>
      <c r="J29" s="73">
        <f>G29/F3</f>
        <v>7.3800738007380072E-3</v>
      </c>
      <c r="K29" s="34">
        <v>255000</v>
      </c>
      <c r="L29" s="44">
        <f t="shared" si="1"/>
        <v>255</v>
      </c>
      <c r="M29" s="44">
        <f t="shared" si="2"/>
        <v>2550</v>
      </c>
      <c r="N29" s="74">
        <f>L29/E3</f>
        <v>1.7708333333333333</v>
      </c>
      <c r="O29" s="1047">
        <f>M29/F3</f>
        <v>1.8819188191881919</v>
      </c>
    </row>
    <row r="30" spans="1:15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'10-08-2026'!G30+'11-08-2026'!F30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'10-08-2026'!G31+'11-08-2026'!F31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1308.8087500000001</v>
      </c>
      <c r="O32" s="985">
        <f>SUM(O8,O9,O10,O11,O12,O13,O14,O15,O16,O17,O18,O19,O20,O21,O22,O23,O24,O25,O26,O27,O28,O29,O30,O31,)</f>
        <v>1311.7325558671585</v>
      </c>
    </row>
    <row r="33" spans="1:15" ht="16.5" thickBot="1">
      <c r="A33" s="1035">
        <v>1</v>
      </c>
      <c r="B33" s="1036" t="s">
        <v>121</v>
      </c>
      <c r="C33" s="1037">
        <v>84</v>
      </c>
      <c r="D33" s="1096"/>
      <c r="E33" s="1096"/>
      <c r="F33" s="1034">
        <v>144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/>
      <c r="B34" s="1015"/>
      <c r="C34" s="966"/>
      <c r="D34" s="1096"/>
      <c r="E34" s="1096"/>
      <c r="F34" s="1023"/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/>
      <c r="B35" s="1015"/>
      <c r="C35" s="967"/>
      <c r="D35" s="1096"/>
      <c r="E35" s="1096"/>
      <c r="F35" s="1024"/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1015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1.3088087500000001</v>
      </c>
      <c r="O36" s="980">
        <f>O32/1000</f>
        <v>1.3117325558671584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5</v>
      </c>
      <c r="B38" s="1032" t="s">
        <v>60</v>
      </c>
      <c r="C38" s="1033">
        <f>SUM(C33:C37,K33:K37)</f>
        <v>84</v>
      </c>
      <c r="D38" s="1523">
        <f>SUM(F33:F37,L33:L37)</f>
        <v>144</v>
      </c>
      <c r="E38" s="1524"/>
      <c r="F38" s="1525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8:F38"/>
    <mergeCell ref="D33:E37"/>
    <mergeCell ref="H33:J33"/>
    <mergeCell ref="M33:M35"/>
    <mergeCell ref="H34:J34"/>
    <mergeCell ref="H35:J35"/>
    <mergeCell ref="H36:J36"/>
    <mergeCell ref="H37:J37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38"/>
  <sheetViews>
    <sheetView workbookViewId="0">
      <selection activeCell="G21" sqref="G21"/>
    </sheetView>
  </sheetViews>
  <sheetFormatPr defaultRowHeight="15"/>
  <cols>
    <col min="1" max="1" width="5.28515625" customWidth="1"/>
    <col min="2" max="2" width="27.140625" customWidth="1"/>
    <col min="3" max="3" width="9.5703125" customWidth="1"/>
    <col min="8" max="8" width="10.7109375" customWidth="1"/>
    <col min="10" max="10" width="11.42578125" customWidth="1"/>
    <col min="12" max="12" width="11.28515625" customWidth="1"/>
    <col min="13" max="13" width="12.85546875" customWidth="1"/>
    <col min="15" max="15" width="12.7109375" customWidth="1"/>
  </cols>
  <sheetData>
    <row r="1" spans="1:17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7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7" ht="20.25" thickBot="1">
      <c r="A3" s="1124" t="s">
        <v>2</v>
      </c>
      <c r="B3" s="1125"/>
      <c r="C3" s="1125"/>
      <c r="D3" s="1126"/>
      <c r="E3" s="3">
        <v>166</v>
      </c>
      <c r="F3" s="3">
        <v>1521</v>
      </c>
      <c r="G3" s="1526" t="s">
        <v>183</v>
      </c>
      <c r="H3" s="1527"/>
      <c r="I3" s="1129" t="s">
        <v>182</v>
      </c>
      <c r="J3" s="1130"/>
      <c r="K3" s="1130"/>
      <c r="L3" s="1130"/>
      <c r="M3" s="1130"/>
      <c r="N3" s="1130"/>
      <c r="O3" s="1131"/>
    </row>
    <row r="4" spans="1:17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7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7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7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7" ht="16.5" thickBot="1">
      <c r="A8" s="20">
        <v>1</v>
      </c>
      <c r="B8" s="933" t="s">
        <v>32</v>
      </c>
      <c r="C8" s="22">
        <v>19850</v>
      </c>
      <c r="D8" s="23"/>
      <c r="E8" s="22">
        <v>20000</v>
      </c>
      <c r="F8" s="22">
        <v>4200</v>
      </c>
      <c r="G8" s="24">
        <v>35650</v>
      </c>
      <c r="H8" s="25">
        <f>F8/E3</f>
        <v>25.301204819277107</v>
      </c>
      <c r="I8" s="22">
        <f t="shared" ref="I8:I31" si="0">(C8-F8)+D8</f>
        <v>15650</v>
      </c>
      <c r="J8" s="26">
        <f>G8/F3</f>
        <v>23.438527284681133</v>
      </c>
      <c r="K8" s="24">
        <v>36000</v>
      </c>
      <c r="L8" s="27">
        <f t="shared" ref="L8:L31" si="1">(F8/1000)*K8</f>
        <v>151200</v>
      </c>
      <c r="M8" s="28">
        <f t="shared" ref="M8:M31" si="2">(G8/1000)*K8</f>
        <v>1283400</v>
      </c>
      <c r="N8" s="29">
        <f>L8/E3</f>
        <v>910.84337349397595</v>
      </c>
      <c r="O8" s="30">
        <f>M8/F3</f>
        <v>843.78698224852076</v>
      </c>
    </row>
    <row r="9" spans="1:17" ht="16.5" thickBot="1">
      <c r="A9" s="31">
        <v>2</v>
      </c>
      <c r="B9" s="817" t="s">
        <v>33</v>
      </c>
      <c r="C9" s="33">
        <v>15466</v>
      </c>
      <c r="D9" s="34"/>
      <c r="E9" s="33">
        <v>15000</v>
      </c>
      <c r="F9" s="33">
        <v>255</v>
      </c>
      <c r="G9" s="24">
        <v>2359</v>
      </c>
      <c r="H9" s="36">
        <f>F9/E3</f>
        <v>1.536144578313253</v>
      </c>
      <c r="I9" s="33">
        <f t="shared" si="0"/>
        <v>15211</v>
      </c>
      <c r="J9" s="37">
        <f>G9/F3</f>
        <v>1.5509533201840895</v>
      </c>
      <c r="K9" s="35">
        <v>33500</v>
      </c>
      <c r="L9" s="38">
        <f t="shared" si="1"/>
        <v>8542.5</v>
      </c>
      <c r="M9" s="38">
        <f t="shared" si="2"/>
        <v>79026.5</v>
      </c>
      <c r="N9" s="39">
        <f>L9/E3</f>
        <v>51.460843373493979</v>
      </c>
      <c r="O9" s="40">
        <f>M9/F3</f>
        <v>51.956936226166995</v>
      </c>
    </row>
    <row r="10" spans="1:17" ht="16.5" thickBot="1">
      <c r="A10" s="31">
        <v>3</v>
      </c>
      <c r="B10" s="817" t="s">
        <v>34</v>
      </c>
      <c r="C10" s="33">
        <v>3643</v>
      </c>
      <c r="D10" s="34"/>
      <c r="E10" s="33"/>
      <c r="F10" s="33">
        <v>96</v>
      </c>
      <c r="G10" s="24">
        <v>842</v>
      </c>
      <c r="H10" s="36">
        <f>F10/E3</f>
        <v>0.57831325301204817</v>
      </c>
      <c r="I10" s="33">
        <f t="shared" si="0"/>
        <v>3547</v>
      </c>
      <c r="J10" s="37">
        <f>G10/F3</f>
        <v>0.55358316896778437</v>
      </c>
      <c r="K10" s="35">
        <v>98000</v>
      </c>
      <c r="L10" s="38">
        <f t="shared" si="1"/>
        <v>9408</v>
      </c>
      <c r="M10" s="38">
        <f t="shared" si="2"/>
        <v>82516</v>
      </c>
      <c r="N10" s="39">
        <f>L10/E3</f>
        <v>56.674698795180724</v>
      </c>
      <c r="O10" s="40">
        <f>M10/F3</f>
        <v>54.251150558842866</v>
      </c>
    </row>
    <row r="11" spans="1:17" ht="16.5" thickBot="1">
      <c r="A11" s="31">
        <v>4</v>
      </c>
      <c r="B11" s="817" t="s">
        <v>35</v>
      </c>
      <c r="C11" s="33">
        <v>16.840000000000003</v>
      </c>
      <c r="D11" s="34"/>
      <c r="E11" s="33"/>
      <c r="F11" s="41">
        <v>0.08</v>
      </c>
      <c r="G11" s="1056">
        <v>0.08</v>
      </c>
      <c r="H11" s="42">
        <f>F11/E3</f>
        <v>4.8192771084337353E-4</v>
      </c>
      <c r="I11" s="33">
        <f t="shared" si="0"/>
        <v>16.760000000000005</v>
      </c>
      <c r="J11" s="43">
        <f>G11/F3</f>
        <v>5.2596975673898752E-5</v>
      </c>
      <c r="K11" s="35">
        <v>750000</v>
      </c>
      <c r="L11" s="38">
        <f t="shared" si="1"/>
        <v>60.000000000000007</v>
      </c>
      <c r="M11" s="38">
        <f t="shared" si="2"/>
        <v>60.000000000000007</v>
      </c>
      <c r="N11" s="39">
        <f>L11/E3</f>
        <v>0.36144578313253017</v>
      </c>
      <c r="O11" s="40">
        <f>M11/F3</f>
        <v>3.944773175542407E-2</v>
      </c>
    </row>
    <row r="12" spans="1:17" ht="16.5" thickBot="1">
      <c r="A12" s="31">
        <v>5</v>
      </c>
      <c r="B12" s="817" t="s">
        <v>36</v>
      </c>
      <c r="C12" s="33">
        <v>808.7</v>
      </c>
      <c r="D12" s="34"/>
      <c r="E12" s="33"/>
      <c r="F12" s="33">
        <v>18</v>
      </c>
      <c r="G12" s="24">
        <v>154</v>
      </c>
      <c r="H12" s="36">
        <f>F12/E3</f>
        <v>0.10843373493975904</v>
      </c>
      <c r="I12" s="33">
        <f t="shared" si="0"/>
        <v>790.7</v>
      </c>
      <c r="J12" s="37">
        <f>G12/F3</f>
        <v>0.10124917817225509</v>
      </c>
      <c r="K12" s="35">
        <v>350000</v>
      </c>
      <c r="L12" s="38">
        <f t="shared" si="1"/>
        <v>6299.9999999999991</v>
      </c>
      <c r="M12" s="38">
        <f t="shared" si="2"/>
        <v>53900</v>
      </c>
      <c r="N12" s="39">
        <f>L12/E3</f>
        <v>37.951807228915655</v>
      </c>
      <c r="O12" s="40">
        <f>M12/F3</f>
        <v>35.43721236028928</v>
      </c>
    </row>
    <row r="13" spans="1:17" ht="16.5" thickBot="1">
      <c r="A13" s="31">
        <v>6</v>
      </c>
      <c r="B13" s="817" t="s">
        <v>37</v>
      </c>
      <c r="C13" s="33">
        <v>485</v>
      </c>
      <c r="D13" s="34"/>
      <c r="E13" s="33"/>
      <c r="F13" s="159">
        <v>35</v>
      </c>
      <c r="G13" s="24">
        <v>490</v>
      </c>
      <c r="H13" s="36">
        <f>F13/E3</f>
        <v>0.21084337349397592</v>
      </c>
      <c r="I13" s="33">
        <f t="shared" si="0"/>
        <v>450</v>
      </c>
      <c r="J13" s="37">
        <f>G13/F3</f>
        <v>0.32215647600262987</v>
      </c>
      <c r="K13" s="35">
        <v>215000</v>
      </c>
      <c r="L13" s="38">
        <f t="shared" si="1"/>
        <v>7525.0000000000009</v>
      </c>
      <c r="M13" s="38">
        <f t="shared" si="2"/>
        <v>105350</v>
      </c>
      <c r="N13" s="39">
        <f>L13/E3</f>
        <v>45.331325301204828</v>
      </c>
      <c r="O13" s="40">
        <f>M13/F3</f>
        <v>69.263642340565411</v>
      </c>
    </row>
    <row r="14" spans="1:17" ht="16.5" thickBot="1">
      <c r="A14" s="31">
        <v>7</v>
      </c>
      <c r="B14" s="817" t="s">
        <v>38</v>
      </c>
      <c r="C14" s="33">
        <v>2666</v>
      </c>
      <c r="D14" s="34"/>
      <c r="E14" s="1016"/>
      <c r="F14" s="33">
        <v>54</v>
      </c>
      <c r="G14" s="24">
        <v>546</v>
      </c>
      <c r="H14" s="1017">
        <f>F14/E3</f>
        <v>0.3253012048192771</v>
      </c>
      <c r="I14" s="33">
        <f t="shared" si="0"/>
        <v>2612</v>
      </c>
      <c r="J14" s="37">
        <f>G14/F3</f>
        <v>0.35897435897435898</v>
      </c>
      <c r="K14" s="35">
        <v>151000</v>
      </c>
      <c r="L14" s="38">
        <f t="shared" si="1"/>
        <v>8154</v>
      </c>
      <c r="M14" s="38">
        <f t="shared" si="2"/>
        <v>82446</v>
      </c>
      <c r="N14" s="39">
        <f>L14/E3</f>
        <v>49.120481927710841</v>
      </c>
      <c r="O14" s="40">
        <f>M14/F3</f>
        <v>54.205128205128204</v>
      </c>
      <c r="Q14" s="149"/>
    </row>
    <row r="15" spans="1:17" ht="16.5" thickBot="1">
      <c r="A15" s="31">
        <v>8</v>
      </c>
      <c r="B15" s="817" t="s">
        <v>39</v>
      </c>
      <c r="C15" s="33">
        <v>737</v>
      </c>
      <c r="D15" s="33"/>
      <c r="E15" s="33"/>
      <c r="F15" s="1018">
        <v>22</v>
      </c>
      <c r="G15" s="24">
        <f>'10-08-2026'!G15+'11-08-2026'!F15</f>
        <v>183</v>
      </c>
      <c r="H15" s="36">
        <f>F15/E3</f>
        <v>0.13253012048192772</v>
      </c>
      <c r="I15" s="33">
        <f t="shared" si="0"/>
        <v>715</v>
      </c>
      <c r="J15" s="37">
        <f>G15/F3</f>
        <v>0.1203155818540434</v>
      </c>
      <c r="K15" s="35">
        <v>255000</v>
      </c>
      <c r="L15" s="38">
        <f t="shared" si="1"/>
        <v>5610</v>
      </c>
      <c r="M15" s="38">
        <f t="shared" si="2"/>
        <v>46665</v>
      </c>
      <c r="N15" s="39">
        <f>L15/E3</f>
        <v>33.795180722891565</v>
      </c>
      <c r="O15" s="40">
        <f>M15/F3</f>
        <v>30.680473372781066</v>
      </c>
    </row>
    <row r="16" spans="1:17" ht="16.5" thickBot="1">
      <c r="A16" s="31">
        <v>9</v>
      </c>
      <c r="B16" s="817" t="s">
        <v>40</v>
      </c>
      <c r="C16" s="33">
        <v>18</v>
      </c>
      <c r="D16" s="34"/>
      <c r="E16" s="33"/>
      <c r="F16" s="33">
        <v>0</v>
      </c>
      <c r="G16" s="24">
        <f>'10-08-2026'!G16+'11-08-2026'!F16</f>
        <v>1</v>
      </c>
      <c r="H16" s="36">
        <f>F16/E3</f>
        <v>0</v>
      </c>
      <c r="I16" s="33">
        <f t="shared" si="0"/>
        <v>18</v>
      </c>
      <c r="J16" s="37">
        <f>G16/F3</f>
        <v>6.5746219592373442E-4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0.2289283366206443</v>
      </c>
    </row>
    <row r="17" spans="1:15" ht="16.5" thickBot="1">
      <c r="A17" s="991">
        <v>10</v>
      </c>
      <c r="B17" s="992" t="s">
        <v>41</v>
      </c>
      <c r="C17" s="993">
        <v>2975</v>
      </c>
      <c r="D17" s="993"/>
      <c r="E17" s="993">
        <v>475</v>
      </c>
      <c r="F17" s="993">
        <v>0</v>
      </c>
      <c r="G17" s="24">
        <f>'10-08-2026'!G17+'11-08-2026'!F17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'10-08-2026'!G18+'11-08-2026'!F18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6.5" thickBot="1">
      <c r="A19" s="58">
        <v>12</v>
      </c>
      <c r="B19" s="843" t="s">
        <v>43</v>
      </c>
      <c r="C19" s="60">
        <v>129.19999999999999</v>
      </c>
      <c r="D19" s="61"/>
      <c r="E19" s="61"/>
      <c r="F19" s="62">
        <v>8.1999999999999993</v>
      </c>
      <c r="G19" s="1055">
        <v>83.4</v>
      </c>
      <c r="H19" s="64">
        <f>F19/E3</f>
        <v>4.9397590361445781E-2</v>
      </c>
      <c r="I19" s="65">
        <f t="shared" si="0"/>
        <v>120.99999999999999</v>
      </c>
      <c r="J19" s="66">
        <f>G19/F3</f>
        <v>5.4832347140039449E-2</v>
      </c>
      <c r="K19" s="60">
        <v>377600</v>
      </c>
      <c r="L19" s="67">
        <f t="shared" si="1"/>
        <v>3096.3199999999997</v>
      </c>
      <c r="M19" s="67">
        <f t="shared" si="2"/>
        <v>31491.84</v>
      </c>
      <c r="N19" s="67">
        <f>L19/E3</f>
        <v>18.652530120481927</v>
      </c>
      <c r="O19" s="68">
        <f>M19/F3</f>
        <v>20.704694280078897</v>
      </c>
    </row>
    <row r="20" spans="1:15" ht="16.5" thickBot="1">
      <c r="A20" s="58">
        <v>13</v>
      </c>
      <c r="B20" s="843" t="s">
        <v>44</v>
      </c>
      <c r="C20" s="60">
        <v>174.56200000000001</v>
      </c>
      <c r="D20" s="61"/>
      <c r="E20" s="61"/>
      <c r="F20" s="62">
        <v>9.6</v>
      </c>
      <c r="G20" s="1055">
        <v>54.6</v>
      </c>
      <c r="H20" s="66">
        <f>F20/E3</f>
        <v>5.7831325301204814E-2</v>
      </c>
      <c r="I20" s="60">
        <f t="shared" si="0"/>
        <v>164.96200000000002</v>
      </c>
      <c r="J20" s="66">
        <f>G20/F3</f>
        <v>3.5897435897435902E-2</v>
      </c>
      <c r="K20" s="60">
        <v>271400</v>
      </c>
      <c r="L20" s="67">
        <f t="shared" si="1"/>
        <v>2605.4399999999996</v>
      </c>
      <c r="M20" s="67">
        <f t="shared" si="2"/>
        <v>14818.44</v>
      </c>
      <c r="N20" s="67">
        <f>L20/E3</f>
        <v>15.695421686746986</v>
      </c>
      <c r="O20" s="68">
        <f>M20/F3</f>
        <v>9.7425641025641028</v>
      </c>
    </row>
    <row r="21" spans="1:15" ht="16.5" thickBot="1">
      <c r="A21" s="58">
        <v>14</v>
      </c>
      <c r="B21" s="843" t="s">
        <v>45</v>
      </c>
      <c r="C21" s="60">
        <v>2087.6</v>
      </c>
      <c r="D21" s="61"/>
      <c r="E21" s="61"/>
      <c r="F21" s="62">
        <v>79.2</v>
      </c>
      <c r="G21" s="1055">
        <v>720.2</v>
      </c>
      <c r="H21" s="66">
        <f>F21/E3</f>
        <v>0.47710843373493977</v>
      </c>
      <c r="I21" s="65">
        <f t="shared" si="0"/>
        <v>2008.3999999999999</v>
      </c>
      <c r="J21" s="66">
        <f>G21/F3</f>
        <v>0.47350427350427354</v>
      </c>
      <c r="K21" s="60">
        <v>271400</v>
      </c>
      <c r="L21" s="67">
        <f t="shared" si="1"/>
        <v>21494.880000000001</v>
      </c>
      <c r="M21" s="67">
        <f t="shared" si="2"/>
        <v>195462.28000000003</v>
      </c>
      <c r="N21" s="67">
        <f>L21/E3</f>
        <v>129.48722891566266</v>
      </c>
      <c r="O21" s="68">
        <f>M21/F3</f>
        <v>128.50905982905985</v>
      </c>
    </row>
    <row r="22" spans="1:15" ht="16.5" thickBot="1">
      <c r="A22" s="69">
        <v>15</v>
      </c>
      <c r="B22" s="853" t="s">
        <v>46</v>
      </c>
      <c r="C22" s="71">
        <v>50</v>
      </c>
      <c r="D22" s="72"/>
      <c r="E22" s="72"/>
      <c r="F22" s="34">
        <v>3</v>
      </c>
      <c r="G22" s="24">
        <v>15</v>
      </c>
      <c r="H22" s="73">
        <f>F22/E3</f>
        <v>1.8072289156626505E-2</v>
      </c>
      <c r="I22" s="34">
        <f t="shared" si="0"/>
        <v>47</v>
      </c>
      <c r="J22" s="73">
        <f>G22/F3</f>
        <v>9.8619329388560158E-3</v>
      </c>
      <c r="K22" s="34">
        <v>41000</v>
      </c>
      <c r="L22" s="44">
        <f t="shared" si="1"/>
        <v>123</v>
      </c>
      <c r="M22" s="44">
        <f t="shared" si="2"/>
        <v>615</v>
      </c>
      <c r="N22" s="74">
        <f>L22/E3</f>
        <v>0.74096385542168675</v>
      </c>
      <c r="O22" s="75">
        <f>M22/F3</f>
        <v>0.40433925049309666</v>
      </c>
    </row>
    <row r="23" spans="1:15" ht="16.5" thickBot="1">
      <c r="A23" s="69">
        <v>16</v>
      </c>
      <c r="B23" s="234" t="s">
        <v>47</v>
      </c>
      <c r="C23" s="71">
        <v>102.19999999999999</v>
      </c>
      <c r="D23" s="72"/>
      <c r="E23" s="34"/>
      <c r="F23" s="34">
        <v>14.4</v>
      </c>
      <c r="G23" s="24">
        <v>206.4</v>
      </c>
      <c r="H23" s="73">
        <f>F23/E3</f>
        <v>8.6746987951807228E-2</v>
      </c>
      <c r="I23" s="34">
        <f t="shared" si="0"/>
        <v>87.799999999999983</v>
      </c>
      <c r="J23" s="73">
        <f>G23/F3</f>
        <v>0.13570019723865878</v>
      </c>
      <c r="K23" s="34">
        <v>24000</v>
      </c>
      <c r="L23" s="44">
        <f t="shared" si="1"/>
        <v>345.59999999999997</v>
      </c>
      <c r="M23" s="44">
        <f t="shared" si="2"/>
        <v>4953.6000000000004</v>
      </c>
      <c r="N23" s="74">
        <f>L23/E3</f>
        <v>2.0819277108433734</v>
      </c>
      <c r="O23" s="75">
        <f>M23/F3</f>
        <v>3.2568047337278108</v>
      </c>
    </row>
    <row r="24" spans="1:15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'10-08-2026'!G24+'11-08-2026'!F24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6.5" thickBot="1">
      <c r="A25" s="69">
        <v>18</v>
      </c>
      <c r="B25" s="853" t="s">
        <v>49</v>
      </c>
      <c r="C25" s="71">
        <v>300</v>
      </c>
      <c r="D25" s="71"/>
      <c r="E25" s="34">
        <v>300</v>
      </c>
      <c r="F25" s="34">
        <v>5</v>
      </c>
      <c r="G25" s="24">
        <v>55</v>
      </c>
      <c r="H25" s="73">
        <f>F25/E3</f>
        <v>3.0120481927710843E-2</v>
      </c>
      <c r="I25" s="34">
        <f t="shared" si="0"/>
        <v>295</v>
      </c>
      <c r="J25" s="73">
        <f>G25/F3</f>
        <v>3.6160420775805391E-2</v>
      </c>
      <c r="K25" s="34">
        <v>14400</v>
      </c>
      <c r="L25" s="44">
        <f t="shared" si="1"/>
        <v>72</v>
      </c>
      <c r="M25" s="44">
        <f t="shared" si="2"/>
        <v>792</v>
      </c>
      <c r="N25" s="74">
        <f>L25/E3</f>
        <v>0.43373493975903615</v>
      </c>
      <c r="O25" s="75">
        <f>M25/F3</f>
        <v>0.52071005917159763</v>
      </c>
    </row>
    <row r="26" spans="1:15" ht="16.5" thickBot="1">
      <c r="A26" s="69">
        <v>19</v>
      </c>
      <c r="B26" s="853" t="s">
        <v>50</v>
      </c>
      <c r="C26" s="71">
        <v>194.5</v>
      </c>
      <c r="D26" s="34"/>
      <c r="E26" s="71">
        <v>150</v>
      </c>
      <c r="F26" s="34">
        <v>3.5</v>
      </c>
      <c r="G26" s="1055">
        <v>39.5</v>
      </c>
      <c r="H26" s="73">
        <f>F26/E3</f>
        <v>2.1084337349397589E-2</v>
      </c>
      <c r="I26" s="34">
        <f t="shared" si="0"/>
        <v>191</v>
      </c>
      <c r="J26" s="73">
        <f>G26/F3</f>
        <v>2.5969756738987507E-2</v>
      </c>
      <c r="K26" s="34">
        <v>102000</v>
      </c>
      <c r="L26" s="44">
        <f t="shared" si="1"/>
        <v>357</v>
      </c>
      <c r="M26" s="44">
        <f t="shared" si="2"/>
        <v>4029</v>
      </c>
      <c r="N26" s="74">
        <f>L26/E3</f>
        <v>2.1506024096385543</v>
      </c>
      <c r="O26" s="75">
        <f>M26/F3</f>
        <v>2.6489151873767258</v>
      </c>
    </row>
    <row r="27" spans="1:15" ht="16.5" thickBot="1">
      <c r="A27" s="69">
        <v>20</v>
      </c>
      <c r="B27" s="853" t="s">
        <v>51</v>
      </c>
      <c r="C27" s="71">
        <v>300</v>
      </c>
      <c r="D27" s="71"/>
      <c r="E27" s="71">
        <v>300</v>
      </c>
      <c r="F27" s="34">
        <v>5</v>
      </c>
      <c r="G27" s="24">
        <v>55</v>
      </c>
      <c r="H27" s="73">
        <f>F27/E3</f>
        <v>3.0120481927710843E-2</v>
      </c>
      <c r="I27" s="34">
        <f t="shared" si="0"/>
        <v>295</v>
      </c>
      <c r="J27" s="73">
        <f>G27/F3</f>
        <v>3.6160420775805391E-2</v>
      </c>
      <c r="K27" s="34">
        <v>107000</v>
      </c>
      <c r="L27" s="44">
        <f t="shared" si="1"/>
        <v>535</v>
      </c>
      <c r="M27" s="44">
        <f t="shared" si="2"/>
        <v>5885</v>
      </c>
      <c r="N27" s="74">
        <f>L27/E3</f>
        <v>3.2228915662650603</v>
      </c>
      <c r="O27" s="75">
        <f>M27/F3</f>
        <v>3.8691650230111767</v>
      </c>
    </row>
    <row r="28" spans="1:15" ht="16.5" thickBot="1">
      <c r="A28" s="69">
        <v>21</v>
      </c>
      <c r="B28" s="234" t="s">
        <v>52</v>
      </c>
      <c r="C28" s="71">
        <v>225</v>
      </c>
      <c r="D28" s="71"/>
      <c r="E28" s="71">
        <v>175</v>
      </c>
      <c r="F28" s="34">
        <v>3</v>
      </c>
      <c r="G28" s="24">
        <v>33</v>
      </c>
      <c r="H28" s="73">
        <f>F28/E3</f>
        <v>1.8072289156626505E-2</v>
      </c>
      <c r="I28" s="34">
        <f t="shared" si="0"/>
        <v>222</v>
      </c>
      <c r="J28" s="73">
        <f>G28/F3</f>
        <v>2.1696252465483234E-2</v>
      </c>
      <c r="K28" s="34">
        <v>100000</v>
      </c>
      <c r="L28" s="44">
        <f t="shared" si="1"/>
        <v>300</v>
      </c>
      <c r="M28" s="44">
        <f t="shared" si="2"/>
        <v>3300</v>
      </c>
      <c r="N28" s="74">
        <f>L28/E3</f>
        <v>1.8072289156626506</v>
      </c>
      <c r="O28" s="75">
        <f>M28/F3</f>
        <v>2.1696252465483234</v>
      </c>
    </row>
    <row r="29" spans="1:15" ht="16.5" thickBot="1">
      <c r="A29" s="69">
        <v>22</v>
      </c>
      <c r="B29" s="853" t="s">
        <v>53</v>
      </c>
      <c r="C29" s="71">
        <v>72</v>
      </c>
      <c r="D29" s="71"/>
      <c r="E29" s="71">
        <v>50</v>
      </c>
      <c r="F29" s="34">
        <v>1</v>
      </c>
      <c r="G29" s="24">
        <v>11</v>
      </c>
      <c r="H29" s="73">
        <f>F29/E3</f>
        <v>6.024096385542169E-3</v>
      </c>
      <c r="I29" s="34">
        <f t="shared" si="0"/>
        <v>71</v>
      </c>
      <c r="J29" s="73">
        <f>G29/F3</f>
        <v>7.2320841551610782E-3</v>
      </c>
      <c r="K29" s="34">
        <v>255000</v>
      </c>
      <c r="L29" s="44">
        <f t="shared" si="1"/>
        <v>255</v>
      </c>
      <c r="M29" s="44">
        <f t="shared" si="2"/>
        <v>2805</v>
      </c>
      <c r="N29" s="74">
        <f>L29/E3</f>
        <v>1.536144578313253</v>
      </c>
      <c r="O29" s="1047">
        <f>M29/F3</f>
        <v>1.844181459566075</v>
      </c>
    </row>
    <row r="30" spans="1:15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'10-08-2026'!G30+'11-08-2026'!F30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'10-08-2026'!G31+'11-08-2026'!F31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1361.3478313253013</v>
      </c>
      <c r="O32" s="985">
        <f>SUM(O8,O9,O10,O11,O12,O13,O14,O15,O16,O17,O18,O19,O20,O21,O22,O23,O24,O25,O26,O27,O28,O29,O30,O31,)</f>
        <v>1313.5199605522685</v>
      </c>
    </row>
    <row r="33" spans="1:15" ht="16.5" thickBot="1">
      <c r="A33" s="1035">
        <v>1</v>
      </c>
      <c r="B33" s="1036" t="s">
        <v>121</v>
      </c>
      <c r="C33" s="1037">
        <v>29</v>
      </c>
      <c r="D33" s="1096"/>
      <c r="E33" s="1096"/>
      <c r="F33" s="1034">
        <v>50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36" t="s">
        <v>115</v>
      </c>
      <c r="C34" s="966">
        <v>68</v>
      </c>
      <c r="D34" s="1096"/>
      <c r="E34" s="1096"/>
      <c r="F34" s="1023">
        <v>116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/>
      <c r="B35" s="1015"/>
      <c r="C35" s="967"/>
      <c r="D35" s="1096"/>
      <c r="E35" s="1096"/>
      <c r="F35" s="1024"/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1015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1.3613478313253013</v>
      </c>
      <c r="O36" s="980">
        <f>O32/1000</f>
        <v>1.3135199605522685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3</v>
      </c>
      <c r="B38" s="1032" t="s">
        <v>60</v>
      </c>
      <c r="C38" s="1033">
        <f>SUM(C33:C37,K33:K37)</f>
        <v>97</v>
      </c>
      <c r="D38" s="1523">
        <f>SUM(F33:F37,L33:L37)</f>
        <v>166</v>
      </c>
      <c r="E38" s="1524"/>
      <c r="F38" s="1525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8:F38"/>
    <mergeCell ref="D33:E37"/>
    <mergeCell ref="H33:J33"/>
    <mergeCell ref="M33:M35"/>
    <mergeCell ref="H34:J34"/>
    <mergeCell ref="H35:J35"/>
    <mergeCell ref="H36:J36"/>
    <mergeCell ref="H37:J37"/>
  </mergeCells>
  <pageMargins left="0.12" right="0.12" top="0.74803149606299213" bottom="0.2" header="0.31496062992125984" footer="0.15"/>
  <pageSetup scale="75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38"/>
  <sheetViews>
    <sheetView topLeftCell="A14" workbookViewId="0">
      <selection sqref="A1:XFD1048576"/>
    </sheetView>
  </sheetViews>
  <sheetFormatPr defaultRowHeight="15"/>
  <cols>
    <col min="1" max="1" width="5.28515625" customWidth="1"/>
    <col min="2" max="2" width="27.140625" customWidth="1"/>
    <col min="3" max="3" width="9.5703125" customWidth="1"/>
    <col min="8" max="8" width="10.7109375" customWidth="1"/>
    <col min="10" max="10" width="11.42578125" customWidth="1"/>
    <col min="12" max="12" width="11.28515625" customWidth="1"/>
    <col min="13" max="13" width="12.85546875" customWidth="1"/>
    <col min="15" max="15" width="12.7109375" customWidth="1"/>
  </cols>
  <sheetData>
    <row r="1" spans="1:17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7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</row>
    <row r="3" spans="1:17" ht="20.25" thickBot="1">
      <c r="A3" s="1124" t="s">
        <v>2</v>
      </c>
      <c r="B3" s="1125"/>
      <c r="C3" s="1125"/>
      <c r="D3" s="1126"/>
      <c r="E3" s="3">
        <v>142</v>
      </c>
      <c r="F3" s="3">
        <v>1663</v>
      </c>
      <c r="G3" s="1526" t="s">
        <v>185</v>
      </c>
      <c r="H3" s="1527"/>
      <c r="I3" s="1129" t="s">
        <v>184</v>
      </c>
      <c r="J3" s="1130"/>
      <c r="K3" s="1130"/>
      <c r="L3" s="1130"/>
      <c r="M3" s="1130"/>
      <c r="N3" s="1130"/>
      <c r="O3" s="1131"/>
    </row>
    <row r="4" spans="1:17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7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7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7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7" ht="16.5" thickBot="1">
      <c r="A8" s="20">
        <v>1</v>
      </c>
      <c r="B8" s="933" t="s">
        <v>32</v>
      </c>
      <c r="C8" s="22">
        <v>15650</v>
      </c>
      <c r="D8" s="23"/>
      <c r="E8" s="22">
        <v>20000</v>
      </c>
      <c r="F8" s="22">
        <v>3300</v>
      </c>
      <c r="G8" s="24">
        <f>'12-08-2026'!G8+'13-08-2026'!F8</f>
        <v>38950</v>
      </c>
      <c r="H8" s="25">
        <f>F8/E3</f>
        <v>23.239436619718308</v>
      </c>
      <c r="I8" s="22">
        <f t="shared" ref="I8:I31" si="0">(C8-F8)+D8</f>
        <v>12350</v>
      </c>
      <c r="J8" s="26">
        <f>G8/F3</f>
        <v>23.421527360192425</v>
      </c>
      <c r="K8" s="24">
        <v>36000</v>
      </c>
      <c r="L8" s="27">
        <f t="shared" ref="L8:L31" si="1">(F8/1000)*K8</f>
        <v>118800</v>
      </c>
      <c r="M8" s="28">
        <f t="shared" ref="M8:M31" si="2">(G8/1000)*K8</f>
        <v>1402200</v>
      </c>
      <c r="N8" s="29">
        <f>L8/E3</f>
        <v>836.61971830985919</v>
      </c>
      <c r="O8" s="30">
        <f>M8/F3</f>
        <v>843.17498496692724</v>
      </c>
    </row>
    <row r="9" spans="1:17" ht="16.5" thickBot="1">
      <c r="A9" s="31">
        <v>2</v>
      </c>
      <c r="B9" s="817" t="s">
        <v>33</v>
      </c>
      <c r="C9" s="33">
        <v>15211</v>
      </c>
      <c r="D9" s="34"/>
      <c r="E9" s="33">
        <v>15000</v>
      </c>
      <c r="F9" s="33">
        <v>210</v>
      </c>
      <c r="G9" s="24">
        <f>'12-08-2026'!G9+'13-08-2026'!F9</f>
        <v>2569</v>
      </c>
      <c r="H9" s="36">
        <f>F9/E3</f>
        <v>1.4788732394366197</v>
      </c>
      <c r="I9" s="33">
        <f t="shared" si="0"/>
        <v>15001</v>
      </c>
      <c r="J9" s="37">
        <f>G9/F3</f>
        <v>1.5447985568250151</v>
      </c>
      <c r="K9" s="35">
        <v>33500</v>
      </c>
      <c r="L9" s="38">
        <f t="shared" si="1"/>
        <v>7035</v>
      </c>
      <c r="M9" s="38">
        <f t="shared" si="2"/>
        <v>86061.5</v>
      </c>
      <c r="N9" s="39">
        <f>L9/E3</f>
        <v>49.54225352112676</v>
      </c>
      <c r="O9" s="40">
        <f>M9/F3</f>
        <v>51.750751653638005</v>
      </c>
    </row>
    <row r="10" spans="1:17" ht="16.5" thickBot="1">
      <c r="A10" s="31">
        <v>3</v>
      </c>
      <c r="B10" s="817" t="s">
        <v>34</v>
      </c>
      <c r="C10" s="33">
        <v>3547</v>
      </c>
      <c r="D10" s="34"/>
      <c r="E10" s="33"/>
      <c r="F10" s="33">
        <v>85</v>
      </c>
      <c r="G10" s="24">
        <f>'12-08-2026'!G10+'13-08-2026'!F10</f>
        <v>927</v>
      </c>
      <c r="H10" s="36">
        <f>F10/E3</f>
        <v>0.59859154929577463</v>
      </c>
      <c r="I10" s="33">
        <f t="shared" si="0"/>
        <v>3462</v>
      </c>
      <c r="J10" s="37">
        <f>G10/F3</f>
        <v>0.55742633794347562</v>
      </c>
      <c r="K10" s="35">
        <v>98000</v>
      </c>
      <c r="L10" s="38">
        <f t="shared" si="1"/>
        <v>8330</v>
      </c>
      <c r="M10" s="38">
        <f t="shared" si="2"/>
        <v>90846</v>
      </c>
      <c r="N10" s="39">
        <f>L10/E3</f>
        <v>58.661971830985912</v>
      </c>
      <c r="O10" s="40">
        <f>M10/F3</f>
        <v>54.627781118460611</v>
      </c>
    </row>
    <row r="11" spans="1:17" ht="16.5" thickBot="1">
      <c r="A11" s="31">
        <v>4</v>
      </c>
      <c r="B11" s="817" t="s">
        <v>35</v>
      </c>
      <c r="C11" s="33">
        <v>16.760000000000005</v>
      </c>
      <c r="D11" s="34"/>
      <c r="E11" s="33"/>
      <c r="F11" s="41">
        <v>0.04</v>
      </c>
      <c r="G11" s="1057">
        <f>'12-08-2026'!G11+'13-08-2026'!F11</f>
        <v>0.12</v>
      </c>
      <c r="H11" s="42">
        <f>F11/E3</f>
        <v>2.8169014084507044E-4</v>
      </c>
      <c r="I11" s="33">
        <f t="shared" si="0"/>
        <v>16.720000000000006</v>
      </c>
      <c r="J11" s="43">
        <f>G11/F3</f>
        <v>7.2158749248346358E-5</v>
      </c>
      <c r="K11" s="35">
        <v>750000</v>
      </c>
      <c r="L11" s="38">
        <f t="shared" si="1"/>
        <v>30.000000000000004</v>
      </c>
      <c r="M11" s="38">
        <f t="shared" si="2"/>
        <v>89.999999999999986</v>
      </c>
      <c r="N11" s="39">
        <f>L11/E3</f>
        <v>0.21126760563380284</v>
      </c>
      <c r="O11" s="40">
        <f>M11/F3</f>
        <v>5.411906193625976E-2</v>
      </c>
    </row>
    <row r="12" spans="1:17" ht="16.5" thickBot="1">
      <c r="A12" s="31">
        <v>5</v>
      </c>
      <c r="B12" s="817" t="s">
        <v>36</v>
      </c>
      <c r="C12" s="33">
        <v>790.7</v>
      </c>
      <c r="D12" s="34"/>
      <c r="E12" s="33"/>
      <c r="F12" s="33">
        <v>22</v>
      </c>
      <c r="G12" s="24">
        <f>'12-08-2026'!G12+'13-08-2026'!F12</f>
        <v>176</v>
      </c>
      <c r="H12" s="36">
        <f>F12/E3</f>
        <v>0.15492957746478872</v>
      </c>
      <c r="I12" s="33">
        <f t="shared" si="0"/>
        <v>768.7</v>
      </c>
      <c r="J12" s="37">
        <f>G12/F3</f>
        <v>0.105832832230908</v>
      </c>
      <c r="K12" s="35">
        <v>350000</v>
      </c>
      <c r="L12" s="38">
        <f t="shared" si="1"/>
        <v>7700</v>
      </c>
      <c r="M12" s="38">
        <f t="shared" si="2"/>
        <v>61600</v>
      </c>
      <c r="N12" s="39">
        <f>L12/E3</f>
        <v>54.225352112676056</v>
      </c>
      <c r="O12" s="40">
        <f>M12/F3</f>
        <v>37.041491280817802</v>
      </c>
    </row>
    <row r="13" spans="1:17" ht="16.5" thickBot="1">
      <c r="A13" s="31">
        <v>6</v>
      </c>
      <c r="B13" s="817" t="s">
        <v>37</v>
      </c>
      <c r="C13" s="33">
        <v>450</v>
      </c>
      <c r="D13" s="34"/>
      <c r="E13" s="33"/>
      <c r="F13" s="159">
        <v>45</v>
      </c>
      <c r="G13" s="24">
        <f>'12-08-2026'!G13+'13-08-2026'!F13</f>
        <v>535</v>
      </c>
      <c r="H13" s="36">
        <f>F13/E3</f>
        <v>0.31690140845070425</v>
      </c>
      <c r="I13" s="33">
        <f t="shared" si="0"/>
        <v>405</v>
      </c>
      <c r="J13" s="37">
        <f>G13/F3</f>
        <v>0.32170775706554422</v>
      </c>
      <c r="K13" s="35">
        <v>215000</v>
      </c>
      <c r="L13" s="38">
        <f t="shared" si="1"/>
        <v>9675</v>
      </c>
      <c r="M13" s="38">
        <f t="shared" si="2"/>
        <v>115025</v>
      </c>
      <c r="N13" s="39">
        <f>L13/E3</f>
        <v>68.133802816901408</v>
      </c>
      <c r="O13" s="40">
        <f>M13/F3</f>
        <v>69.167167769092003</v>
      </c>
    </row>
    <row r="14" spans="1:17" ht="16.5" thickBot="1">
      <c r="A14" s="31">
        <v>7</v>
      </c>
      <c r="B14" s="817" t="s">
        <v>38</v>
      </c>
      <c r="C14" s="33">
        <v>2612</v>
      </c>
      <c r="D14" s="34"/>
      <c r="E14" s="1016"/>
      <c r="F14" s="33">
        <v>54</v>
      </c>
      <c r="G14" s="24">
        <f>'12-08-2026'!G14+'13-08-2026'!F14</f>
        <v>600</v>
      </c>
      <c r="H14" s="1017">
        <f>F14/E3</f>
        <v>0.38028169014084506</v>
      </c>
      <c r="I14" s="33">
        <f t="shared" si="0"/>
        <v>2558</v>
      </c>
      <c r="J14" s="37">
        <f>G14/F3</f>
        <v>0.36079374624173183</v>
      </c>
      <c r="K14" s="35">
        <v>151000</v>
      </c>
      <c r="L14" s="38">
        <f t="shared" si="1"/>
        <v>8154</v>
      </c>
      <c r="M14" s="38">
        <f t="shared" si="2"/>
        <v>90600</v>
      </c>
      <c r="N14" s="39">
        <f>L14/E3</f>
        <v>57.422535211267608</v>
      </c>
      <c r="O14" s="40">
        <f>M14/F3</f>
        <v>54.479855682501501</v>
      </c>
      <c r="Q14" s="149"/>
    </row>
    <row r="15" spans="1:17" ht="16.5" thickBot="1">
      <c r="A15" s="31">
        <v>8</v>
      </c>
      <c r="B15" s="817" t="s">
        <v>39</v>
      </c>
      <c r="C15" s="33">
        <v>715</v>
      </c>
      <c r="D15" s="33"/>
      <c r="E15" s="33"/>
      <c r="F15" s="1018">
        <v>22</v>
      </c>
      <c r="G15" s="24">
        <f>'12-08-2026'!G15+'13-08-2026'!F15</f>
        <v>205</v>
      </c>
      <c r="H15" s="36">
        <f>F15/E3</f>
        <v>0.15492957746478872</v>
      </c>
      <c r="I15" s="33">
        <f t="shared" si="0"/>
        <v>693</v>
      </c>
      <c r="J15" s="37">
        <f>G15/F3</f>
        <v>0.1232711966325917</v>
      </c>
      <c r="K15" s="35">
        <v>255000</v>
      </c>
      <c r="L15" s="38">
        <f t="shared" si="1"/>
        <v>5610</v>
      </c>
      <c r="M15" s="38">
        <f t="shared" si="2"/>
        <v>52275</v>
      </c>
      <c r="N15" s="39">
        <f>L15/E3</f>
        <v>39.507042253521128</v>
      </c>
      <c r="O15" s="40">
        <f>M15/F3</f>
        <v>31.434155141310885</v>
      </c>
    </row>
    <row r="16" spans="1:17" ht="16.5" thickBot="1">
      <c r="A16" s="31">
        <v>9</v>
      </c>
      <c r="B16" s="817" t="s">
        <v>40</v>
      </c>
      <c r="C16" s="33">
        <v>18</v>
      </c>
      <c r="D16" s="34"/>
      <c r="E16" s="33"/>
      <c r="F16" s="33">
        <v>0</v>
      </c>
      <c r="G16" s="24">
        <f>'12-08-2026'!G16+'13-08-2026'!F16</f>
        <v>1</v>
      </c>
      <c r="H16" s="36">
        <f>F16/E3</f>
        <v>0</v>
      </c>
      <c r="I16" s="33">
        <f t="shared" si="0"/>
        <v>18</v>
      </c>
      <c r="J16" s="37">
        <f>G16/F3</f>
        <v>6.0132291040288638E-4</v>
      </c>
      <c r="K16" s="35">
        <v>348200</v>
      </c>
      <c r="L16" s="38">
        <f t="shared" si="1"/>
        <v>0</v>
      </c>
      <c r="M16" s="44">
        <f t="shared" si="2"/>
        <v>348.2</v>
      </c>
      <c r="N16" s="39">
        <f>L16/E3</f>
        <v>0</v>
      </c>
      <c r="O16" s="40">
        <f>M16/F3</f>
        <v>0.20938063740228502</v>
      </c>
    </row>
    <row r="17" spans="1:15" ht="16.5" thickBot="1">
      <c r="A17" s="991">
        <v>10</v>
      </c>
      <c r="B17" s="992" t="s">
        <v>41</v>
      </c>
      <c r="C17" s="993">
        <v>2975</v>
      </c>
      <c r="D17" s="993"/>
      <c r="E17" s="993">
        <v>475</v>
      </c>
      <c r="F17" s="993">
        <v>0</v>
      </c>
      <c r="G17" s="24">
        <f>'12-08-2026'!G17+'13-08-2026'!F17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5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'12-08-2026'!G18+'13-08-2026'!F18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</row>
    <row r="19" spans="1:15" ht="16.5" thickBot="1">
      <c r="A19" s="58">
        <v>12</v>
      </c>
      <c r="B19" s="843" t="s">
        <v>43</v>
      </c>
      <c r="C19" s="60">
        <v>120.99999999999999</v>
      </c>
      <c r="D19" s="61"/>
      <c r="E19" s="61"/>
      <c r="F19" s="62">
        <v>8.1999999999999993</v>
      </c>
      <c r="G19" s="1055">
        <f>'12-08-2026'!G19+'13-08-2026'!F19</f>
        <v>91.600000000000009</v>
      </c>
      <c r="H19" s="64">
        <f>F19/E3</f>
        <v>5.7746478873239429E-2</v>
      </c>
      <c r="I19" s="65">
        <f t="shared" si="0"/>
        <v>112.79999999999998</v>
      </c>
      <c r="J19" s="66">
        <f>G19/F3</f>
        <v>5.5081178592904394E-2</v>
      </c>
      <c r="K19" s="60">
        <v>377600</v>
      </c>
      <c r="L19" s="67">
        <f t="shared" si="1"/>
        <v>3096.3199999999997</v>
      </c>
      <c r="M19" s="67">
        <f t="shared" si="2"/>
        <v>34588.160000000003</v>
      </c>
      <c r="N19" s="67">
        <f>L19/E3</f>
        <v>21.805070422535209</v>
      </c>
      <c r="O19" s="68">
        <f>M19/F3</f>
        <v>20.798653036680701</v>
      </c>
    </row>
    <row r="20" spans="1:15" ht="16.5" thickBot="1">
      <c r="A20" s="58">
        <v>13</v>
      </c>
      <c r="B20" s="843" t="s">
        <v>44</v>
      </c>
      <c r="C20" s="60">
        <v>164.96200000000002</v>
      </c>
      <c r="D20" s="61"/>
      <c r="E20" s="61"/>
      <c r="F20" s="62">
        <v>10</v>
      </c>
      <c r="G20" s="1055">
        <f>'12-08-2026'!G20+'13-08-2026'!F20</f>
        <v>64.599999999999994</v>
      </c>
      <c r="H20" s="66">
        <f>F20/E3</f>
        <v>7.0422535211267609E-2</v>
      </c>
      <c r="I20" s="60">
        <f t="shared" si="0"/>
        <v>154.96200000000002</v>
      </c>
      <c r="J20" s="66">
        <f>G20/F3</f>
        <v>3.8845460012026455E-2</v>
      </c>
      <c r="K20" s="60">
        <v>271400</v>
      </c>
      <c r="L20" s="67">
        <f t="shared" si="1"/>
        <v>2714</v>
      </c>
      <c r="M20" s="67">
        <f t="shared" si="2"/>
        <v>17532.439999999999</v>
      </c>
      <c r="N20" s="67">
        <f>L20/E3</f>
        <v>19.112676056338028</v>
      </c>
      <c r="O20" s="68">
        <f>M20/F3</f>
        <v>10.54265784726398</v>
      </c>
    </row>
    <row r="21" spans="1:15" ht="16.5" thickBot="1">
      <c r="A21" s="58">
        <v>14</v>
      </c>
      <c r="B21" s="843" t="s">
        <v>45</v>
      </c>
      <c r="C21" s="60">
        <v>2008.3999999999999</v>
      </c>
      <c r="D21" s="61"/>
      <c r="E21" s="61"/>
      <c r="F21" s="62">
        <v>67</v>
      </c>
      <c r="G21" s="1055">
        <f>'12-08-2026'!G21+'13-08-2026'!F21</f>
        <v>787.2</v>
      </c>
      <c r="H21" s="66">
        <f>F21/E3</f>
        <v>0.47183098591549294</v>
      </c>
      <c r="I21" s="65">
        <f t="shared" si="0"/>
        <v>1941.3999999999999</v>
      </c>
      <c r="J21" s="66">
        <f>G21/F3</f>
        <v>0.47336139506915215</v>
      </c>
      <c r="K21" s="60">
        <v>271400</v>
      </c>
      <c r="L21" s="67">
        <f t="shared" si="1"/>
        <v>18183.8</v>
      </c>
      <c r="M21" s="67">
        <f t="shared" si="2"/>
        <v>213646.08000000002</v>
      </c>
      <c r="N21" s="67">
        <f>L21/E3</f>
        <v>128.05492957746478</v>
      </c>
      <c r="O21" s="68">
        <f>M21/F3</f>
        <v>128.47028262176789</v>
      </c>
    </row>
    <row r="22" spans="1:15" ht="16.5" thickBot="1">
      <c r="A22" s="69">
        <v>15</v>
      </c>
      <c r="B22" s="853" t="s">
        <v>46</v>
      </c>
      <c r="C22" s="71">
        <v>47</v>
      </c>
      <c r="D22" s="72"/>
      <c r="E22" s="72"/>
      <c r="F22" s="34">
        <v>0</v>
      </c>
      <c r="G22" s="24">
        <f>'12-08-2026'!G22+'13-08-2026'!F22</f>
        <v>15</v>
      </c>
      <c r="H22" s="73">
        <f>F22/E3</f>
        <v>0</v>
      </c>
      <c r="I22" s="34">
        <f t="shared" si="0"/>
        <v>47</v>
      </c>
      <c r="J22" s="73">
        <f>G22/F3</f>
        <v>9.0198436560432957E-3</v>
      </c>
      <c r="K22" s="34">
        <v>41000</v>
      </c>
      <c r="L22" s="44">
        <f t="shared" si="1"/>
        <v>0</v>
      </c>
      <c r="M22" s="44">
        <f t="shared" si="2"/>
        <v>615</v>
      </c>
      <c r="N22" s="74">
        <f>L22/E3</f>
        <v>0</v>
      </c>
      <c r="O22" s="75">
        <f>M22/F3</f>
        <v>0.36981358989777513</v>
      </c>
    </row>
    <row r="23" spans="1:15" ht="16.5" thickBot="1">
      <c r="A23" s="69">
        <v>16</v>
      </c>
      <c r="B23" s="234" t="s">
        <v>47</v>
      </c>
      <c r="C23" s="71">
        <v>87.799999999999983</v>
      </c>
      <c r="D23" s="72"/>
      <c r="E23" s="34"/>
      <c r="F23" s="34">
        <v>0</v>
      </c>
      <c r="G23" s="24">
        <f>'12-08-2026'!G23+'13-08-2026'!F23</f>
        <v>206.4</v>
      </c>
      <c r="H23" s="73">
        <f>F23/E3</f>
        <v>0</v>
      </c>
      <c r="I23" s="34">
        <f t="shared" si="0"/>
        <v>87.799999999999983</v>
      </c>
      <c r="J23" s="73">
        <f>G23/F3</f>
        <v>0.12411304870715574</v>
      </c>
      <c r="K23" s="34">
        <v>24000</v>
      </c>
      <c r="L23" s="44">
        <f t="shared" si="1"/>
        <v>0</v>
      </c>
      <c r="M23" s="44">
        <f t="shared" si="2"/>
        <v>4953.6000000000004</v>
      </c>
      <c r="N23" s="74">
        <f>L23/E3</f>
        <v>0</v>
      </c>
      <c r="O23" s="75">
        <f>M23/F3</f>
        <v>2.9787131689717379</v>
      </c>
    </row>
    <row r="24" spans="1:15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'12-08-2026'!G24+'13-08-2026'!F24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5" ht="16.5" thickBot="1">
      <c r="A25" s="69">
        <v>18</v>
      </c>
      <c r="B25" s="853" t="s">
        <v>49</v>
      </c>
      <c r="C25" s="71">
        <v>295</v>
      </c>
      <c r="D25" s="71"/>
      <c r="E25" s="34">
        <v>300</v>
      </c>
      <c r="F25" s="34">
        <v>5</v>
      </c>
      <c r="G25" s="24">
        <f>'12-08-2026'!G25+'13-08-2026'!F25</f>
        <v>60</v>
      </c>
      <c r="H25" s="73">
        <f>F25/E3</f>
        <v>3.5211267605633804E-2</v>
      </c>
      <c r="I25" s="34">
        <f t="shared" si="0"/>
        <v>290</v>
      </c>
      <c r="J25" s="73">
        <f>G25/F3</f>
        <v>3.6079374624173183E-2</v>
      </c>
      <c r="K25" s="34">
        <v>14400</v>
      </c>
      <c r="L25" s="44">
        <f t="shared" si="1"/>
        <v>72</v>
      </c>
      <c r="M25" s="44">
        <f t="shared" si="2"/>
        <v>864</v>
      </c>
      <c r="N25" s="74">
        <f>L25/E3</f>
        <v>0.50704225352112675</v>
      </c>
      <c r="O25" s="75">
        <f>M25/F3</f>
        <v>0.51954299458809383</v>
      </c>
    </row>
    <row r="26" spans="1:15" ht="16.5" thickBot="1">
      <c r="A26" s="69">
        <v>19</v>
      </c>
      <c r="B26" s="853" t="s">
        <v>50</v>
      </c>
      <c r="C26" s="71">
        <v>191</v>
      </c>
      <c r="D26" s="34"/>
      <c r="E26" s="71">
        <v>150</v>
      </c>
      <c r="F26" s="34">
        <v>3.5</v>
      </c>
      <c r="G26" s="24">
        <f>'12-08-2026'!G26+'13-08-2026'!F26</f>
        <v>43</v>
      </c>
      <c r="H26" s="73">
        <f>F26/E3</f>
        <v>2.464788732394366E-2</v>
      </c>
      <c r="I26" s="34">
        <f t="shared" si="0"/>
        <v>187.5</v>
      </c>
      <c r="J26" s="73">
        <f>G26/F3</f>
        <v>2.5856885147324114E-2</v>
      </c>
      <c r="K26" s="34">
        <v>102000</v>
      </c>
      <c r="L26" s="44">
        <f t="shared" si="1"/>
        <v>357</v>
      </c>
      <c r="M26" s="44">
        <f t="shared" si="2"/>
        <v>4386</v>
      </c>
      <c r="N26" s="74">
        <f>L26/E3</f>
        <v>2.5140845070422535</v>
      </c>
      <c r="O26" s="75">
        <f>M26/F3</f>
        <v>2.6374022850270595</v>
      </c>
    </row>
    <row r="27" spans="1:15" ht="16.5" thickBot="1">
      <c r="A27" s="69">
        <v>20</v>
      </c>
      <c r="B27" s="853" t="s">
        <v>51</v>
      </c>
      <c r="C27" s="71">
        <v>295</v>
      </c>
      <c r="D27" s="71"/>
      <c r="E27" s="71">
        <v>300</v>
      </c>
      <c r="F27" s="34">
        <v>5</v>
      </c>
      <c r="G27" s="24">
        <f>'12-08-2026'!G27+'13-08-2026'!F27</f>
        <v>60</v>
      </c>
      <c r="H27" s="73">
        <f>F27/E3</f>
        <v>3.5211267605633804E-2</v>
      </c>
      <c r="I27" s="34">
        <f t="shared" si="0"/>
        <v>290</v>
      </c>
      <c r="J27" s="73">
        <f>G27/F3</f>
        <v>3.6079374624173183E-2</v>
      </c>
      <c r="K27" s="34">
        <v>107000</v>
      </c>
      <c r="L27" s="44">
        <f t="shared" si="1"/>
        <v>535</v>
      </c>
      <c r="M27" s="44">
        <f t="shared" si="2"/>
        <v>6420</v>
      </c>
      <c r="N27" s="74">
        <f>L27/E3</f>
        <v>3.767605633802817</v>
      </c>
      <c r="O27" s="75">
        <f>M27/F3</f>
        <v>3.8604930847865302</v>
      </c>
    </row>
    <row r="28" spans="1:15" ht="16.5" thickBot="1">
      <c r="A28" s="69">
        <v>21</v>
      </c>
      <c r="B28" s="234" t="s">
        <v>52</v>
      </c>
      <c r="C28" s="71">
        <v>222</v>
      </c>
      <c r="D28" s="71"/>
      <c r="E28" s="71">
        <v>175</v>
      </c>
      <c r="F28" s="34">
        <v>3</v>
      </c>
      <c r="G28" s="24">
        <f>'12-08-2026'!G28+'13-08-2026'!F28</f>
        <v>36</v>
      </c>
      <c r="H28" s="73">
        <f>F28/E3</f>
        <v>2.1126760563380281E-2</v>
      </c>
      <c r="I28" s="34">
        <f t="shared" si="0"/>
        <v>219</v>
      </c>
      <c r="J28" s="73">
        <f>G28/F3</f>
        <v>2.164762477450391E-2</v>
      </c>
      <c r="K28" s="34">
        <v>100000</v>
      </c>
      <c r="L28" s="44">
        <f t="shared" si="1"/>
        <v>300</v>
      </c>
      <c r="M28" s="44">
        <f t="shared" si="2"/>
        <v>3599.9999999999995</v>
      </c>
      <c r="N28" s="74">
        <f>L28/E3</f>
        <v>2.112676056338028</v>
      </c>
      <c r="O28" s="75">
        <f>M28/F3</f>
        <v>2.1647624774503904</v>
      </c>
    </row>
    <row r="29" spans="1:15" ht="16.5" thickBot="1">
      <c r="A29" s="69">
        <v>22</v>
      </c>
      <c r="B29" s="853" t="s">
        <v>53</v>
      </c>
      <c r="C29" s="71">
        <v>71</v>
      </c>
      <c r="D29" s="71"/>
      <c r="E29" s="71">
        <v>50</v>
      </c>
      <c r="F29" s="34">
        <v>1</v>
      </c>
      <c r="G29" s="24">
        <f>'12-08-2026'!G29+'13-08-2026'!F29</f>
        <v>12</v>
      </c>
      <c r="H29" s="73">
        <f>F29/E3</f>
        <v>7.0422535211267607E-3</v>
      </c>
      <c r="I29" s="34">
        <f t="shared" si="0"/>
        <v>70</v>
      </c>
      <c r="J29" s="73">
        <f>G29/F3</f>
        <v>7.2158749248346366E-3</v>
      </c>
      <c r="K29" s="34">
        <v>255000</v>
      </c>
      <c r="L29" s="44">
        <f t="shared" si="1"/>
        <v>255</v>
      </c>
      <c r="M29" s="44">
        <f t="shared" si="2"/>
        <v>3060</v>
      </c>
      <c r="N29" s="74">
        <f>L29/E3</f>
        <v>1.795774647887324</v>
      </c>
      <c r="O29" s="1047">
        <f>M29/F3</f>
        <v>1.8400481058328322</v>
      </c>
    </row>
    <row r="30" spans="1:15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'12-08-2026'!G30+'13-08-2026'!F30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5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'12-08-2026'!G31+'13-08-2026'!F31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5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1343.9938028169013</v>
      </c>
      <c r="O32" s="985">
        <f>SUM(O8,O9,O10,O11,O12,O13,O14,O15,O16,O17,O18,O19,O20,O21,O22,O23,O24,O25,O26,O27,O28,O29,O30,O31,)</f>
        <v>1316.1220565243541</v>
      </c>
    </row>
    <row r="33" spans="1:15" ht="16.5" thickBot="1">
      <c r="A33" s="1035">
        <v>1</v>
      </c>
      <c r="B33" s="1036" t="s">
        <v>115</v>
      </c>
      <c r="C33" s="1037">
        <v>7</v>
      </c>
      <c r="D33" s="1096"/>
      <c r="E33" s="1096"/>
      <c r="F33" s="1034">
        <v>12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36" t="s">
        <v>121</v>
      </c>
      <c r="C34" s="966">
        <v>77</v>
      </c>
      <c r="D34" s="1096"/>
      <c r="E34" s="1096"/>
      <c r="F34" s="1023">
        <v>130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/>
      <c r="B35" s="1015"/>
      <c r="C35" s="967"/>
      <c r="D35" s="1096"/>
      <c r="E35" s="1096"/>
      <c r="F35" s="1024"/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1015"/>
      <c r="C36" s="1028"/>
      <c r="D36" s="1096"/>
      <c r="E36" s="1096"/>
      <c r="F36" s="1023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1.3439938028169012</v>
      </c>
      <c r="O36" s="980">
        <f>O32/1000</f>
        <v>1.3161220565243541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3</v>
      </c>
      <c r="B38" s="1032" t="s">
        <v>60</v>
      </c>
      <c r="C38" s="1033">
        <f>SUM(C33:C37,K33:K37)</f>
        <v>84</v>
      </c>
      <c r="D38" s="1523">
        <f>SUM(F33:F37,L33:L37)</f>
        <v>142</v>
      </c>
      <c r="E38" s="1524"/>
      <c r="F38" s="1525"/>
    </row>
  </sheetData>
  <mergeCells count="22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7.874015748031496E-2" right="0.11811023622047245" top="1.04" bottom="0.15748031496062992" header="0.31496062992125984" footer="0.11811023622047245"/>
  <pageSetup scale="80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38"/>
  <sheetViews>
    <sheetView topLeftCell="A20" workbookViewId="0">
      <selection activeCell="F16" sqref="F16"/>
    </sheetView>
  </sheetViews>
  <sheetFormatPr defaultRowHeight="15"/>
  <cols>
    <col min="1" max="1" width="5.28515625" customWidth="1"/>
    <col min="2" max="2" width="27.140625" customWidth="1"/>
    <col min="3" max="3" width="9.5703125" customWidth="1"/>
    <col min="8" max="8" width="10.7109375" customWidth="1"/>
    <col min="10" max="10" width="11.42578125" customWidth="1"/>
    <col min="12" max="12" width="11.28515625" customWidth="1"/>
    <col min="13" max="13" width="12.85546875" customWidth="1"/>
    <col min="15" max="15" width="12.7109375" customWidth="1"/>
  </cols>
  <sheetData>
    <row r="1" spans="1:19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9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  <c r="Q2" s="1060"/>
    </row>
    <row r="3" spans="1:19" ht="20.25" thickBot="1">
      <c r="A3" s="1124" t="s">
        <v>2</v>
      </c>
      <c r="B3" s="1125"/>
      <c r="C3" s="1125"/>
      <c r="D3" s="1126"/>
      <c r="E3" s="3">
        <v>161</v>
      </c>
      <c r="F3" s="3">
        <v>1824</v>
      </c>
      <c r="G3" s="1526" t="s">
        <v>187</v>
      </c>
      <c r="H3" s="1527"/>
      <c r="I3" s="1129" t="s">
        <v>186</v>
      </c>
      <c r="J3" s="1130"/>
      <c r="K3" s="1130"/>
      <c r="L3" s="1130"/>
      <c r="M3" s="1130"/>
      <c r="N3" s="1130"/>
      <c r="O3" s="1131"/>
      <c r="Q3" s="1061"/>
    </row>
    <row r="4" spans="1:19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9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9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9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9" ht="16.5" thickBot="1">
      <c r="A8" s="20">
        <v>1</v>
      </c>
      <c r="B8" s="933" t="s">
        <v>32</v>
      </c>
      <c r="C8" s="22">
        <v>12350</v>
      </c>
      <c r="D8" s="23">
        <v>20000</v>
      </c>
      <c r="E8" s="22">
        <v>20000</v>
      </c>
      <c r="F8" s="22">
        <v>5100</v>
      </c>
      <c r="G8" s="24">
        <v>44050</v>
      </c>
      <c r="H8" s="25">
        <f>F8/E3</f>
        <v>31.677018633540374</v>
      </c>
      <c r="I8" s="22">
        <f t="shared" ref="I8:I31" si="0">(C8-F8)+D8</f>
        <v>27250</v>
      </c>
      <c r="J8" s="26">
        <f>G8/F3</f>
        <v>24.150219298245613</v>
      </c>
      <c r="K8" s="24">
        <v>36000</v>
      </c>
      <c r="L8" s="27">
        <f t="shared" ref="L8:L31" si="1">(F8/1000)*K8</f>
        <v>183600</v>
      </c>
      <c r="M8" s="28">
        <f t="shared" ref="M8:M31" si="2">(G8/1000)*K8</f>
        <v>1585800</v>
      </c>
      <c r="N8" s="29">
        <f>L8/E3</f>
        <v>1140.3726708074535</v>
      </c>
      <c r="O8" s="30">
        <f>M8/F3</f>
        <v>869.40789473684208</v>
      </c>
    </row>
    <row r="9" spans="1:19" ht="16.5" thickBot="1">
      <c r="A9" s="31">
        <v>2</v>
      </c>
      <c r="B9" s="817" t="s">
        <v>33</v>
      </c>
      <c r="C9" s="33">
        <v>15001</v>
      </c>
      <c r="D9" s="34"/>
      <c r="E9" s="33">
        <v>15000</v>
      </c>
      <c r="F9" s="33">
        <v>228</v>
      </c>
      <c r="G9" s="24">
        <v>2797</v>
      </c>
      <c r="H9" s="36">
        <f>F9/E3</f>
        <v>1.4161490683229814</v>
      </c>
      <c r="I9" s="33">
        <f t="shared" si="0"/>
        <v>14773</v>
      </c>
      <c r="J9" s="37">
        <f>G9/F3</f>
        <v>1.5334429824561404</v>
      </c>
      <c r="K9" s="35">
        <v>33500</v>
      </c>
      <c r="L9" s="38">
        <f t="shared" si="1"/>
        <v>7638</v>
      </c>
      <c r="M9" s="38">
        <f t="shared" si="2"/>
        <v>93699.5</v>
      </c>
      <c r="N9" s="39">
        <f>L9/E3</f>
        <v>47.440993788819874</v>
      </c>
      <c r="O9" s="40">
        <f>M9/F3</f>
        <v>51.370339912280699</v>
      </c>
      <c r="Q9" s="149"/>
    </row>
    <row r="10" spans="1:19" ht="16.5" thickBot="1">
      <c r="A10" s="31">
        <v>3</v>
      </c>
      <c r="B10" s="817" t="s">
        <v>34</v>
      </c>
      <c r="C10" s="33">
        <v>3462</v>
      </c>
      <c r="D10" s="34"/>
      <c r="E10" s="33"/>
      <c r="F10" s="33">
        <v>86</v>
      </c>
      <c r="G10" s="24">
        <v>1013</v>
      </c>
      <c r="H10" s="36">
        <f>F10/E3</f>
        <v>0.53416149068322982</v>
      </c>
      <c r="I10" s="33">
        <f t="shared" si="0"/>
        <v>3376</v>
      </c>
      <c r="J10" s="37">
        <f>G10/F3</f>
        <v>0.55537280701754388</v>
      </c>
      <c r="K10" s="35">
        <v>98000</v>
      </c>
      <c r="L10" s="38">
        <f t="shared" si="1"/>
        <v>8428</v>
      </c>
      <c r="M10" s="38">
        <f t="shared" si="2"/>
        <v>99273.999999999985</v>
      </c>
      <c r="N10" s="39">
        <f>L10/E3</f>
        <v>52.347826086956523</v>
      </c>
      <c r="O10" s="40">
        <f>M10/F3</f>
        <v>54.426535087719287</v>
      </c>
      <c r="R10" s="1062"/>
      <c r="S10" s="149"/>
    </row>
    <row r="11" spans="1:19" ht="16.5" thickBot="1">
      <c r="A11" s="31">
        <v>4</v>
      </c>
      <c r="B11" s="817" t="s">
        <v>35</v>
      </c>
      <c r="C11" s="33">
        <v>16.720000000000006</v>
      </c>
      <c r="D11" s="34"/>
      <c r="E11" s="33"/>
      <c r="F11" s="1058">
        <v>0.12620000000000001</v>
      </c>
      <c r="G11" s="1057">
        <v>0.2462</v>
      </c>
      <c r="H11" s="42">
        <f>F11/E3</f>
        <v>7.8385093167701863E-4</v>
      </c>
      <c r="I11" s="33">
        <f t="shared" si="0"/>
        <v>16.593800000000005</v>
      </c>
      <c r="J11" s="43">
        <f>G11/F3</f>
        <v>1.349780701754386E-4</v>
      </c>
      <c r="K11" s="35">
        <v>750000</v>
      </c>
      <c r="L11" s="38">
        <f t="shared" si="1"/>
        <v>94.65</v>
      </c>
      <c r="M11" s="38">
        <f t="shared" si="2"/>
        <v>184.65</v>
      </c>
      <c r="N11" s="39">
        <f>L11/E3</f>
        <v>0.58788819875776399</v>
      </c>
      <c r="O11" s="40">
        <f>M11/F3</f>
        <v>0.10123355263157895</v>
      </c>
    </row>
    <row r="12" spans="1:19" ht="16.5" thickBot="1">
      <c r="A12" s="31">
        <v>5</v>
      </c>
      <c r="B12" s="817" t="s">
        <v>36</v>
      </c>
      <c r="C12" s="33">
        <v>768.7</v>
      </c>
      <c r="D12" s="34"/>
      <c r="E12" s="33"/>
      <c r="F12" s="33">
        <v>17</v>
      </c>
      <c r="G12" s="24">
        <v>193</v>
      </c>
      <c r="H12" s="36">
        <f>F12/E3</f>
        <v>0.10559006211180125</v>
      </c>
      <c r="I12" s="33">
        <f t="shared" si="0"/>
        <v>751.7</v>
      </c>
      <c r="J12" s="37">
        <f>G12/F3</f>
        <v>0.10581140350877193</v>
      </c>
      <c r="K12" s="35">
        <v>350000</v>
      </c>
      <c r="L12" s="38">
        <f t="shared" si="1"/>
        <v>5950</v>
      </c>
      <c r="M12" s="38">
        <f t="shared" si="2"/>
        <v>67550</v>
      </c>
      <c r="N12" s="39">
        <f>L12/E3</f>
        <v>36.956521739130437</v>
      </c>
      <c r="O12" s="40">
        <f>M12/F3</f>
        <v>37.033991228070178</v>
      </c>
      <c r="Q12" s="149"/>
    </row>
    <row r="13" spans="1:19" ht="16.5" thickBot="1">
      <c r="A13" s="31">
        <v>6</v>
      </c>
      <c r="B13" s="817" t="s">
        <v>37</v>
      </c>
      <c r="C13" s="33">
        <v>405</v>
      </c>
      <c r="D13" s="34"/>
      <c r="E13" s="33"/>
      <c r="F13" s="159">
        <v>50</v>
      </c>
      <c r="G13" s="24">
        <v>585</v>
      </c>
      <c r="H13" s="36">
        <f>F13/E3</f>
        <v>0.3105590062111801</v>
      </c>
      <c r="I13" s="33">
        <f t="shared" si="0"/>
        <v>355</v>
      </c>
      <c r="J13" s="37">
        <f>G13/F3</f>
        <v>0.32072368421052633</v>
      </c>
      <c r="K13" s="35">
        <v>215000</v>
      </c>
      <c r="L13" s="38">
        <f t="shared" si="1"/>
        <v>10750</v>
      </c>
      <c r="M13" s="38">
        <f t="shared" si="2"/>
        <v>125774.99999999999</v>
      </c>
      <c r="N13" s="39">
        <f>L13/E3</f>
        <v>66.770186335403722</v>
      </c>
      <c r="O13" s="40">
        <f>M13/F3</f>
        <v>68.95559210526315</v>
      </c>
      <c r="S13" s="1062"/>
    </row>
    <row r="14" spans="1:19" ht="16.5" thickBot="1">
      <c r="A14" s="31">
        <v>7</v>
      </c>
      <c r="B14" s="817" t="s">
        <v>38</v>
      </c>
      <c r="C14" s="33">
        <v>2558</v>
      </c>
      <c r="D14" s="34"/>
      <c r="E14" s="1016"/>
      <c r="F14" s="33">
        <v>54</v>
      </c>
      <c r="G14" s="24">
        <v>654</v>
      </c>
      <c r="H14" s="1017">
        <f>F14/E3</f>
        <v>0.33540372670807456</v>
      </c>
      <c r="I14" s="33">
        <f t="shared" si="0"/>
        <v>2504</v>
      </c>
      <c r="J14" s="37">
        <f>G14/F3</f>
        <v>0.35855263157894735</v>
      </c>
      <c r="K14" s="35">
        <v>151000</v>
      </c>
      <c r="L14" s="38">
        <f t="shared" si="1"/>
        <v>8154</v>
      </c>
      <c r="M14" s="38">
        <f t="shared" si="2"/>
        <v>98754</v>
      </c>
      <c r="N14" s="39">
        <f>L14/E3</f>
        <v>50.645962732919251</v>
      </c>
      <c r="O14" s="40">
        <f>M14/F3</f>
        <v>54.141447368421055</v>
      </c>
      <c r="Q14" s="149"/>
    </row>
    <row r="15" spans="1:19" ht="16.5" thickBot="1">
      <c r="A15" s="31">
        <v>8</v>
      </c>
      <c r="B15" s="817" t="s">
        <v>39</v>
      </c>
      <c r="C15" s="33">
        <v>693</v>
      </c>
      <c r="D15" s="33"/>
      <c r="E15" s="33"/>
      <c r="F15" s="1018">
        <v>20</v>
      </c>
      <c r="G15" s="24">
        <v>225</v>
      </c>
      <c r="H15" s="36">
        <f>F15/E3</f>
        <v>0.12422360248447205</v>
      </c>
      <c r="I15" s="33">
        <f t="shared" si="0"/>
        <v>673</v>
      </c>
      <c r="J15" s="37">
        <f>G15/F3</f>
        <v>0.12335526315789473</v>
      </c>
      <c r="K15" s="35">
        <v>255000</v>
      </c>
      <c r="L15" s="38">
        <f t="shared" si="1"/>
        <v>5100</v>
      </c>
      <c r="M15" s="38">
        <f t="shared" si="2"/>
        <v>57375</v>
      </c>
      <c r="N15" s="39">
        <f>L15/E3</f>
        <v>31.677018633540374</v>
      </c>
      <c r="O15" s="40">
        <f>M15/F3</f>
        <v>31.455592105263158</v>
      </c>
      <c r="Q15" s="149"/>
    </row>
    <row r="16" spans="1:19" ht="16.5" thickBot="1">
      <c r="A16" s="31">
        <v>9</v>
      </c>
      <c r="B16" s="817" t="s">
        <v>40</v>
      </c>
      <c r="C16" s="33">
        <v>18</v>
      </c>
      <c r="D16" s="34"/>
      <c r="E16" s="33"/>
      <c r="F16" s="33">
        <v>5</v>
      </c>
      <c r="G16" s="24">
        <v>6</v>
      </c>
      <c r="H16" s="36">
        <f>F16/E3</f>
        <v>3.1055900621118012E-2</v>
      </c>
      <c r="I16" s="33">
        <f t="shared" si="0"/>
        <v>13</v>
      </c>
      <c r="J16" s="37">
        <f>G16/F3</f>
        <v>3.2894736842105261E-3</v>
      </c>
      <c r="K16" s="35">
        <v>348200</v>
      </c>
      <c r="L16" s="38">
        <f t="shared" si="1"/>
        <v>1741</v>
      </c>
      <c r="M16" s="44">
        <f t="shared" si="2"/>
        <v>2089.1999999999998</v>
      </c>
      <c r="N16" s="39">
        <f>L16/E3</f>
        <v>10.813664596273291</v>
      </c>
      <c r="O16" s="40">
        <f>M16/F3</f>
        <v>1.1453947368421051</v>
      </c>
      <c r="S16" s="1062"/>
    </row>
    <row r="17" spans="1:18" ht="16.5" thickBot="1">
      <c r="A17" s="991">
        <v>10</v>
      </c>
      <c r="B17" s="992" t="s">
        <v>41</v>
      </c>
      <c r="C17" s="993">
        <v>2975</v>
      </c>
      <c r="D17" s="993"/>
      <c r="E17" s="993">
        <v>475</v>
      </c>
      <c r="F17" s="993">
        <v>0</v>
      </c>
      <c r="G17" s="24">
        <f>'12-08-2026'!G17+'13-08-2026'!F17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</row>
    <row r="18" spans="1:18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'12-08-2026'!G18+'13-08-2026'!F18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  <c r="Q18" s="149"/>
    </row>
    <row r="19" spans="1:18" ht="16.5" thickBot="1">
      <c r="A19" s="58">
        <v>12</v>
      </c>
      <c r="B19" s="843" t="s">
        <v>43</v>
      </c>
      <c r="C19" s="60">
        <v>112.79999999999998</v>
      </c>
      <c r="D19" s="61"/>
      <c r="E19" s="61"/>
      <c r="F19" s="62">
        <v>8.6</v>
      </c>
      <c r="G19" s="1055">
        <v>100.2</v>
      </c>
      <c r="H19" s="64">
        <f>F19/E3</f>
        <v>5.3416149068322982E-2</v>
      </c>
      <c r="I19" s="65">
        <f t="shared" si="0"/>
        <v>104.19999999999999</v>
      </c>
      <c r="J19" s="66">
        <f>G19/F3</f>
        <v>5.4934210526315794E-2</v>
      </c>
      <c r="K19" s="60">
        <v>377600</v>
      </c>
      <c r="L19" s="67">
        <f t="shared" si="1"/>
        <v>3247.36</v>
      </c>
      <c r="M19" s="67">
        <f t="shared" si="2"/>
        <v>37835.519999999997</v>
      </c>
      <c r="N19" s="67">
        <f>L19/E3</f>
        <v>20.16993788819876</v>
      </c>
      <c r="O19" s="68">
        <f>M19/F3</f>
        <v>20.743157894736839</v>
      </c>
      <c r="R19" s="116"/>
    </row>
    <row r="20" spans="1:18" ht="16.5" thickBot="1">
      <c r="A20" s="58">
        <v>13</v>
      </c>
      <c r="B20" s="843" t="s">
        <v>44</v>
      </c>
      <c r="C20" s="60">
        <v>154.96200000000002</v>
      </c>
      <c r="D20" s="61"/>
      <c r="E20" s="61"/>
      <c r="F20" s="62">
        <v>9.6</v>
      </c>
      <c r="G20" s="1055">
        <v>74.2</v>
      </c>
      <c r="H20" s="66">
        <f>F20/E3</f>
        <v>5.9627329192546583E-2</v>
      </c>
      <c r="I20" s="60">
        <f t="shared" si="0"/>
        <v>145.36200000000002</v>
      </c>
      <c r="J20" s="66">
        <f>G20/F3</f>
        <v>4.067982456140351E-2</v>
      </c>
      <c r="K20" s="60">
        <v>271400</v>
      </c>
      <c r="L20" s="67">
        <f t="shared" si="1"/>
        <v>2605.4399999999996</v>
      </c>
      <c r="M20" s="67">
        <f t="shared" si="2"/>
        <v>20137.88</v>
      </c>
      <c r="N20" s="67">
        <f>L20/E3</f>
        <v>16.182857142857141</v>
      </c>
      <c r="O20" s="68">
        <f>M20/F3</f>
        <v>11.040504385964914</v>
      </c>
    </row>
    <row r="21" spans="1:18" ht="16.5" thickBot="1">
      <c r="A21" s="58">
        <v>14</v>
      </c>
      <c r="B21" s="843" t="s">
        <v>45</v>
      </c>
      <c r="C21" s="60">
        <v>1941.3999999999999</v>
      </c>
      <c r="D21" s="61"/>
      <c r="E21" s="61"/>
      <c r="F21" s="62">
        <v>76.2</v>
      </c>
      <c r="G21" s="1055">
        <v>863.4</v>
      </c>
      <c r="H21" s="66">
        <f>F21/E3</f>
        <v>0.47329192546583854</v>
      </c>
      <c r="I21" s="65">
        <f t="shared" si="0"/>
        <v>1865.1999999999998</v>
      </c>
      <c r="J21" s="66">
        <f>G21/F3</f>
        <v>0.47335526315789472</v>
      </c>
      <c r="K21" s="60">
        <v>271400</v>
      </c>
      <c r="L21" s="67">
        <f t="shared" si="1"/>
        <v>20680.68</v>
      </c>
      <c r="M21" s="67">
        <f t="shared" si="2"/>
        <v>234326.75999999998</v>
      </c>
      <c r="N21" s="67">
        <f>L21/E3</f>
        <v>128.45142857142858</v>
      </c>
      <c r="O21" s="68">
        <f>M21/F3</f>
        <v>128.46861842105261</v>
      </c>
    </row>
    <row r="22" spans="1:18" ht="16.5" thickBot="1">
      <c r="A22" s="69">
        <v>15</v>
      </c>
      <c r="B22" s="853" t="s">
        <v>46</v>
      </c>
      <c r="C22" s="71">
        <v>47</v>
      </c>
      <c r="D22" s="72"/>
      <c r="E22" s="72"/>
      <c r="F22" s="34">
        <v>3</v>
      </c>
      <c r="G22" s="24">
        <v>18</v>
      </c>
      <c r="H22" s="73">
        <f>F22/E3</f>
        <v>1.8633540372670808E-2</v>
      </c>
      <c r="I22" s="34">
        <f t="shared" si="0"/>
        <v>44</v>
      </c>
      <c r="J22" s="73">
        <f>G22/F3</f>
        <v>9.8684210526315784E-3</v>
      </c>
      <c r="K22" s="34">
        <v>41000</v>
      </c>
      <c r="L22" s="44">
        <f t="shared" si="1"/>
        <v>123</v>
      </c>
      <c r="M22" s="44">
        <f t="shared" si="2"/>
        <v>738</v>
      </c>
      <c r="N22" s="74">
        <f>L22/E3</f>
        <v>0.7639751552795031</v>
      </c>
      <c r="O22" s="75">
        <f>M22/F3</f>
        <v>0.40460526315789475</v>
      </c>
    </row>
    <row r="23" spans="1:18" ht="16.5" thickBot="1">
      <c r="A23" s="69">
        <v>16</v>
      </c>
      <c r="B23" s="234" t="s">
        <v>47</v>
      </c>
      <c r="C23" s="71">
        <v>87.799999999999983</v>
      </c>
      <c r="D23" s="72"/>
      <c r="E23" s="34"/>
      <c r="F23" s="34">
        <v>14.4</v>
      </c>
      <c r="G23" s="1059">
        <v>220.8</v>
      </c>
      <c r="H23" s="73">
        <f>F23/E3</f>
        <v>8.9440993788819881E-2</v>
      </c>
      <c r="I23" s="34">
        <f t="shared" si="0"/>
        <v>73.399999999999977</v>
      </c>
      <c r="J23" s="73">
        <f>G23/F3</f>
        <v>0.12105263157894737</v>
      </c>
      <c r="K23" s="34">
        <v>24000</v>
      </c>
      <c r="L23" s="44">
        <f t="shared" si="1"/>
        <v>345.59999999999997</v>
      </c>
      <c r="M23" s="44">
        <f t="shared" si="2"/>
        <v>5299.2000000000007</v>
      </c>
      <c r="N23" s="74">
        <f>L23/E3</f>
        <v>2.1465838509316768</v>
      </c>
      <c r="O23" s="75">
        <f>M23/F3</f>
        <v>2.9052631578947374</v>
      </c>
    </row>
    <row r="24" spans="1:18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'12-08-2026'!G24+'13-08-2026'!F24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8" ht="16.5" thickBot="1">
      <c r="A25" s="69">
        <v>18</v>
      </c>
      <c r="B25" s="853" t="s">
        <v>49</v>
      </c>
      <c r="C25" s="71">
        <v>290</v>
      </c>
      <c r="D25" s="71"/>
      <c r="E25" s="34">
        <v>300</v>
      </c>
      <c r="F25" s="34">
        <v>5</v>
      </c>
      <c r="G25" s="24">
        <v>65</v>
      </c>
      <c r="H25" s="73">
        <f>F25/E3</f>
        <v>3.1055900621118012E-2</v>
      </c>
      <c r="I25" s="34">
        <f t="shared" si="0"/>
        <v>285</v>
      </c>
      <c r="J25" s="73">
        <f>G25/F3</f>
        <v>3.5635964912280702E-2</v>
      </c>
      <c r="K25" s="34">
        <v>14400</v>
      </c>
      <c r="L25" s="44">
        <f t="shared" si="1"/>
        <v>72</v>
      </c>
      <c r="M25" s="44">
        <f t="shared" si="2"/>
        <v>936</v>
      </c>
      <c r="N25" s="74">
        <f>L25/E3</f>
        <v>0.44720496894409939</v>
      </c>
      <c r="O25" s="75">
        <f>M25/F3</f>
        <v>0.51315789473684215</v>
      </c>
    </row>
    <row r="26" spans="1:18" ht="16.5" thickBot="1">
      <c r="A26" s="69">
        <v>19</v>
      </c>
      <c r="B26" s="853" t="s">
        <v>50</v>
      </c>
      <c r="C26" s="71">
        <v>187.5</v>
      </c>
      <c r="D26" s="34"/>
      <c r="E26" s="71">
        <v>150</v>
      </c>
      <c r="F26" s="34">
        <v>3.5</v>
      </c>
      <c r="G26" s="1059">
        <v>46.5</v>
      </c>
      <c r="H26" s="73">
        <f>F26/E3</f>
        <v>2.1739130434782608E-2</v>
      </c>
      <c r="I26" s="34">
        <f t="shared" si="0"/>
        <v>184</v>
      </c>
      <c r="J26" s="73">
        <f>G26/F3</f>
        <v>2.5493421052631578E-2</v>
      </c>
      <c r="K26" s="34">
        <v>102000</v>
      </c>
      <c r="L26" s="44">
        <f t="shared" si="1"/>
        <v>357</v>
      </c>
      <c r="M26" s="44">
        <f t="shared" si="2"/>
        <v>4743</v>
      </c>
      <c r="N26" s="74">
        <f>L26/E3</f>
        <v>2.2173913043478262</v>
      </c>
      <c r="O26" s="75">
        <f>M26/F3</f>
        <v>2.6003289473684212</v>
      </c>
    </row>
    <row r="27" spans="1:18" ht="16.5" thickBot="1">
      <c r="A27" s="69">
        <v>20</v>
      </c>
      <c r="B27" s="853" t="s">
        <v>51</v>
      </c>
      <c r="C27" s="71">
        <v>290</v>
      </c>
      <c r="D27" s="71"/>
      <c r="E27" s="71">
        <v>300</v>
      </c>
      <c r="F27" s="34">
        <v>5</v>
      </c>
      <c r="G27" s="24">
        <v>65</v>
      </c>
      <c r="H27" s="73">
        <f>F27/E3</f>
        <v>3.1055900621118012E-2</v>
      </c>
      <c r="I27" s="34">
        <f t="shared" si="0"/>
        <v>285</v>
      </c>
      <c r="J27" s="73">
        <f>G27/F3</f>
        <v>3.5635964912280702E-2</v>
      </c>
      <c r="K27" s="34">
        <v>107000</v>
      </c>
      <c r="L27" s="44">
        <f t="shared" si="1"/>
        <v>535</v>
      </c>
      <c r="M27" s="44">
        <f t="shared" si="2"/>
        <v>6955</v>
      </c>
      <c r="N27" s="74">
        <f>L27/E3</f>
        <v>3.3229813664596275</v>
      </c>
      <c r="O27" s="75">
        <f>M27/F3</f>
        <v>3.8130482456140351</v>
      </c>
    </row>
    <row r="28" spans="1:18" ht="16.5" thickBot="1">
      <c r="A28" s="69">
        <v>21</v>
      </c>
      <c r="B28" s="234" t="s">
        <v>52</v>
      </c>
      <c r="C28" s="71">
        <v>219</v>
      </c>
      <c r="D28" s="71"/>
      <c r="E28" s="71">
        <v>175</v>
      </c>
      <c r="F28" s="34">
        <v>3</v>
      </c>
      <c r="G28" s="24">
        <v>39</v>
      </c>
      <c r="H28" s="73">
        <f>F28/E3</f>
        <v>1.8633540372670808E-2</v>
      </c>
      <c r="I28" s="34">
        <f t="shared" si="0"/>
        <v>216</v>
      </c>
      <c r="J28" s="73">
        <f>G28/F3</f>
        <v>2.1381578947368422E-2</v>
      </c>
      <c r="K28" s="34">
        <v>100000</v>
      </c>
      <c r="L28" s="44">
        <f t="shared" si="1"/>
        <v>300</v>
      </c>
      <c r="M28" s="44">
        <f t="shared" si="2"/>
        <v>3900</v>
      </c>
      <c r="N28" s="74">
        <f>L28/E3</f>
        <v>1.8633540372670807</v>
      </c>
      <c r="O28" s="75">
        <f>M28/F3</f>
        <v>2.138157894736842</v>
      </c>
    </row>
    <row r="29" spans="1:18" ht="16.5" thickBot="1">
      <c r="A29" s="69">
        <v>22</v>
      </c>
      <c r="B29" s="853" t="s">
        <v>53</v>
      </c>
      <c r="C29" s="71">
        <v>70</v>
      </c>
      <c r="D29" s="71"/>
      <c r="E29" s="71">
        <v>50</v>
      </c>
      <c r="F29" s="34">
        <v>1</v>
      </c>
      <c r="G29" s="24">
        <v>13</v>
      </c>
      <c r="H29" s="73">
        <f>F29/E3</f>
        <v>6.2111801242236021E-3</v>
      </c>
      <c r="I29" s="34">
        <f t="shared" si="0"/>
        <v>69</v>
      </c>
      <c r="J29" s="73">
        <f>G29/F3</f>
        <v>7.12719298245614E-3</v>
      </c>
      <c r="K29" s="34">
        <v>255000</v>
      </c>
      <c r="L29" s="44">
        <f t="shared" si="1"/>
        <v>255</v>
      </c>
      <c r="M29" s="44">
        <f t="shared" si="2"/>
        <v>3315</v>
      </c>
      <c r="N29" s="74">
        <f>L29/E3</f>
        <v>1.5838509316770186</v>
      </c>
      <c r="O29" s="1047">
        <f>M29/F3</f>
        <v>1.8174342105263157</v>
      </c>
    </row>
    <row r="30" spans="1:18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'12-08-2026'!G30+'13-08-2026'!F30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8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'12-08-2026'!G31+'13-08-2026'!F31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8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1614.762298136646</v>
      </c>
      <c r="O32" s="985">
        <f>SUM(O8,O9,O10,O11,O12,O13,O14,O15,O16,O17,O18,O19,O20,O21,O22,O23,O24,O25,O26,O27,O28,O29,O30,O31,)</f>
        <v>1342.4822971491226</v>
      </c>
    </row>
    <row r="33" spans="1:15" ht="16.5" thickBot="1">
      <c r="A33" s="1035">
        <v>1</v>
      </c>
      <c r="B33" s="1036" t="s">
        <v>121</v>
      </c>
      <c r="C33" s="1037">
        <v>23</v>
      </c>
      <c r="D33" s="1096"/>
      <c r="E33" s="1096"/>
      <c r="F33" s="1034">
        <v>40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36" t="s">
        <v>115</v>
      </c>
      <c r="C34" s="966">
        <v>3</v>
      </c>
      <c r="D34" s="1096"/>
      <c r="E34" s="1096"/>
      <c r="F34" s="1023">
        <v>5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>
        <v>3</v>
      </c>
      <c r="B35" s="1036" t="s">
        <v>126</v>
      </c>
      <c r="C35" s="967">
        <v>3</v>
      </c>
      <c r="D35" s="1096"/>
      <c r="E35" s="1096"/>
      <c r="F35" s="1024">
        <v>5</v>
      </c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>
        <v>4</v>
      </c>
      <c r="B36" s="1036" t="s">
        <v>134</v>
      </c>
      <c r="C36" s="1028">
        <v>64</v>
      </c>
      <c r="D36" s="1096"/>
      <c r="E36" s="1096"/>
      <c r="F36" s="1023">
        <v>111</v>
      </c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1.6147622981366461</v>
      </c>
      <c r="O36" s="980">
        <f>O32/1000</f>
        <v>1.3424822971491226</v>
      </c>
    </row>
    <row r="37" spans="1:15" ht="20.25" thickBot="1">
      <c r="A37" s="104"/>
      <c r="B37" s="159"/>
      <c r="C37" s="1029"/>
      <c r="D37" s="1096"/>
      <c r="E37" s="1096"/>
      <c r="F37" s="1030"/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5</v>
      </c>
      <c r="B38" s="1032" t="s">
        <v>60</v>
      </c>
      <c r="C38" s="1033">
        <f>SUM(C33:C37,K33:K37)</f>
        <v>93</v>
      </c>
      <c r="D38" s="1523">
        <f>SUM(F33:F37,L33:L37)</f>
        <v>161</v>
      </c>
      <c r="E38" s="1524"/>
      <c r="F38" s="1525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8:F38"/>
    <mergeCell ref="D33:E37"/>
    <mergeCell ref="H33:J33"/>
    <mergeCell ref="M33:M35"/>
    <mergeCell ref="H34:J34"/>
    <mergeCell ref="H35:J35"/>
    <mergeCell ref="H36:J36"/>
    <mergeCell ref="H37:J37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38"/>
  <sheetViews>
    <sheetView topLeftCell="A14" workbookViewId="0">
      <selection activeCell="I8" sqref="I8:I31"/>
    </sheetView>
  </sheetViews>
  <sheetFormatPr defaultRowHeight="15"/>
  <cols>
    <col min="1" max="1" width="5.28515625" customWidth="1"/>
    <col min="2" max="2" width="27.140625" customWidth="1"/>
    <col min="3" max="3" width="9.5703125" customWidth="1"/>
    <col min="8" max="8" width="10.7109375" customWidth="1"/>
    <col min="10" max="10" width="11.42578125" customWidth="1"/>
    <col min="12" max="12" width="11.28515625" customWidth="1"/>
    <col min="13" max="13" width="12.85546875" customWidth="1"/>
    <col min="15" max="15" width="12.7109375" customWidth="1"/>
  </cols>
  <sheetData>
    <row r="1" spans="1:19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9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  <c r="Q2" s="1060"/>
    </row>
    <row r="3" spans="1:19" ht="20.25" thickBot="1">
      <c r="A3" s="1124" t="s">
        <v>2</v>
      </c>
      <c r="B3" s="1125"/>
      <c r="C3" s="1125"/>
      <c r="D3" s="1126"/>
      <c r="E3" s="3">
        <v>178</v>
      </c>
      <c r="F3" s="3">
        <v>2002</v>
      </c>
      <c r="G3" s="1526" t="s">
        <v>191</v>
      </c>
      <c r="H3" s="1527"/>
      <c r="I3" s="1129" t="s">
        <v>188</v>
      </c>
      <c r="J3" s="1130"/>
      <c r="K3" s="1130"/>
      <c r="L3" s="1130"/>
      <c r="M3" s="1130"/>
      <c r="N3" s="1130"/>
      <c r="O3" s="1131"/>
      <c r="Q3" s="1061"/>
    </row>
    <row r="4" spans="1:19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9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9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9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9" ht="16.5" thickBot="1">
      <c r="A8" s="20">
        <v>1</v>
      </c>
      <c r="B8" s="933" t="s">
        <v>32</v>
      </c>
      <c r="C8" s="22">
        <v>27250</v>
      </c>
      <c r="D8" s="23"/>
      <c r="E8" s="22">
        <v>20000</v>
      </c>
      <c r="F8" s="22">
        <v>7550</v>
      </c>
      <c r="G8" s="24">
        <f>'14-08-2026'!G8+'15-08-2026'!F8</f>
        <v>51600</v>
      </c>
      <c r="H8" s="25">
        <f>F8/E3</f>
        <v>42.415730337078649</v>
      </c>
      <c r="I8" s="22">
        <f t="shared" ref="I8:I31" si="0">(C8-F8)+D8</f>
        <v>19700</v>
      </c>
      <c r="J8" s="26">
        <f>G8/F3</f>
        <v>25.774225774225773</v>
      </c>
      <c r="K8" s="24">
        <v>36000</v>
      </c>
      <c r="L8" s="27">
        <f t="shared" ref="L8:L31" si="1">(F8/1000)*K8</f>
        <v>271800</v>
      </c>
      <c r="M8" s="28">
        <f t="shared" ref="M8:M31" si="2">(G8/1000)*K8</f>
        <v>1857600</v>
      </c>
      <c r="N8" s="29">
        <f>L8/E3</f>
        <v>1526.9662921348315</v>
      </c>
      <c r="O8" s="30">
        <f>M8/F3</f>
        <v>927.87212787212786</v>
      </c>
    </row>
    <row r="9" spans="1:19" ht="16.5" thickBot="1">
      <c r="A9" s="31">
        <v>2</v>
      </c>
      <c r="B9" s="817" t="s">
        <v>33</v>
      </c>
      <c r="C9" s="33">
        <v>14773</v>
      </c>
      <c r="D9" s="34"/>
      <c r="E9" s="33">
        <v>15000</v>
      </c>
      <c r="F9" s="33">
        <v>225</v>
      </c>
      <c r="G9" s="24">
        <f>'14-08-2026'!G9+'15-08-2026'!F9</f>
        <v>3022</v>
      </c>
      <c r="H9" s="36">
        <f>F9/E3</f>
        <v>1.2640449438202248</v>
      </c>
      <c r="I9" s="33">
        <f t="shared" si="0"/>
        <v>14548</v>
      </c>
      <c r="J9" s="37">
        <f>G9/F3</f>
        <v>1.5094905094905096</v>
      </c>
      <c r="K9" s="35">
        <v>33500</v>
      </c>
      <c r="L9" s="38">
        <f t="shared" si="1"/>
        <v>7537.5</v>
      </c>
      <c r="M9" s="38">
        <f t="shared" si="2"/>
        <v>101237</v>
      </c>
      <c r="N9" s="39">
        <f>L9/E3</f>
        <v>42.34550561797753</v>
      </c>
      <c r="O9" s="40">
        <f>M9/F3</f>
        <v>50.56793206793207</v>
      </c>
      <c r="Q9" s="149"/>
    </row>
    <row r="10" spans="1:19" ht="16.5" thickBot="1">
      <c r="A10" s="31">
        <v>3</v>
      </c>
      <c r="B10" s="817" t="s">
        <v>34</v>
      </c>
      <c r="C10" s="33">
        <v>3376</v>
      </c>
      <c r="D10" s="34"/>
      <c r="E10" s="33"/>
      <c r="F10" s="33">
        <v>88</v>
      </c>
      <c r="G10" s="24">
        <f>'14-08-2026'!G10+'15-08-2026'!F10</f>
        <v>1101</v>
      </c>
      <c r="H10" s="36">
        <f>F10/E3</f>
        <v>0.4943820224719101</v>
      </c>
      <c r="I10" s="33">
        <f t="shared" si="0"/>
        <v>3288</v>
      </c>
      <c r="J10" s="37">
        <f>G10/F3</f>
        <v>0.54995004995004992</v>
      </c>
      <c r="K10" s="35">
        <v>98000</v>
      </c>
      <c r="L10" s="38">
        <f t="shared" si="1"/>
        <v>8624</v>
      </c>
      <c r="M10" s="38">
        <f t="shared" si="2"/>
        <v>107898</v>
      </c>
      <c r="N10" s="39">
        <f>L10/E3</f>
        <v>48.449438202247194</v>
      </c>
      <c r="O10" s="40">
        <f>M10/F3</f>
        <v>53.895104895104893</v>
      </c>
      <c r="R10" s="1062"/>
      <c r="S10" s="149"/>
    </row>
    <row r="11" spans="1:19" ht="16.5" thickBot="1">
      <c r="A11" s="31">
        <v>4</v>
      </c>
      <c r="B11" s="817" t="s">
        <v>35</v>
      </c>
      <c r="C11" s="33">
        <v>16.593800000000005</v>
      </c>
      <c r="D11" s="34"/>
      <c r="E11" s="33"/>
      <c r="F11" s="1058">
        <v>0.29239999999999999</v>
      </c>
      <c r="G11" s="24">
        <f>'14-08-2026'!G11+'15-08-2026'!F11</f>
        <v>0.53859999999999997</v>
      </c>
      <c r="H11" s="42">
        <f>F11/E3</f>
        <v>1.6426966292134831E-3</v>
      </c>
      <c r="I11" s="33">
        <f t="shared" si="0"/>
        <v>16.301400000000005</v>
      </c>
      <c r="J11" s="43">
        <f>G11/F3</f>
        <v>2.6903096903096904E-4</v>
      </c>
      <c r="K11" s="35">
        <v>750000</v>
      </c>
      <c r="L11" s="38">
        <f t="shared" si="1"/>
        <v>219.3</v>
      </c>
      <c r="M11" s="38">
        <f t="shared" si="2"/>
        <v>403.95</v>
      </c>
      <c r="N11" s="39">
        <f>L11/E3</f>
        <v>1.2320224719101125</v>
      </c>
      <c r="O11" s="40">
        <f>M11/F3</f>
        <v>0.20177322677322676</v>
      </c>
    </row>
    <row r="12" spans="1:19" ht="16.5" thickBot="1">
      <c r="A12" s="31">
        <v>5</v>
      </c>
      <c r="B12" s="817" t="s">
        <v>36</v>
      </c>
      <c r="C12" s="33">
        <v>751.7</v>
      </c>
      <c r="D12" s="34"/>
      <c r="E12" s="33"/>
      <c r="F12" s="33">
        <v>21</v>
      </c>
      <c r="G12" s="24">
        <f>'14-08-2026'!G12+'15-08-2026'!F12</f>
        <v>214</v>
      </c>
      <c r="H12" s="36">
        <f>F12/E3</f>
        <v>0.11797752808988764</v>
      </c>
      <c r="I12" s="33">
        <f t="shared" si="0"/>
        <v>730.7</v>
      </c>
      <c r="J12" s="37">
        <f>G12/F3</f>
        <v>0.1068931068931069</v>
      </c>
      <c r="K12" s="35">
        <v>350000</v>
      </c>
      <c r="L12" s="38">
        <f t="shared" si="1"/>
        <v>7350.0000000000009</v>
      </c>
      <c r="M12" s="38">
        <f t="shared" si="2"/>
        <v>74900</v>
      </c>
      <c r="N12" s="39">
        <f>L12/E3</f>
        <v>41.292134831460679</v>
      </c>
      <c r="O12" s="40">
        <f>M12/F3</f>
        <v>37.412587412587413</v>
      </c>
      <c r="Q12" s="149"/>
    </row>
    <row r="13" spans="1:19" ht="16.5" thickBot="1">
      <c r="A13" s="31">
        <v>6</v>
      </c>
      <c r="B13" s="817" t="s">
        <v>37</v>
      </c>
      <c r="C13" s="33">
        <v>355</v>
      </c>
      <c r="D13" s="34"/>
      <c r="E13" s="33"/>
      <c r="F13" s="159">
        <v>50</v>
      </c>
      <c r="G13" s="24">
        <f>'14-08-2026'!G13+'15-08-2026'!F13</f>
        <v>635</v>
      </c>
      <c r="H13" s="36">
        <f>F13/E3</f>
        <v>0.2808988764044944</v>
      </c>
      <c r="I13" s="33">
        <f t="shared" si="0"/>
        <v>305</v>
      </c>
      <c r="J13" s="37">
        <f>G13/F3</f>
        <v>0.31718281718281716</v>
      </c>
      <c r="K13" s="35">
        <v>215000</v>
      </c>
      <c r="L13" s="38">
        <f t="shared" si="1"/>
        <v>10750</v>
      </c>
      <c r="M13" s="38">
        <f t="shared" si="2"/>
        <v>136525</v>
      </c>
      <c r="N13" s="39">
        <f>L13/E3</f>
        <v>60.393258426966291</v>
      </c>
      <c r="O13" s="40">
        <f>M13/F3</f>
        <v>68.194305694305697</v>
      </c>
      <c r="S13" s="1062"/>
    </row>
    <row r="14" spans="1:19" ht="16.5" thickBot="1">
      <c r="A14" s="31">
        <v>7</v>
      </c>
      <c r="B14" s="817" t="s">
        <v>38</v>
      </c>
      <c r="C14" s="33">
        <v>2504</v>
      </c>
      <c r="D14" s="34"/>
      <c r="E14" s="1016"/>
      <c r="F14" s="33">
        <v>54</v>
      </c>
      <c r="G14" s="24">
        <f>'14-08-2026'!G14+'15-08-2026'!F14</f>
        <v>708</v>
      </c>
      <c r="H14" s="1017">
        <f>F14/E3</f>
        <v>0.30337078651685395</v>
      </c>
      <c r="I14" s="33">
        <f t="shared" si="0"/>
        <v>2450</v>
      </c>
      <c r="J14" s="37">
        <f>G14/F3</f>
        <v>0.35364635364635366</v>
      </c>
      <c r="K14" s="35">
        <v>151000</v>
      </c>
      <c r="L14" s="38">
        <f t="shared" si="1"/>
        <v>8154</v>
      </c>
      <c r="M14" s="38">
        <f t="shared" si="2"/>
        <v>106908</v>
      </c>
      <c r="N14" s="39">
        <f>L14/E3</f>
        <v>45.80898876404494</v>
      </c>
      <c r="O14" s="40">
        <f>M14/F3</f>
        <v>53.400599400599404</v>
      </c>
      <c r="Q14" s="149"/>
    </row>
    <row r="15" spans="1:19" ht="16.5" thickBot="1">
      <c r="A15" s="31">
        <v>8</v>
      </c>
      <c r="B15" s="817" t="s">
        <v>39</v>
      </c>
      <c r="C15" s="33">
        <v>673</v>
      </c>
      <c r="D15" s="33"/>
      <c r="E15" s="33"/>
      <c r="F15" s="1018">
        <v>20</v>
      </c>
      <c r="G15" s="24">
        <f>'14-08-2026'!G15+'15-08-2026'!F15</f>
        <v>245</v>
      </c>
      <c r="H15" s="36">
        <f>F15/E3</f>
        <v>0.11235955056179775</v>
      </c>
      <c r="I15" s="33">
        <f t="shared" si="0"/>
        <v>653</v>
      </c>
      <c r="J15" s="37">
        <f>G15/F3</f>
        <v>0.12237762237762238</v>
      </c>
      <c r="K15" s="35">
        <v>255000</v>
      </c>
      <c r="L15" s="38">
        <f t="shared" si="1"/>
        <v>5100</v>
      </c>
      <c r="M15" s="38">
        <f t="shared" si="2"/>
        <v>62475</v>
      </c>
      <c r="N15" s="39">
        <f>L15/E3</f>
        <v>28.651685393258425</v>
      </c>
      <c r="O15" s="40">
        <f>M15/F3</f>
        <v>31.206293706293707</v>
      </c>
      <c r="Q15" s="149"/>
    </row>
    <row r="16" spans="1:19" ht="16.5" thickBot="1">
      <c r="A16" s="31">
        <v>9</v>
      </c>
      <c r="B16" s="817" t="s">
        <v>40</v>
      </c>
      <c r="C16" s="33">
        <v>13</v>
      </c>
      <c r="D16" s="34"/>
      <c r="E16" s="33"/>
      <c r="F16" s="33">
        <v>0</v>
      </c>
      <c r="G16" s="24">
        <f>'14-08-2026'!G16+'15-08-2026'!F16</f>
        <v>6</v>
      </c>
      <c r="H16" s="36">
        <f>F16/E3</f>
        <v>0</v>
      </c>
      <c r="I16" s="33">
        <f t="shared" si="0"/>
        <v>13</v>
      </c>
      <c r="J16" s="37">
        <f>G16/F3</f>
        <v>2.997002997002997E-3</v>
      </c>
      <c r="K16" s="35">
        <v>348200</v>
      </c>
      <c r="L16" s="38">
        <f t="shared" si="1"/>
        <v>0</v>
      </c>
      <c r="M16" s="44">
        <f t="shared" si="2"/>
        <v>2089.1999999999998</v>
      </c>
      <c r="N16" s="39">
        <f>L16/E3</f>
        <v>0</v>
      </c>
      <c r="O16" s="40">
        <f>M16/F3</f>
        <v>1.0435564435564435</v>
      </c>
      <c r="Q16" s="1063"/>
      <c r="S16" s="1062"/>
    </row>
    <row r="17" spans="1:18" ht="16.5" thickBot="1">
      <c r="A17" s="991">
        <v>10</v>
      </c>
      <c r="B17" s="992" t="s">
        <v>41</v>
      </c>
      <c r="C17" s="993">
        <v>2975</v>
      </c>
      <c r="D17" s="993"/>
      <c r="E17" s="993">
        <v>475</v>
      </c>
      <c r="F17" s="993">
        <v>0</v>
      </c>
      <c r="G17" s="24">
        <f>'14-08-2026'!G17+'15-08-2026'!F17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  <c r="Q17" s="116"/>
    </row>
    <row r="18" spans="1:18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'14-08-2026'!G18+'15-08-2026'!F18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  <c r="Q18" s="1063"/>
    </row>
    <row r="19" spans="1:18" ht="16.5" thickBot="1">
      <c r="A19" s="58">
        <v>12</v>
      </c>
      <c r="B19" s="843" t="s">
        <v>43</v>
      </c>
      <c r="C19" s="60">
        <v>104.19999999999999</v>
      </c>
      <c r="D19" s="61"/>
      <c r="E19" s="61"/>
      <c r="F19" s="62">
        <v>8.6</v>
      </c>
      <c r="G19" s="1055">
        <f>'14-08-2026'!G19+'15-08-2026'!F19</f>
        <v>108.8</v>
      </c>
      <c r="H19" s="64">
        <f>F19/E3</f>
        <v>4.8314606741573035E-2</v>
      </c>
      <c r="I19" s="65">
        <f t="shared" si="0"/>
        <v>95.6</v>
      </c>
      <c r="J19" s="66">
        <f>G19/F3</f>
        <v>5.4345654345654346E-2</v>
      </c>
      <c r="K19" s="60">
        <v>377600</v>
      </c>
      <c r="L19" s="67">
        <f t="shared" si="1"/>
        <v>3247.36</v>
      </c>
      <c r="M19" s="67">
        <f t="shared" si="2"/>
        <v>41082.879999999997</v>
      </c>
      <c r="N19" s="67">
        <f>L19/E3</f>
        <v>18.243595505617979</v>
      </c>
      <c r="O19" s="68">
        <f>M19/F3</f>
        <v>20.520919080919079</v>
      </c>
      <c r="R19" s="116"/>
    </row>
    <row r="20" spans="1:18" ht="16.5" thickBot="1">
      <c r="A20" s="58">
        <v>13</v>
      </c>
      <c r="B20" s="843" t="s">
        <v>44</v>
      </c>
      <c r="C20" s="60">
        <v>145.36200000000002</v>
      </c>
      <c r="D20" s="61"/>
      <c r="E20" s="61"/>
      <c r="F20" s="62">
        <v>11</v>
      </c>
      <c r="G20" s="1055">
        <f>'14-08-2026'!G20+'15-08-2026'!F20</f>
        <v>85.2</v>
      </c>
      <c r="H20" s="66">
        <f>F20/E3</f>
        <v>6.1797752808988762E-2</v>
      </c>
      <c r="I20" s="60">
        <f t="shared" si="0"/>
        <v>134.36200000000002</v>
      </c>
      <c r="J20" s="66">
        <f>G20/F3</f>
        <v>4.2557442557442558E-2</v>
      </c>
      <c r="K20" s="60">
        <v>271400</v>
      </c>
      <c r="L20" s="67">
        <f t="shared" si="1"/>
        <v>2985.3999999999996</v>
      </c>
      <c r="M20" s="67">
        <f t="shared" si="2"/>
        <v>23123.279999999999</v>
      </c>
      <c r="N20" s="67">
        <f>L20/E3</f>
        <v>16.771910112359549</v>
      </c>
      <c r="O20" s="68">
        <f>M20/F3</f>
        <v>11.550089910089909</v>
      </c>
    </row>
    <row r="21" spans="1:18" ht="16.5" thickBot="1">
      <c r="A21" s="58">
        <v>14</v>
      </c>
      <c r="B21" s="843" t="s">
        <v>45</v>
      </c>
      <c r="C21" s="60">
        <v>1865.1999999999998</v>
      </c>
      <c r="D21" s="61"/>
      <c r="E21" s="61"/>
      <c r="F21" s="62">
        <v>82.8</v>
      </c>
      <c r="G21" s="1055">
        <f>'14-08-2026'!G21+'15-08-2026'!F21</f>
        <v>946.19999999999993</v>
      </c>
      <c r="H21" s="66">
        <f>F21/E3</f>
        <v>0.46516853932584268</v>
      </c>
      <c r="I21" s="65">
        <f t="shared" si="0"/>
        <v>1782.3999999999999</v>
      </c>
      <c r="J21" s="66">
        <f>G21/F3</f>
        <v>0.47262737262737259</v>
      </c>
      <c r="K21" s="60">
        <v>271400</v>
      </c>
      <c r="L21" s="67">
        <f t="shared" si="1"/>
        <v>22471.919999999998</v>
      </c>
      <c r="M21" s="67">
        <f t="shared" si="2"/>
        <v>256798.68</v>
      </c>
      <c r="N21" s="67">
        <f>L21/E3</f>
        <v>126.2467415730337</v>
      </c>
      <c r="O21" s="68">
        <f>M21/F3</f>
        <v>128.27106893106892</v>
      </c>
    </row>
    <row r="22" spans="1:18" ht="16.5" thickBot="1">
      <c r="A22" s="69">
        <v>15</v>
      </c>
      <c r="B22" s="853" t="s">
        <v>46</v>
      </c>
      <c r="C22" s="71">
        <v>44</v>
      </c>
      <c r="D22" s="72"/>
      <c r="E22" s="72"/>
      <c r="F22" s="34">
        <v>0</v>
      </c>
      <c r="G22" s="24">
        <f>'14-08-2026'!G22+'15-08-2026'!F22</f>
        <v>18</v>
      </c>
      <c r="H22" s="73">
        <f>F22/E3</f>
        <v>0</v>
      </c>
      <c r="I22" s="34">
        <f t="shared" si="0"/>
        <v>44</v>
      </c>
      <c r="J22" s="73">
        <f>G22/F3</f>
        <v>8.9910089910089919E-3</v>
      </c>
      <c r="K22" s="34">
        <v>41000</v>
      </c>
      <c r="L22" s="44">
        <f t="shared" si="1"/>
        <v>0</v>
      </c>
      <c r="M22" s="44">
        <f t="shared" si="2"/>
        <v>738</v>
      </c>
      <c r="N22" s="74">
        <f>L22/E3</f>
        <v>0</v>
      </c>
      <c r="O22" s="75">
        <f>M22/F3</f>
        <v>0.36863136863136864</v>
      </c>
    </row>
    <row r="23" spans="1:18" ht="16.5" thickBot="1">
      <c r="A23" s="69">
        <v>16</v>
      </c>
      <c r="B23" s="234" t="s">
        <v>47</v>
      </c>
      <c r="C23" s="71">
        <v>73.399999999999977</v>
      </c>
      <c r="D23" s="72"/>
      <c r="E23" s="34"/>
      <c r="F23" s="34">
        <v>14.4</v>
      </c>
      <c r="G23" s="24">
        <f>'14-08-2026'!G23+'15-08-2026'!F23</f>
        <v>235.20000000000002</v>
      </c>
      <c r="H23" s="73">
        <f>F23/E3</f>
        <v>8.0898876404494391E-2</v>
      </c>
      <c r="I23" s="34">
        <f t="shared" si="0"/>
        <v>58.999999999999979</v>
      </c>
      <c r="J23" s="73">
        <f>G23/F3</f>
        <v>0.11748251748251749</v>
      </c>
      <c r="K23" s="34">
        <v>24000</v>
      </c>
      <c r="L23" s="44">
        <f t="shared" si="1"/>
        <v>345.59999999999997</v>
      </c>
      <c r="M23" s="44">
        <f t="shared" si="2"/>
        <v>5644.8</v>
      </c>
      <c r="N23" s="74">
        <f>L23/E3</f>
        <v>1.9415730337078649</v>
      </c>
      <c r="O23" s="75">
        <f>M23/F3</f>
        <v>2.8195804195804195</v>
      </c>
    </row>
    <row r="24" spans="1:18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'14-08-2026'!G24+'15-08-2026'!F24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8" ht="16.5" thickBot="1">
      <c r="A25" s="69">
        <v>18</v>
      </c>
      <c r="B25" s="853" t="s">
        <v>49</v>
      </c>
      <c r="C25" s="71">
        <v>285</v>
      </c>
      <c r="D25" s="71"/>
      <c r="E25" s="34">
        <v>300</v>
      </c>
      <c r="F25" s="34">
        <v>5</v>
      </c>
      <c r="G25" s="24">
        <f>'14-08-2026'!G25+'15-08-2026'!F25</f>
        <v>70</v>
      </c>
      <c r="H25" s="73">
        <f>F25/E3</f>
        <v>2.8089887640449437E-2</v>
      </c>
      <c r="I25" s="34">
        <f t="shared" si="0"/>
        <v>280</v>
      </c>
      <c r="J25" s="73">
        <f>G25/F3</f>
        <v>3.4965034965034968E-2</v>
      </c>
      <c r="K25" s="34">
        <v>14400</v>
      </c>
      <c r="L25" s="44">
        <f t="shared" si="1"/>
        <v>72</v>
      </c>
      <c r="M25" s="44">
        <f t="shared" si="2"/>
        <v>1008.0000000000001</v>
      </c>
      <c r="N25" s="74">
        <f>L25/E3</f>
        <v>0.4044943820224719</v>
      </c>
      <c r="O25" s="75">
        <f>M25/F3</f>
        <v>0.50349650349650354</v>
      </c>
    </row>
    <row r="26" spans="1:18" ht="16.5" thickBot="1">
      <c r="A26" s="69">
        <v>19</v>
      </c>
      <c r="B26" s="853" t="s">
        <v>50</v>
      </c>
      <c r="C26" s="71">
        <v>184</v>
      </c>
      <c r="D26" s="34"/>
      <c r="E26" s="71">
        <v>150</v>
      </c>
      <c r="F26" s="34">
        <v>3.5</v>
      </c>
      <c r="G26" s="24">
        <f>'14-08-2026'!G26+'15-08-2026'!F26</f>
        <v>50</v>
      </c>
      <c r="H26" s="73">
        <f>F26/E3</f>
        <v>1.9662921348314606E-2</v>
      </c>
      <c r="I26" s="34">
        <f t="shared" si="0"/>
        <v>180.5</v>
      </c>
      <c r="J26" s="73">
        <f>G26/F3</f>
        <v>2.4975024975024976E-2</v>
      </c>
      <c r="K26" s="34">
        <v>102000</v>
      </c>
      <c r="L26" s="44">
        <f t="shared" si="1"/>
        <v>357</v>
      </c>
      <c r="M26" s="44">
        <f t="shared" si="2"/>
        <v>5100</v>
      </c>
      <c r="N26" s="74">
        <f>L26/E3</f>
        <v>2.00561797752809</v>
      </c>
      <c r="O26" s="75">
        <f>M26/F3</f>
        <v>2.5474525474525476</v>
      </c>
    </row>
    <row r="27" spans="1:18" ht="16.5" thickBot="1">
      <c r="A27" s="69">
        <v>20</v>
      </c>
      <c r="B27" s="853" t="s">
        <v>51</v>
      </c>
      <c r="C27" s="71">
        <v>285</v>
      </c>
      <c r="D27" s="71"/>
      <c r="E27" s="71">
        <v>300</v>
      </c>
      <c r="F27" s="34">
        <v>5</v>
      </c>
      <c r="G27" s="24">
        <f>'14-08-2026'!G27+'15-08-2026'!F27</f>
        <v>70</v>
      </c>
      <c r="H27" s="73">
        <f>F27/E3</f>
        <v>2.8089887640449437E-2</v>
      </c>
      <c r="I27" s="34">
        <f t="shared" si="0"/>
        <v>280</v>
      </c>
      <c r="J27" s="73">
        <f>G27/F3</f>
        <v>3.4965034965034968E-2</v>
      </c>
      <c r="K27" s="34">
        <v>107000</v>
      </c>
      <c r="L27" s="44">
        <f t="shared" si="1"/>
        <v>535</v>
      </c>
      <c r="M27" s="44">
        <f t="shared" si="2"/>
        <v>7490.0000000000009</v>
      </c>
      <c r="N27" s="74">
        <f>L27/E3</f>
        <v>3.00561797752809</v>
      </c>
      <c r="O27" s="75">
        <f>M27/F3</f>
        <v>3.7412587412587417</v>
      </c>
    </row>
    <row r="28" spans="1:18" ht="16.5" thickBot="1">
      <c r="A28" s="69">
        <v>21</v>
      </c>
      <c r="B28" s="234" t="s">
        <v>52</v>
      </c>
      <c r="C28" s="71">
        <v>216</v>
      </c>
      <c r="D28" s="71"/>
      <c r="E28" s="71">
        <v>175</v>
      </c>
      <c r="F28" s="34">
        <v>3</v>
      </c>
      <c r="G28" s="24">
        <f>'14-08-2026'!G28+'15-08-2026'!F28</f>
        <v>42</v>
      </c>
      <c r="H28" s="73">
        <f>F28/E3</f>
        <v>1.6853932584269662E-2</v>
      </c>
      <c r="I28" s="34">
        <f t="shared" si="0"/>
        <v>213</v>
      </c>
      <c r="J28" s="73">
        <f>G28/F3</f>
        <v>2.097902097902098E-2</v>
      </c>
      <c r="K28" s="34">
        <v>100000</v>
      </c>
      <c r="L28" s="44">
        <f t="shared" si="1"/>
        <v>300</v>
      </c>
      <c r="M28" s="44">
        <f t="shared" si="2"/>
        <v>4200</v>
      </c>
      <c r="N28" s="74">
        <f>L28/E3</f>
        <v>1.6853932584269662</v>
      </c>
      <c r="O28" s="75">
        <f>M28/F3</f>
        <v>2.0979020979020979</v>
      </c>
    </row>
    <row r="29" spans="1:18" ht="16.5" thickBot="1">
      <c r="A29" s="69">
        <v>22</v>
      </c>
      <c r="B29" s="853" t="s">
        <v>53</v>
      </c>
      <c r="C29" s="71">
        <v>69</v>
      </c>
      <c r="D29" s="71"/>
      <c r="E29" s="71">
        <v>50</v>
      </c>
      <c r="F29" s="34">
        <v>1</v>
      </c>
      <c r="G29" s="24">
        <f>'14-08-2026'!G29+'15-08-2026'!F29</f>
        <v>14</v>
      </c>
      <c r="H29" s="73">
        <f>F29/E3</f>
        <v>5.6179775280898875E-3</v>
      </c>
      <c r="I29" s="34">
        <f t="shared" si="0"/>
        <v>68</v>
      </c>
      <c r="J29" s="73">
        <f>G29/F3</f>
        <v>6.993006993006993E-3</v>
      </c>
      <c r="K29" s="34">
        <v>255000</v>
      </c>
      <c r="L29" s="44">
        <f t="shared" si="1"/>
        <v>255</v>
      </c>
      <c r="M29" s="44">
        <f t="shared" si="2"/>
        <v>3570</v>
      </c>
      <c r="N29" s="74">
        <f>L29/E3</f>
        <v>1.4325842696629214</v>
      </c>
      <c r="O29" s="1047">
        <f>M29/F3</f>
        <v>1.7832167832167831</v>
      </c>
    </row>
    <row r="30" spans="1:18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'14-08-2026'!G30+'15-08-2026'!F30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8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'14-08-2026'!G31+'15-08-2026'!F31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8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1966.8768539325843</v>
      </c>
      <c r="O32" s="985">
        <f>SUM(O8,O9,O10,O11,O12,O13,O14,O15,O16,O17,O18,O19,O20,O21,O22,O23,O24,O25,O26,O27,O28,O29,O30,O31,)</f>
        <v>1397.9978971028972</v>
      </c>
    </row>
    <row r="33" spans="1:15" ht="16.5" thickBot="1">
      <c r="A33" s="1035">
        <v>1</v>
      </c>
      <c r="B33" s="1036" t="s">
        <v>189</v>
      </c>
      <c r="C33" s="1037">
        <v>10</v>
      </c>
      <c r="D33" s="1096"/>
      <c r="E33" s="1096"/>
      <c r="F33" s="1034">
        <v>17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36" t="s">
        <v>134</v>
      </c>
      <c r="C34" s="966">
        <v>15</v>
      </c>
      <c r="D34" s="1096"/>
      <c r="E34" s="1096"/>
      <c r="F34" s="1023">
        <v>25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>
        <v>3</v>
      </c>
      <c r="B35" s="1036" t="s">
        <v>190</v>
      </c>
      <c r="C35" s="967">
        <v>19</v>
      </c>
      <c r="D35" s="1096"/>
      <c r="E35" s="1096"/>
      <c r="F35" s="1024">
        <v>33</v>
      </c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>
        <v>4</v>
      </c>
      <c r="B36" s="1036" t="s">
        <v>135</v>
      </c>
      <c r="C36" s="1028">
        <v>19</v>
      </c>
      <c r="D36" s="1096"/>
      <c r="E36" s="1096"/>
      <c r="F36" s="1023">
        <v>33</v>
      </c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1.9668768539325843</v>
      </c>
      <c r="O36" s="980">
        <f>O32/1000</f>
        <v>1.3979978971028972</v>
      </c>
    </row>
    <row r="37" spans="1:15" ht="20.25" thickBot="1">
      <c r="A37" s="104">
        <v>5</v>
      </c>
      <c r="B37" s="1036" t="s">
        <v>136</v>
      </c>
      <c r="C37" s="1029">
        <v>41</v>
      </c>
      <c r="D37" s="1096"/>
      <c r="E37" s="1096"/>
      <c r="F37" s="1030">
        <v>70</v>
      </c>
      <c r="G37" s="1022"/>
      <c r="H37" s="1103"/>
      <c r="I37" s="1103"/>
      <c r="J37" s="1103"/>
      <c r="K37" s="1022"/>
      <c r="L37" s="1025"/>
      <c r="M37" s="1"/>
      <c r="N37" s="1"/>
      <c r="O37" s="1"/>
    </row>
    <row r="38" spans="1:15" ht="23.25" thickBot="1">
      <c r="A38" s="1031">
        <v>6</v>
      </c>
      <c r="B38" s="1032" t="s">
        <v>60</v>
      </c>
      <c r="C38" s="1033">
        <f>SUM(C33:C37,K33:K37)</f>
        <v>104</v>
      </c>
      <c r="D38" s="1523">
        <f>SUM(F33:F37,L33:L37)</f>
        <v>178</v>
      </c>
      <c r="E38" s="1524"/>
      <c r="F38" s="1525"/>
    </row>
  </sheetData>
  <mergeCells count="22">
    <mergeCell ref="D38:F38"/>
    <mergeCell ref="D33:E37"/>
    <mergeCell ref="H33:J33"/>
    <mergeCell ref="M33:M35"/>
    <mergeCell ref="H34:J34"/>
    <mergeCell ref="H35:J35"/>
    <mergeCell ref="H36:J36"/>
    <mergeCell ref="H37:J37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15748031496062992" right="0.11811023622047245" top="1.06" bottom="0.19685039370078741" header="0.31496062992125984" footer="0.15748031496062992"/>
  <pageSetup scale="80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39"/>
  <sheetViews>
    <sheetView topLeftCell="A10" workbookViewId="0">
      <selection activeCell="G10" sqref="G10"/>
    </sheetView>
  </sheetViews>
  <sheetFormatPr defaultRowHeight="15"/>
  <cols>
    <col min="1" max="1" width="5.28515625" customWidth="1"/>
    <col min="2" max="2" width="27.140625" customWidth="1"/>
    <col min="3" max="3" width="9.5703125" customWidth="1"/>
    <col min="8" max="8" width="10.7109375" customWidth="1"/>
    <col min="10" max="10" width="11.42578125" customWidth="1"/>
    <col min="12" max="12" width="11.28515625" customWidth="1"/>
    <col min="13" max="13" width="12.85546875" customWidth="1"/>
    <col min="15" max="15" width="12.7109375" customWidth="1"/>
  </cols>
  <sheetData>
    <row r="1" spans="1:19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9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  <c r="Q2" s="1060"/>
    </row>
    <row r="3" spans="1:19" ht="20.25" thickBot="1">
      <c r="A3" s="1124" t="s">
        <v>2</v>
      </c>
      <c r="B3" s="1125"/>
      <c r="C3" s="1125"/>
      <c r="D3" s="1126"/>
      <c r="E3" s="3">
        <v>171</v>
      </c>
      <c r="F3" s="3">
        <v>2173</v>
      </c>
      <c r="G3" s="1526" t="s">
        <v>193</v>
      </c>
      <c r="H3" s="1527"/>
      <c r="I3" s="1129" t="s">
        <v>192</v>
      </c>
      <c r="J3" s="1130"/>
      <c r="K3" s="1130"/>
      <c r="L3" s="1130"/>
      <c r="M3" s="1130"/>
      <c r="N3" s="1130"/>
      <c r="O3" s="1131"/>
      <c r="Q3" s="1061"/>
    </row>
    <row r="4" spans="1:19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9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</row>
    <row r="6" spans="1:19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9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9" ht="16.5" thickBot="1">
      <c r="A8" s="20">
        <v>1</v>
      </c>
      <c r="B8" s="933" t="s">
        <v>32</v>
      </c>
      <c r="C8" s="22">
        <v>19700</v>
      </c>
      <c r="D8" s="23"/>
      <c r="E8" s="22">
        <v>20000</v>
      </c>
      <c r="F8" s="22">
        <v>6900</v>
      </c>
      <c r="G8" s="24">
        <f>'15-08-2026'!G8+'16.08.2026'!F8</f>
        <v>58500</v>
      </c>
      <c r="H8" s="25">
        <f>F8/E3</f>
        <v>40.350877192982459</v>
      </c>
      <c r="I8" s="22">
        <f t="shared" ref="I8:I31" si="0">(C8-F8)+D8</f>
        <v>12800</v>
      </c>
      <c r="J8" s="26">
        <f>G8/F3</f>
        <v>26.921306948918545</v>
      </c>
      <c r="K8" s="24">
        <v>36000</v>
      </c>
      <c r="L8" s="27">
        <f t="shared" ref="L8:L31" si="1">(F8/1000)*K8</f>
        <v>248400</v>
      </c>
      <c r="M8" s="28">
        <f t="shared" ref="M8:M31" si="2">(G8/1000)*K8</f>
        <v>2106000</v>
      </c>
      <c r="N8" s="29">
        <f>L8/E3</f>
        <v>1452.6315789473683</v>
      </c>
      <c r="O8" s="30">
        <f>M8/F3</f>
        <v>969.16705016106766</v>
      </c>
    </row>
    <row r="9" spans="1:19" ht="16.5" thickBot="1">
      <c r="A9" s="31">
        <v>2</v>
      </c>
      <c r="B9" s="817" t="s">
        <v>33</v>
      </c>
      <c r="C9" s="33">
        <v>14548</v>
      </c>
      <c r="D9" s="34"/>
      <c r="E9" s="33">
        <v>15000</v>
      </c>
      <c r="F9" s="33">
        <v>235</v>
      </c>
      <c r="G9" s="24">
        <f>'15-08-2026'!G9+'16.08.2026'!F9</f>
        <v>3257</v>
      </c>
      <c r="H9" s="36">
        <f>F9/E3</f>
        <v>1.3742690058479532</v>
      </c>
      <c r="I9" s="33">
        <f t="shared" si="0"/>
        <v>14313</v>
      </c>
      <c r="J9" s="37">
        <f>G9/F3</f>
        <v>1.4988495167970548</v>
      </c>
      <c r="K9" s="35">
        <v>33500</v>
      </c>
      <c r="L9" s="38">
        <f t="shared" si="1"/>
        <v>7872.5</v>
      </c>
      <c r="M9" s="38">
        <f t="shared" si="2"/>
        <v>109109.5</v>
      </c>
      <c r="N9" s="39">
        <f>L9/E3</f>
        <v>46.038011695906434</v>
      </c>
      <c r="O9" s="40">
        <f>M9/F3</f>
        <v>50.211458812701338</v>
      </c>
      <c r="Q9" s="149"/>
    </row>
    <row r="10" spans="1:19" ht="16.5" thickBot="1">
      <c r="A10" s="31">
        <v>3</v>
      </c>
      <c r="B10" s="817" t="s">
        <v>34</v>
      </c>
      <c r="C10" s="33">
        <v>3288</v>
      </c>
      <c r="D10" s="34"/>
      <c r="E10" s="33"/>
      <c r="F10" s="33">
        <v>86</v>
      </c>
      <c r="G10" s="24">
        <f>'15-08-2026'!G10+'16.08.2026'!F10</f>
        <v>1187</v>
      </c>
      <c r="H10" s="36">
        <f>F10/E3</f>
        <v>0.50292397660818711</v>
      </c>
      <c r="I10" s="33">
        <f t="shared" si="0"/>
        <v>3202</v>
      </c>
      <c r="J10" s="37">
        <f>G10/F3</f>
        <v>0.54624942475839855</v>
      </c>
      <c r="K10" s="35">
        <v>98000</v>
      </c>
      <c r="L10" s="38">
        <f t="shared" si="1"/>
        <v>8428</v>
      </c>
      <c r="M10" s="38">
        <f t="shared" si="2"/>
        <v>116326</v>
      </c>
      <c r="N10" s="39">
        <f>L10/E3</f>
        <v>49.28654970760234</v>
      </c>
      <c r="O10" s="40">
        <f>M10/F3</f>
        <v>53.532443626323058</v>
      </c>
      <c r="R10" s="1062"/>
      <c r="S10" s="149"/>
    </row>
    <row r="11" spans="1:19" ht="16.5" thickBot="1">
      <c r="A11" s="31">
        <v>4</v>
      </c>
      <c r="B11" s="817" t="s">
        <v>35</v>
      </c>
      <c r="C11" s="33">
        <v>16.301400000000005</v>
      </c>
      <c r="D11" s="34"/>
      <c r="E11" s="33"/>
      <c r="F11" s="1058">
        <v>0.23699999999999999</v>
      </c>
      <c r="G11" s="1057">
        <f>'15-08-2026'!G11+'16.08.2026'!F11</f>
        <v>0.77559999999999996</v>
      </c>
      <c r="H11" s="42">
        <f>F11/E3</f>
        <v>1.3859649122807017E-3</v>
      </c>
      <c r="I11" s="33">
        <f t="shared" si="0"/>
        <v>16.064400000000006</v>
      </c>
      <c r="J11" s="43">
        <f>G11/F3</f>
        <v>3.5692590888173031E-4</v>
      </c>
      <c r="K11" s="35">
        <v>750000</v>
      </c>
      <c r="L11" s="38">
        <f t="shared" si="1"/>
        <v>177.75</v>
      </c>
      <c r="M11" s="38">
        <f t="shared" si="2"/>
        <v>581.70000000000005</v>
      </c>
      <c r="N11" s="39">
        <f>L11/E3</f>
        <v>1.0394736842105263</v>
      </c>
      <c r="O11" s="40">
        <f>M11/F3</f>
        <v>0.26769443166129775</v>
      </c>
    </row>
    <row r="12" spans="1:19" ht="16.5" thickBot="1">
      <c r="A12" s="31">
        <v>5</v>
      </c>
      <c r="B12" s="817" t="s">
        <v>36</v>
      </c>
      <c r="C12" s="33">
        <v>730.7</v>
      </c>
      <c r="D12" s="34"/>
      <c r="E12" s="33"/>
      <c r="F12" s="33">
        <v>18</v>
      </c>
      <c r="G12" s="24">
        <f>'15-08-2026'!G12+'16.08.2026'!F12</f>
        <v>232</v>
      </c>
      <c r="H12" s="36">
        <f>F12/E3</f>
        <v>0.10526315789473684</v>
      </c>
      <c r="I12" s="33">
        <f t="shared" si="0"/>
        <v>712.7</v>
      </c>
      <c r="J12" s="37">
        <f>G12/F3</f>
        <v>0.10676484123331799</v>
      </c>
      <c r="K12" s="35">
        <v>350000</v>
      </c>
      <c r="L12" s="38">
        <f t="shared" si="1"/>
        <v>6299.9999999999991</v>
      </c>
      <c r="M12" s="38">
        <f t="shared" si="2"/>
        <v>81200</v>
      </c>
      <c r="N12" s="39">
        <f>L12/E3</f>
        <v>36.84210526315789</v>
      </c>
      <c r="O12" s="40">
        <f>M12/F3</f>
        <v>37.367694431661299</v>
      </c>
      <c r="Q12" s="149"/>
    </row>
    <row r="13" spans="1:19" ht="16.5" thickBot="1">
      <c r="A13" s="31">
        <v>6</v>
      </c>
      <c r="B13" s="817" t="s">
        <v>37</v>
      </c>
      <c r="C13" s="33">
        <v>305</v>
      </c>
      <c r="D13" s="34"/>
      <c r="E13" s="33"/>
      <c r="F13" s="159">
        <v>40</v>
      </c>
      <c r="G13" s="24">
        <f>'15-08-2026'!G13+'16.08.2026'!F13</f>
        <v>675</v>
      </c>
      <c r="H13" s="36">
        <f>F13/E3</f>
        <v>0.23391812865497075</v>
      </c>
      <c r="I13" s="33">
        <f t="shared" si="0"/>
        <v>265</v>
      </c>
      <c r="J13" s="37">
        <f>G13/F3</f>
        <v>0.310630464795214</v>
      </c>
      <c r="K13" s="35">
        <v>215000</v>
      </c>
      <c r="L13" s="38">
        <f t="shared" si="1"/>
        <v>8600</v>
      </c>
      <c r="M13" s="38">
        <f t="shared" si="2"/>
        <v>145125</v>
      </c>
      <c r="N13" s="39">
        <f>L13/E3</f>
        <v>50.292397660818715</v>
      </c>
      <c r="O13" s="40">
        <f>M13/F3</f>
        <v>66.785549930971001</v>
      </c>
      <c r="S13" s="1062"/>
    </row>
    <row r="14" spans="1:19" ht="16.5" thickBot="1">
      <c r="A14" s="31">
        <v>7</v>
      </c>
      <c r="B14" s="817" t="s">
        <v>38</v>
      </c>
      <c r="C14" s="33">
        <v>2450</v>
      </c>
      <c r="D14" s="34"/>
      <c r="E14" s="1016"/>
      <c r="F14" s="33">
        <v>54</v>
      </c>
      <c r="G14" s="24">
        <f>'15-08-2026'!G14+'16.08.2026'!F14</f>
        <v>762</v>
      </c>
      <c r="H14" s="1017">
        <f>F14/E3</f>
        <v>0.31578947368421051</v>
      </c>
      <c r="I14" s="33">
        <f t="shared" si="0"/>
        <v>2396</v>
      </c>
      <c r="J14" s="37">
        <f>G14/F3</f>
        <v>0.35066728025770821</v>
      </c>
      <c r="K14" s="35">
        <v>151000</v>
      </c>
      <c r="L14" s="38">
        <f t="shared" si="1"/>
        <v>8154</v>
      </c>
      <c r="M14" s="38">
        <f t="shared" si="2"/>
        <v>115062</v>
      </c>
      <c r="N14" s="39">
        <f>L14/E3</f>
        <v>47.684210526315788</v>
      </c>
      <c r="O14" s="40">
        <f>M14/F3</f>
        <v>52.950759318913946</v>
      </c>
      <c r="Q14" s="149"/>
    </row>
    <row r="15" spans="1:19" ht="16.5" thickBot="1">
      <c r="A15" s="31">
        <v>8</v>
      </c>
      <c r="B15" s="817" t="s">
        <v>39</v>
      </c>
      <c r="C15" s="33">
        <v>653</v>
      </c>
      <c r="D15" s="33"/>
      <c r="E15" s="33"/>
      <c r="F15" s="1018">
        <v>20</v>
      </c>
      <c r="G15" s="24">
        <f>'15-08-2026'!G15+'16.08.2026'!F15</f>
        <v>265</v>
      </c>
      <c r="H15" s="36">
        <f>F15/E3</f>
        <v>0.11695906432748537</v>
      </c>
      <c r="I15" s="33">
        <f t="shared" si="0"/>
        <v>633</v>
      </c>
      <c r="J15" s="37">
        <f>G15/F3</f>
        <v>0.12195121951219512</v>
      </c>
      <c r="K15" s="35">
        <v>255000</v>
      </c>
      <c r="L15" s="38">
        <f t="shared" si="1"/>
        <v>5100</v>
      </c>
      <c r="M15" s="38">
        <f t="shared" si="2"/>
        <v>67575</v>
      </c>
      <c r="N15" s="39">
        <f>L15/E3</f>
        <v>29.82456140350877</v>
      </c>
      <c r="O15" s="40">
        <f>M15/F3</f>
        <v>31.097560975609756</v>
      </c>
      <c r="Q15" s="149"/>
    </row>
    <row r="16" spans="1:19" ht="16.5" thickBot="1">
      <c r="A16" s="31">
        <v>9</v>
      </c>
      <c r="B16" s="817" t="s">
        <v>40</v>
      </c>
      <c r="C16" s="33">
        <v>13</v>
      </c>
      <c r="D16" s="34"/>
      <c r="E16" s="33"/>
      <c r="F16" s="33">
        <v>0</v>
      </c>
      <c r="G16" s="24">
        <f>'15-08-2026'!G16+'16.08.2026'!F16</f>
        <v>6</v>
      </c>
      <c r="H16" s="36">
        <f>F16/E3</f>
        <v>0</v>
      </c>
      <c r="I16" s="33">
        <f t="shared" si="0"/>
        <v>13</v>
      </c>
      <c r="J16" s="37">
        <f>G16/F3</f>
        <v>2.7611596870685687E-3</v>
      </c>
      <c r="K16" s="35">
        <v>348200</v>
      </c>
      <c r="L16" s="38">
        <f t="shared" si="1"/>
        <v>0</v>
      </c>
      <c r="M16" s="44">
        <f t="shared" si="2"/>
        <v>2089.1999999999998</v>
      </c>
      <c r="N16" s="39">
        <f>L16/E3</f>
        <v>0</v>
      </c>
      <c r="O16" s="40">
        <f>M16/F3</f>
        <v>0.9614358030372756</v>
      </c>
      <c r="Q16" s="1063"/>
      <c r="S16" s="1062"/>
    </row>
    <row r="17" spans="1:18" ht="16.5" thickBot="1">
      <c r="A17" s="991">
        <v>10</v>
      </c>
      <c r="B17" s="992" t="s">
        <v>41</v>
      </c>
      <c r="C17" s="993">
        <v>2975</v>
      </c>
      <c r="D17" s="993"/>
      <c r="E17" s="993">
        <v>475</v>
      </c>
      <c r="F17" s="993">
        <v>0</v>
      </c>
      <c r="G17" s="24">
        <f>'15-08-2026'!G17+'16.08.2026'!F17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  <c r="Q17" s="116"/>
    </row>
    <row r="18" spans="1:18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'15-08-2026'!G18+'16.08.2026'!F18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  <c r="Q18" s="1063"/>
    </row>
    <row r="19" spans="1:18" ht="16.5" thickBot="1">
      <c r="A19" s="58">
        <v>12</v>
      </c>
      <c r="B19" s="843" t="s">
        <v>43</v>
      </c>
      <c r="C19" s="60">
        <v>95.6</v>
      </c>
      <c r="D19" s="61"/>
      <c r="E19" s="61"/>
      <c r="F19" s="62">
        <v>9</v>
      </c>
      <c r="G19" s="24">
        <f>'15-08-2026'!G19+'16.08.2026'!F19</f>
        <v>117.8</v>
      </c>
      <c r="H19" s="64">
        <f>F19/E3</f>
        <v>5.2631578947368418E-2</v>
      </c>
      <c r="I19" s="65">
        <f t="shared" si="0"/>
        <v>86.6</v>
      </c>
      <c r="J19" s="66">
        <f>G19/F3</f>
        <v>5.4210768522779569E-2</v>
      </c>
      <c r="K19" s="60">
        <v>377600</v>
      </c>
      <c r="L19" s="67">
        <f t="shared" si="1"/>
        <v>3398.3999999999996</v>
      </c>
      <c r="M19" s="67">
        <f t="shared" si="2"/>
        <v>44481.279999999999</v>
      </c>
      <c r="N19" s="67">
        <f>L19/E3</f>
        <v>19.873684210526314</v>
      </c>
      <c r="O19" s="68">
        <f>M19/F3</f>
        <v>20.469986194201564</v>
      </c>
      <c r="R19" s="116"/>
    </row>
    <row r="20" spans="1:18" ht="16.5" thickBot="1">
      <c r="A20" s="58">
        <v>13</v>
      </c>
      <c r="B20" s="843" t="s">
        <v>44</v>
      </c>
      <c r="C20" s="60">
        <v>134.36200000000002</v>
      </c>
      <c r="D20" s="61"/>
      <c r="E20" s="61"/>
      <c r="F20" s="62">
        <v>11</v>
      </c>
      <c r="G20" s="24">
        <f>'15-08-2026'!G20+'16.08.2026'!F20</f>
        <v>96.2</v>
      </c>
      <c r="H20" s="66">
        <f>F20/E3</f>
        <v>6.4327485380116955E-2</v>
      </c>
      <c r="I20" s="60">
        <f t="shared" si="0"/>
        <v>123.36200000000002</v>
      </c>
      <c r="J20" s="66">
        <f>G20/F3</f>
        <v>4.4270593649332723E-2</v>
      </c>
      <c r="K20" s="60">
        <v>271400</v>
      </c>
      <c r="L20" s="67">
        <f t="shared" si="1"/>
        <v>2985.3999999999996</v>
      </c>
      <c r="M20" s="67">
        <f t="shared" si="2"/>
        <v>26108.68</v>
      </c>
      <c r="N20" s="67">
        <f>L20/E3</f>
        <v>17.458479532163739</v>
      </c>
      <c r="O20" s="68">
        <f>M20/F3</f>
        <v>12.0150391164289</v>
      </c>
    </row>
    <row r="21" spans="1:18" ht="16.5" thickBot="1">
      <c r="A21" s="58">
        <v>14</v>
      </c>
      <c r="B21" s="843" t="s">
        <v>45</v>
      </c>
      <c r="C21" s="60">
        <v>1782.3999999999999</v>
      </c>
      <c r="D21" s="61"/>
      <c r="E21" s="61"/>
      <c r="F21" s="62">
        <v>83.5</v>
      </c>
      <c r="G21" s="24">
        <f>'15-08-2026'!G21+'16.08.2026'!F21</f>
        <v>1029.6999999999998</v>
      </c>
      <c r="H21" s="66">
        <f>F21/E3</f>
        <v>0.48830409356725146</v>
      </c>
      <c r="I21" s="65">
        <f t="shared" si="0"/>
        <v>1698.8999999999999</v>
      </c>
      <c r="J21" s="66">
        <f>G21/F3</f>
        <v>0.47386102162908411</v>
      </c>
      <c r="K21" s="60">
        <v>271400</v>
      </c>
      <c r="L21" s="67">
        <f t="shared" si="1"/>
        <v>22661.9</v>
      </c>
      <c r="M21" s="67">
        <f t="shared" si="2"/>
        <v>279460.57999999996</v>
      </c>
      <c r="N21" s="67">
        <f>L21/E3</f>
        <v>132.52573099415204</v>
      </c>
      <c r="O21" s="68">
        <f>M21/F3</f>
        <v>128.60588127013344</v>
      </c>
    </row>
    <row r="22" spans="1:18" ht="16.5" thickBot="1">
      <c r="A22" s="69">
        <v>15</v>
      </c>
      <c r="B22" s="853" t="s">
        <v>46</v>
      </c>
      <c r="C22" s="71">
        <v>44</v>
      </c>
      <c r="D22" s="72"/>
      <c r="E22" s="72"/>
      <c r="F22" s="34">
        <v>0</v>
      </c>
      <c r="G22" s="24">
        <f>'15-08-2026'!G22+'16.08.2026'!F22</f>
        <v>18</v>
      </c>
      <c r="H22" s="73">
        <f>F22/E3</f>
        <v>0</v>
      </c>
      <c r="I22" s="34">
        <f t="shared" si="0"/>
        <v>44</v>
      </c>
      <c r="J22" s="73">
        <f>G22/F3</f>
        <v>8.283479061205707E-3</v>
      </c>
      <c r="K22" s="34">
        <v>41000</v>
      </c>
      <c r="L22" s="44">
        <f t="shared" si="1"/>
        <v>0</v>
      </c>
      <c r="M22" s="44">
        <f t="shared" si="2"/>
        <v>738</v>
      </c>
      <c r="N22" s="74">
        <f>L22/E3</f>
        <v>0</v>
      </c>
      <c r="O22" s="75">
        <f>M22/F3</f>
        <v>0.33962264150943394</v>
      </c>
    </row>
    <row r="23" spans="1:18" ht="16.5" thickBot="1">
      <c r="A23" s="69">
        <v>16</v>
      </c>
      <c r="B23" s="234" t="s">
        <v>47</v>
      </c>
      <c r="C23" s="71">
        <v>58.999999999999979</v>
      </c>
      <c r="D23" s="72"/>
      <c r="E23" s="34"/>
      <c r="F23" s="34">
        <v>7.2</v>
      </c>
      <c r="G23" s="24">
        <f>'15-08-2026'!G23+'16.08.2026'!F23</f>
        <v>242.4</v>
      </c>
      <c r="H23" s="73">
        <f>F23/E3</f>
        <v>4.2105263157894736E-2</v>
      </c>
      <c r="I23" s="34">
        <f t="shared" si="0"/>
        <v>51.799999999999976</v>
      </c>
      <c r="J23" s="73">
        <f>G23/F3</f>
        <v>0.11155085135757019</v>
      </c>
      <c r="K23" s="34">
        <v>24000</v>
      </c>
      <c r="L23" s="44">
        <f t="shared" si="1"/>
        <v>172.79999999999998</v>
      </c>
      <c r="M23" s="44">
        <f t="shared" si="2"/>
        <v>5817.6</v>
      </c>
      <c r="N23" s="74">
        <f>L23/E3</f>
        <v>1.0105263157894735</v>
      </c>
      <c r="O23" s="75">
        <f>M23/F3</f>
        <v>2.6772204325816844</v>
      </c>
    </row>
    <row r="24" spans="1:18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'15-08-2026'!G24+'16.08.2026'!F24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8" ht="16.5" thickBot="1">
      <c r="A25" s="69">
        <v>18</v>
      </c>
      <c r="B25" s="853" t="s">
        <v>49</v>
      </c>
      <c r="C25" s="71">
        <v>280</v>
      </c>
      <c r="D25" s="71"/>
      <c r="E25" s="34">
        <v>300</v>
      </c>
      <c r="F25" s="34">
        <v>5</v>
      </c>
      <c r="G25" s="24">
        <f>'15-08-2026'!G25+'16.08.2026'!F25</f>
        <v>75</v>
      </c>
      <c r="H25" s="73">
        <f>F25/E3</f>
        <v>2.9239766081871343E-2</v>
      </c>
      <c r="I25" s="34">
        <f t="shared" si="0"/>
        <v>275</v>
      </c>
      <c r="J25" s="73">
        <f>G25/F3</f>
        <v>3.4514496088357112E-2</v>
      </c>
      <c r="K25" s="34">
        <v>14400</v>
      </c>
      <c r="L25" s="44">
        <f t="shared" si="1"/>
        <v>72</v>
      </c>
      <c r="M25" s="44">
        <f t="shared" si="2"/>
        <v>1080</v>
      </c>
      <c r="N25" s="74">
        <f>L25/E3</f>
        <v>0.42105263157894735</v>
      </c>
      <c r="O25" s="75">
        <f>M25/F3</f>
        <v>0.49700874367234238</v>
      </c>
    </row>
    <row r="26" spans="1:18" ht="16.5" thickBot="1">
      <c r="A26" s="69">
        <v>19</v>
      </c>
      <c r="B26" s="853" t="s">
        <v>50</v>
      </c>
      <c r="C26" s="71">
        <v>180.5</v>
      </c>
      <c r="D26" s="34"/>
      <c r="E26" s="71">
        <v>150</v>
      </c>
      <c r="F26" s="34">
        <v>3.5</v>
      </c>
      <c r="G26" s="24">
        <f>'15-08-2026'!G26+'16.08.2026'!F26</f>
        <v>53.5</v>
      </c>
      <c r="H26" s="73">
        <f>F26/E3</f>
        <v>2.046783625730994E-2</v>
      </c>
      <c r="I26" s="34">
        <f t="shared" si="0"/>
        <v>177</v>
      </c>
      <c r="J26" s="73">
        <f>G26/F3</f>
        <v>2.4620340543028071E-2</v>
      </c>
      <c r="K26" s="34">
        <v>102000</v>
      </c>
      <c r="L26" s="44">
        <f t="shared" si="1"/>
        <v>357</v>
      </c>
      <c r="M26" s="44">
        <f t="shared" si="2"/>
        <v>5457</v>
      </c>
      <c r="N26" s="74">
        <f>L26/E3</f>
        <v>2.0877192982456139</v>
      </c>
      <c r="O26" s="75">
        <f>M26/F3</f>
        <v>2.5112747353888634</v>
      </c>
    </row>
    <row r="27" spans="1:18" ht="16.5" thickBot="1">
      <c r="A27" s="69">
        <v>20</v>
      </c>
      <c r="B27" s="853" t="s">
        <v>51</v>
      </c>
      <c r="C27" s="71">
        <v>280</v>
      </c>
      <c r="D27" s="71"/>
      <c r="E27" s="71">
        <v>300</v>
      </c>
      <c r="F27" s="34">
        <v>5</v>
      </c>
      <c r="G27" s="24">
        <f>'15-08-2026'!G27+'16.08.2026'!F27</f>
        <v>75</v>
      </c>
      <c r="H27" s="73">
        <f>F27/E3</f>
        <v>2.9239766081871343E-2</v>
      </c>
      <c r="I27" s="34">
        <f t="shared" si="0"/>
        <v>275</v>
      </c>
      <c r="J27" s="73">
        <f>G27/F3</f>
        <v>3.4514496088357112E-2</v>
      </c>
      <c r="K27" s="34">
        <v>107000</v>
      </c>
      <c r="L27" s="44">
        <f t="shared" si="1"/>
        <v>535</v>
      </c>
      <c r="M27" s="44">
        <f t="shared" si="2"/>
        <v>8025</v>
      </c>
      <c r="N27" s="74">
        <f>L27/E3</f>
        <v>3.128654970760234</v>
      </c>
      <c r="O27" s="75">
        <f>M27/F3</f>
        <v>3.6930510814542106</v>
      </c>
    </row>
    <row r="28" spans="1:18" ht="16.5" thickBot="1">
      <c r="A28" s="69">
        <v>21</v>
      </c>
      <c r="B28" s="234" t="s">
        <v>52</v>
      </c>
      <c r="C28" s="71">
        <v>213</v>
      </c>
      <c r="D28" s="71"/>
      <c r="E28" s="71">
        <v>175</v>
      </c>
      <c r="F28" s="34">
        <v>3</v>
      </c>
      <c r="G28" s="24">
        <f>'15-08-2026'!G28+'16.08.2026'!F28</f>
        <v>45</v>
      </c>
      <c r="H28" s="73">
        <f>F28/E3</f>
        <v>1.7543859649122806E-2</v>
      </c>
      <c r="I28" s="34">
        <f t="shared" si="0"/>
        <v>210</v>
      </c>
      <c r="J28" s="73">
        <f>G28/F3</f>
        <v>2.0708697653014266E-2</v>
      </c>
      <c r="K28" s="34">
        <v>100000</v>
      </c>
      <c r="L28" s="44">
        <f t="shared" si="1"/>
        <v>300</v>
      </c>
      <c r="M28" s="44">
        <f t="shared" si="2"/>
        <v>4500</v>
      </c>
      <c r="N28" s="74">
        <f>L28/E3</f>
        <v>1.7543859649122806</v>
      </c>
      <c r="O28" s="75">
        <f>M28/F3</f>
        <v>2.0708697653014267</v>
      </c>
    </row>
    <row r="29" spans="1:18" ht="16.5" thickBot="1">
      <c r="A29" s="69">
        <v>22</v>
      </c>
      <c r="B29" s="853" t="s">
        <v>53</v>
      </c>
      <c r="C29" s="71">
        <v>68</v>
      </c>
      <c r="D29" s="71"/>
      <c r="E29" s="71">
        <v>50</v>
      </c>
      <c r="F29" s="34">
        <v>1</v>
      </c>
      <c r="G29" s="24">
        <f>'15-08-2026'!G29+'16.08.2026'!F29</f>
        <v>15</v>
      </c>
      <c r="H29" s="73">
        <f>F29/E3</f>
        <v>5.8479532163742687E-3</v>
      </c>
      <c r="I29" s="34">
        <f t="shared" si="0"/>
        <v>67</v>
      </c>
      <c r="J29" s="73">
        <f>G29/F3</f>
        <v>6.9028992176714222E-3</v>
      </c>
      <c r="K29" s="34">
        <v>255000</v>
      </c>
      <c r="L29" s="44">
        <f t="shared" si="1"/>
        <v>255</v>
      </c>
      <c r="M29" s="44">
        <f t="shared" si="2"/>
        <v>3825</v>
      </c>
      <c r="N29" s="74">
        <f>L29/E3</f>
        <v>1.4912280701754386</v>
      </c>
      <c r="O29" s="1047">
        <f>M29/F3</f>
        <v>1.7602393005062127</v>
      </c>
    </row>
    <row r="30" spans="1:18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'15-08-2026'!G30+'16.08.2026'!F30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8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'15-08-2026'!G31+'16.08.2026'!F31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8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1893.390350877193</v>
      </c>
      <c r="O32" s="985">
        <f>SUM(O8,O9,O10,O11,O12,O13,O14,O15,O16,O17,O18,O19,O20,O21,O22,O23,O24,O25,O26,O27,O28,O29,O30,O31,)</f>
        <v>1436.9818407731245</v>
      </c>
    </row>
    <row r="33" spans="1:15" ht="16.5" thickBot="1">
      <c r="A33" s="1035">
        <v>1</v>
      </c>
      <c r="B33" s="1036" t="s">
        <v>145</v>
      </c>
      <c r="C33" s="1037">
        <v>18</v>
      </c>
      <c r="D33" s="1096"/>
      <c r="E33" s="1096"/>
      <c r="F33" s="1034">
        <f>C33*171/C39</f>
        <v>30.78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36" t="s">
        <v>136</v>
      </c>
      <c r="C34" s="966">
        <v>12</v>
      </c>
      <c r="D34" s="1096"/>
      <c r="E34" s="1096"/>
      <c r="F34" s="1034">
        <f>C34*E3/C39</f>
        <v>20.52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>
        <v>3</v>
      </c>
      <c r="B35" s="1036" t="s">
        <v>194</v>
      </c>
      <c r="C35" s="967">
        <v>37</v>
      </c>
      <c r="D35" s="1096"/>
      <c r="E35" s="1096"/>
      <c r="F35" s="1034">
        <f>C35*171/C39</f>
        <v>63.27</v>
      </c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>
        <v>4</v>
      </c>
      <c r="B36" s="1036" t="s">
        <v>130</v>
      </c>
      <c r="C36" s="1028">
        <v>4</v>
      </c>
      <c r="D36" s="1096"/>
      <c r="E36" s="1096"/>
      <c r="F36" s="1034">
        <f>C36*171/C39</f>
        <v>6.84</v>
      </c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1.893390350877193</v>
      </c>
      <c r="O36" s="980">
        <f>O32/1000</f>
        <v>1.4369818407731245</v>
      </c>
    </row>
    <row r="37" spans="1:15" ht="19.5">
      <c r="A37" s="104"/>
      <c r="B37" s="1036" t="s">
        <v>138</v>
      </c>
      <c r="C37" s="1064">
        <v>29</v>
      </c>
      <c r="D37" s="1096"/>
      <c r="E37" s="1096"/>
      <c r="F37" s="1034">
        <f>C37*171/C39</f>
        <v>49.59</v>
      </c>
      <c r="G37" s="149"/>
      <c r="H37" s="149"/>
      <c r="I37" s="149"/>
      <c r="J37" s="149"/>
      <c r="K37" s="116"/>
      <c r="L37" s="1065"/>
      <c r="M37" s="1066"/>
      <c r="N37" s="1067"/>
      <c r="O37" s="1068"/>
    </row>
    <row r="38" spans="1:15" ht="20.25" thickBot="1">
      <c r="A38" s="104">
        <v>5</v>
      </c>
      <c r="B38" s="1036"/>
      <c r="C38" s="1029"/>
      <c r="D38" s="1096"/>
      <c r="E38" s="1096"/>
      <c r="F38" s="1034"/>
      <c r="G38" s="1022"/>
      <c r="H38" s="1103"/>
      <c r="I38" s="1103"/>
      <c r="J38" s="1103"/>
      <c r="K38" s="1022"/>
      <c r="L38" s="1025"/>
      <c r="M38" s="1"/>
      <c r="N38" s="1"/>
      <c r="O38" s="1"/>
    </row>
    <row r="39" spans="1:15" ht="23.25" thickBot="1">
      <c r="A39" s="1031">
        <v>6</v>
      </c>
      <c r="B39" s="1032" t="s">
        <v>60</v>
      </c>
      <c r="C39" s="1033">
        <f>SUM(C33:C38,K33:K38)</f>
        <v>100</v>
      </c>
      <c r="D39" s="1523">
        <f>SUM(F33:F38,L33:L38)</f>
        <v>171</v>
      </c>
      <c r="E39" s="1524"/>
      <c r="F39" s="1525"/>
    </row>
  </sheetData>
  <mergeCells count="22">
    <mergeCell ref="D39:F39"/>
    <mergeCell ref="D33:E38"/>
    <mergeCell ref="H33:J33"/>
    <mergeCell ref="M33:M35"/>
    <mergeCell ref="H34:J34"/>
    <mergeCell ref="H35:J35"/>
    <mergeCell ref="H36:J36"/>
    <mergeCell ref="H38:J38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09" right="0.14000000000000001" top="1.01" bottom="0.2" header="0.31496062992125984" footer="0.14000000000000001"/>
  <pageSetup scale="80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39"/>
  <sheetViews>
    <sheetView topLeftCell="A16" workbookViewId="0">
      <selection activeCell="G14" sqref="G14"/>
    </sheetView>
  </sheetViews>
  <sheetFormatPr defaultRowHeight="15"/>
  <cols>
    <col min="1" max="1" width="5.28515625" customWidth="1"/>
    <col min="2" max="2" width="27.140625" customWidth="1"/>
    <col min="3" max="3" width="9.5703125" customWidth="1"/>
    <col min="8" max="8" width="10.7109375" customWidth="1"/>
    <col min="10" max="10" width="11.42578125" customWidth="1"/>
    <col min="12" max="12" width="12.42578125" customWidth="1"/>
    <col min="13" max="13" width="12.85546875" customWidth="1"/>
    <col min="15" max="15" width="12.7109375" customWidth="1"/>
  </cols>
  <sheetData>
    <row r="1" spans="1:19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9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  <c r="Q2" s="1060"/>
    </row>
    <row r="3" spans="1:19" ht="20.25" thickBot="1">
      <c r="A3" s="1124" t="s">
        <v>2</v>
      </c>
      <c r="B3" s="1125"/>
      <c r="C3" s="1125"/>
      <c r="D3" s="1126"/>
      <c r="E3" s="3">
        <v>159</v>
      </c>
      <c r="F3" s="3">
        <v>2332</v>
      </c>
      <c r="G3" s="1526" t="s">
        <v>196</v>
      </c>
      <c r="H3" s="1527"/>
      <c r="I3" s="1129" t="s">
        <v>195</v>
      </c>
      <c r="J3" s="1130"/>
      <c r="K3" s="1130"/>
      <c r="L3" s="1130"/>
      <c r="M3" s="1130"/>
      <c r="N3" s="1130"/>
      <c r="O3" s="1131"/>
      <c r="Q3" s="1061"/>
    </row>
    <row r="4" spans="1:19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9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  <c r="Q5" s="1060"/>
    </row>
    <row r="6" spans="1:19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9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9" ht="16.5" thickBot="1">
      <c r="A8" s="20">
        <v>1</v>
      </c>
      <c r="B8" s="933" t="s">
        <v>32</v>
      </c>
      <c r="C8" s="22">
        <v>12800</v>
      </c>
      <c r="D8" s="23"/>
      <c r="E8" s="22">
        <v>20000</v>
      </c>
      <c r="F8" s="22">
        <v>4750</v>
      </c>
      <c r="G8" s="24">
        <f>'16.08.2026'!G8+'17-08-2026'!F8</f>
        <v>63250</v>
      </c>
      <c r="H8" s="25">
        <f>F8/E3</f>
        <v>29.874213836477988</v>
      </c>
      <c r="I8" s="22">
        <f t="shared" ref="I8:I31" si="0">(C8-F8)+D8</f>
        <v>8050</v>
      </c>
      <c r="J8" s="26">
        <f>G8/F3</f>
        <v>27.122641509433961</v>
      </c>
      <c r="K8" s="24">
        <v>36000</v>
      </c>
      <c r="L8" s="27">
        <f t="shared" ref="L8:L31" si="1">(F8/1000)*K8</f>
        <v>171000</v>
      </c>
      <c r="M8" s="28">
        <f t="shared" ref="M8:M31" si="2">(G8/1000)*K8</f>
        <v>2277000</v>
      </c>
      <c r="N8" s="29">
        <f>L8/E3</f>
        <v>1075.4716981132076</v>
      </c>
      <c r="O8" s="30">
        <f>M8/F3</f>
        <v>976.41509433962267</v>
      </c>
    </row>
    <row r="9" spans="1:19" ht="16.5" thickBot="1">
      <c r="A9" s="31">
        <v>2</v>
      </c>
      <c r="B9" s="817" t="s">
        <v>33</v>
      </c>
      <c r="C9" s="33">
        <v>14313</v>
      </c>
      <c r="D9" s="34"/>
      <c r="E9" s="33">
        <v>15000</v>
      </c>
      <c r="F9" s="33">
        <v>223</v>
      </c>
      <c r="G9" s="24">
        <f>'16.08.2026'!G9+'17-08-2026'!F9</f>
        <v>3480</v>
      </c>
      <c r="H9" s="36">
        <f>F9/E3</f>
        <v>1.4025157232704402</v>
      </c>
      <c r="I9" s="33">
        <f t="shared" si="0"/>
        <v>14090</v>
      </c>
      <c r="J9" s="37">
        <f>G9/F3</f>
        <v>1.4922813036020584</v>
      </c>
      <c r="K9" s="35">
        <v>33500</v>
      </c>
      <c r="L9" s="38">
        <f t="shared" si="1"/>
        <v>7470.5</v>
      </c>
      <c r="M9" s="38">
        <f t="shared" si="2"/>
        <v>116580</v>
      </c>
      <c r="N9" s="39">
        <f>L9/E3</f>
        <v>46.984276729559745</v>
      </c>
      <c r="O9" s="40">
        <f>M9/F3</f>
        <v>49.991423670668951</v>
      </c>
      <c r="Q9" s="149"/>
    </row>
    <row r="10" spans="1:19" ht="16.5" thickBot="1">
      <c r="A10" s="31">
        <v>3</v>
      </c>
      <c r="B10" s="817" t="s">
        <v>34</v>
      </c>
      <c r="C10" s="33">
        <v>3202</v>
      </c>
      <c r="D10" s="34"/>
      <c r="E10" s="33"/>
      <c r="F10" s="33">
        <v>80</v>
      </c>
      <c r="G10" s="24">
        <f>'16.08.2026'!G10+'17-08-2026'!F10</f>
        <v>1267</v>
      </c>
      <c r="H10" s="36">
        <f>F10/E3</f>
        <v>0.50314465408805031</v>
      </c>
      <c r="I10" s="33">
        <f t="shared" si="0"/>
        <v>3122</v>
      </c>
      <c r="J10" s="37">
        <f>G10/F3</f>
        <v>0.54331046312178388</v>
      </c>
      <c r="K10" s="35">
        <v>98000</v>
      </c>
      <c r="L10" s="38">
        <f t="shared" si="1"/>
        <v>7840</v>
      </c>
      <c r="M10" s="38">
        <f t="shared" si="2"/>
        <v>124165.99999999999</v>
      </c>
      <c r="N10" s="39">
        <f>L10/E3</f>
        <v>49.308176100628934</v>
      </c>
      <c r="O10" s="40">
        <f>M10/F3</f>
        <v>53.244425385934811</v>
      </c>
      <c r="R10" s="1062"/>
      <c r="S10" s="149"/>
    </row>
    <row r="11" spans="1:19" ht="16.5" thickBot="1">
      <c r="A11" s="31">
        <v>4</v>
      </c>
      <c r="B11" s="817" t="s">
        <v>35</v>
      </c>
      <c r="C11" s="33">
        <v>16.064400000000006</v>
      </c>
      <c r="D11" s="34"/>
      <c r="E11" s="33"/>
      <c r="F11" s="1069">
        <v>7.0739999999999997E-2</v>
      </c>
      <c r="G11" s="1057">
        <f>'16.08.2026'!G11+'17-08-2026'!F11</f>
        <v>0.84633999999999998</v>
      </c>
      <c r="H11" s="42">
        <f>F11/E3</f>
        <v>4.4490566037735848E-4</v>
      </c>
      <c r="I11" s="33">
        <f t="shared" si="0"/>
        <v>15.993660000000006</v>
      </c>
      <c r="J11" s="43">
        <f>G11/F3</f>
        <v>3.6292452830188676E-4</v>
      </c>
      <c r="K11" s="35">
        <v>750000</v>
      </c>
      <c r="L11" s="38">
        <f t="shared" si="1"/>
        <v>53.055</v>
      </c>
      <c r="M11" s="38">
        <f t="shared" si="2"/>
        <v>634.755</v>
      </c>
      <c r="N11" s="39">
        <f>L11/E3</f>
        <v>0.33367924528301884</v>
      </c>
      <c r="O11" s="40">
        <f>M11/F3</f>
        <v>0.27219339622641509</v>
      </c>
    </row>
    <row r="12" spans="1:19" ht="16.5" thickBot="1">
      <c r="A12" s="31">
        <v>5</v>
      </c>
      <c r="B12" s="817" t="s">
        <v>36</v>
      </c>
      <c r="C12" s="33">
        <v>712.7</v>
      </c>
      <c r="D12" s="34"/>
      <c r="E12" s="33"/>
      <c r="F12" s="33">
        <v>16</v>
      </c>
      <c r="G12" s="24">
        <f>'16.08.2026'!G12+'17-08-2026'!F12</f>
        <v>248</v>
      </c>
      <c r="H12" s="36">
        <f>F12/E3</f>
        <v>0.10062893081761007</v>
      </c>
      <c r="I12" s="33">
        <f t="shared" si="0"/>
        <v>696.7</v>
      </c>
      <c r="J12" s="37">
        <f>G12/F3</f>
        <v>0.10634648370497427</v>
      </c>
      <c r="K12" s="35">
        <v>350000</v>
      </c>
      <c r="L12" s="38">
        <f t="shared" si="1"/>
        <v>5600</v>
      </c>
      <c r="M12" s="38">
        <f t="shared" si="2"/>
        <v>86800</v>
      </c>
      <c r="N12" s="39">
        <f>L12/E3</f>
        <v>35.220125786163521</v>
      </c>
      <c r="O12" s="40">
        <f>M12/F3</f>
        <v>37.221269296740992</v>
      </c>
      <c r="Q12" s="149"/>
    </row>
    <row r="13" spans="1:19" ht="16.5" thickBot="1">
      <c r="A13" s="31">
        <v>6</v>
      </c>
      <c r="B13" s="817" t="s">
        <v>37</v>
      </c>
      <c r="C13" s="33">
        <v>265</v>
      </c>
      <c r="D13" s="34"/>
      <c r="E13" s="33"/>
      <c r="F13" s="159">
        <v>50</v>
      </c>
      <c r="G13" s="24">
        <f>'16.08.2026'!G13+'17-08-2026'!F13</f>
        <v>725</v>
      </c>
      <c r="H13" s="36">
        <f>F13/E3</f>
        <v>0.31446540880503143</v>
      </c>
      <c r="I13" s="33">
        <f t="shared" si="0"/>
        <v>215</v>
      </c>
      <c r="J13" s="37">
        <f>G13/F3</f>
        <v>0.31089193825042882</v>
      </c>
      <c r="K13" s="35">
        <v>215000</v>
      </c>
      <c r="L13" s="38">
        <f t="shared" si="1"/>
        <v>10750</v>
      </c>
      <c r="M13" s="38">
        <f t="shared" si="2"/>
        <v>155875</v>
      </c>
      <c r="N13" s="39">
        <f>L13/E3</f>
        <v>67.610062893081761</v>
      </c>
      <c r="O13" s="40">
        <f>M13/F3</f>
        <v>66.841766723842198</v>
      </c>
      <c r="S13" s="1062"/>
    </row>
    <row r="14" spans="1:19" ht="16.5" thickBot="1">
      <c r="A14" s="31">
        <v>7</v>
      </c>
      <c r="B14" s="817" t="s">
        <v>38</v>
      </c>
      <c r="C14" s="33">
        <v>2396</v>
      </c>
      <c r="D14" s="34"/>
      <c r="E14" s="1016"/>
      <c r="F14" s="33">
        <v>54</v>
      </c>
      <c r="G14" s="24">
        <f>'16.08.2026'!G14+'17-08-2026'!F14</f>
        <v>816</v>
      </c>
      <c r="H14" s="1017">
        <f>F14/E3</f>
        <v>0.33962264150943394</v>
      </c>
      <c r="I14" s="33">
        <f t="shared" si="0"/>
        <v>2342</v>
      </c>
      <c r="J14" s="37">
        <f>G14/F3</f>
        <v>0.34991423670668953</v>
      </c>
      <c r="K14" s="35">
        <v>151000</v>
      </c>
      <c r="L14" s="38">
        <f t="shared" si="1"/>
        <v>8154</v>
      </c>
      <c r="M14" s="38">
        <f t="shared" si="2"/>
        <v>123215.99999999999</v>
      </c>
      <c r="N14" s="39">
        <f>L14/E3</f>
        <v>51.283018867924525</v>
      </c>
      <c r="O14" s="40">
        <f>M14/F3</f>
        <v>52.837049742710114</v>
      </c>
      <c r="Q14" s="149"/>
    </row>
    <row r="15" spans="1:19" ht="16.5" thickBot="1">
      <c r="A15" s="31">
        <v>8</v>
      </c>
      <c r="B15" s="817" t="s">
        <v>39</v>
      </c>
      <c r="C15" s="33">
        <v>633</v>
      </c>
      <c r="D15" s="33"/>
      <c r="E15" s="33"/>
      <c r="F15" s="1018">
        <v>20</v>
      </c>
      <c r="G15" s="24">
        <f>'16.08.2026'!G15+'17-08-2026'!F15</f>
        <v>285</v>
      </c>
      <c r="H15" s="36">
        <f>F15/E3</f>
        <v>0.12578616352201258</v>
      </c>
      <c r="I15" s="33">
        <f t="shared" si="0"/>
        <v>613</v>
      </c>
      <c r="J15" s="37">
        <f>G15/F3</f>
        <v>0.12221269296740996</v>
      </c>
      <c r="K15" s="35">
        <v>255000</v>
      </c>
      <c r="L15" s="38">
        <f t="shared" si="1"/>
        <v>5100</v>
      </c>
      <c r="M15" s="38">
        <f t="shared" si="2"/>
        <v>72675</v>
      </c>
      <c r="N15" s="39">
        <f>L15/E3</f>
        <v>32.075471698113205</v>
      </c>
      <c r="O15" s="40">
        <f>M15/F3</f>
        <v>31.164236706689536</v>
      </c>
      <c r="Q15" s="149"/>
    </row>
    <row r="16" spans="1:19" ht="16.5" thickBot="1">
      <c r="A16" s="31">
        <v>9</v>
      </c>
      <c r="B16" s="817" t="s">
        <v>40</v>
      </c>
      <c r="C16" s="33">
        <v>13</v>
      </c>
      <c r="D16" s="34"/>
      <c r="E16" s="33"/>
      <c r="F16" s="33">
        <v>0</v>
      </c>
      <c r="G16" s="24">
        <f>'16.08.2026'!G16+'17-08-2026'!F16</f>
        <v>6</v>
      </c>
      <c r="H16" s="36">
        <f>F16/E3</f>
        <v>0</v>
      </c>
      <c r="I16" s="33">
        <f t="shared" si="0"/>
        <v>13</v>
      </c>
      <c r="J16" s="37">
        <f>G16/F3</f>
        <v>2.5728987993138938E-3</v>
      </c>
      <c r="K16" s="35">
        <v>348200</v>
      </c>
      <c r="L16" s="38">
        <f t="shared" si="1"/>
        <v>0</v>
      </c>
      <c r="M16" s="44">
        <f t="shared" si="2"/>
        <v>2089.1999999999998</v>
      </c>
      <c r="N16" s="39">
        <f>L16/E3</f>
        <v>0</v>
      </c>
      <c r="O16" s="40">
        <f>M16/F3</f>
        <v>0.89588336192109774</v>
      </c>
      <c r="Q16" s="1063"/>
      <c r="S16" s="1062"/>
    </row>
    <row r="17" spans="1:18" ht="16.5" thickBot="1">
      <c r="A17" s="991">
        <v>10</v>
      </c>
      <c r="B17" s="992" t="s">
        <v>41</v>
      </c>
      <c r="C17" s="993">
        <v>2975</v>
      </c>
      <c r="D17" s="993"/>
      <c r="E17" s="993">
        <v>475</v>
      </c>
      <c r="F17" s="993">
        <v>0</v>
      </c>
      <c r="G17" s="24">
        <f>'16.08.2026'!G17+'17-08-2026'!F17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  <c r="Q17" s="116"/>
    </row>
    <row r="18" spans="1:18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'16.08.2026'!G18+'17-08-2026'!F18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  <c r="Q18" s="1063"/>
    </row>
    <row r="19" spans="1:18" ht="16.5" thickBot="1">
      <c r="A19" s="58">
        <v>12</v>
      </c>
      <c r="B19" s="843" t="s">
        <v>43</v>
      </c>
      <c r="C19" s="60">
        <v>86.6</v>
      </c>
      <c r="D19" s="61"/>
      <c r="E19" s="61"/>
      <c r="F19" s="62">
        <v>7.5</v>
      </c>
      <c r="G19" s="24">
        <f>'16.08.2026'!G19+'17-08-2026'!F19</f>
        <v>125.3</v>
      </c>
      <c r="H19" s="64">
        <f>F19/E3</f>
        <v>4.716981132075472E-2</v>
      </c>
      <c r="I19" s="65">
        <f t="shared" si="0"/>
        <v>79.099999999999994</v>
      </c>
      <c r="J19" s="66">
        <f>G19/F3</f>
        <v>5.3730703259005141E-2</v>
      </c>
      <c r="K19" s="60">
        <v>377600</v>
      </c>
      <c r="L19" s="67">
        <f t="shared" si="1"/>
        <v>2832</v>
      </c>
      <c r="M19" s="67">
        <f t="shared" si="2"/>
        <v>47313.279999999999</v>
      </c>
      <c r="N19" s="67">
        <f>L19/E3</f>
        <v>17.811320754716981</v>
      </c>
      <c r="O19" s="68">
        <f>M19/F3</f>
        <v>20.288713550600342</v>
      </c>
      <c r="Q19" s="149"/>
      <c r="R19" s="116"/>
    </row>
    <row r="20" spans="1:18" ht="16.5" thickBot="1">
      <c r="A20" s="58">
        <v>13</v>
      </c>
      <c r="B20" s="843" t="s">
        <v>44</v>
      </c>
      <c r="C20" s="60">
        <v>123.36200000000002</v>
      </c>
      <c r="D20" s="61"/>
      <c r="E20" s="61"/>
      <c r="F20" s="62">
        <v>9.6</v>
      </c>
      <c r="G20" s="24">
        <f>'16.08.2026'!G20+'17-08-2026'!F20</f>
        <v>105.8</v>
      </c>
      <c r="H20" s="66">
        <f>F20/E3</f>
        <v>6.0377358490566038E-2</v>
      </c>
      <c r="I20" s="60">
        <f t="shared" si="0"/>
        <v>113.76200000000003</v>
      </c>
      <c r="J20" s="66">
        <f>G20/F3</f>
        <v>4.5368782161234987E-2</v>
      </c>
      <c r="K20" s="60">
        <v>271400</v>
      </c>
      <c r="L20" s="67">
        <f t="shared" si="1"/>
        <v>2605.4399999999996</v>
      </c>
      <c r="M20" s="67">
        <f t="shared" si="2"/>
        <v>28714.12</v>
      </c>
      <c r="N20" s="67">
        <f>L20/E3</f>
        <v>16.386415094339622</v>
      </c>
      <c r="O20" s="68">
        <f>M20/F3</f>
        <v>12.313087478559176</v>
      </c>
      <c r="Q20" s="1070"/>
    </row>
    <row r="21" spans="1:18" ht="16.5" thickBot="1">
      <c r="A21" s="58">
        <v>14</v>
      </c>
      <c r="B21" s="843" t="s">
        <v>45</v>
      </c>
      <c r="C21" s="60">
        <v>1698.8999999999999</v>
      </c>
      <c r="D21" s="61"/>
      <c r="E21" s="61"/>
      <c r="F21" s="62">
        <v>69.599999999999994</v>
      </c>
      <c r="G21" s="24">
        <f>'16.08.2026'!G21+'17-08-2026'!F21</f>
        <v>1099.2999999999997</v>
      </c>
      <c r="H21" s="66">
        <f>F21/E3</f>
        <v>0.43773584905660373</v>
      </c>
      <c r="I21" s="65">
        <f t="shared" si="0"/>
        <v>1629.3</v>
      </c>
      <c r="J21" s="66">
        <f>G21/F3</f>
        <v>0.47139794168096044</v>
      </c>
      <c r="K21" s="60">
        <v>271400</v>
      </c>
      <c r="L21" s="67">
        <f t="shared" si="1"/>
        <v>18889.439999999999</v>
      </c>
      <c r="M21" s="67">
        <f t="shared" si="2"/>
        <v>298350.0199999999</v>
      </c>
      <c r="N21" s="67">
        <f>L21/E3</f>
        <v>118.80150943396225</v>
      </c>
      <c r="O21" s="68">
        <f>M21/F3</f>
        <v>127.93740137221265</v>
      </c>
    </row>
    <row r="22" spans="1:18" ht="16.5" thickBot="1">
      <c r="A22" s="69">
        <v>15</v>
      </c>
      <c r="B22" s="853" t="s">
        <v>46</v>
      </c>
      <c r="C22" s="71">
        <v>44</v>
      </c>
      <c r="D22" s="72"/>
      <c r="E22" s="72"/>
      <c r="F22" s="34">
        <v>3</v>
      </c>
      <c r="G22" s="24">
        <f>'16.08.2026'!G22+'17-08-2026'!F22</f>
        <v>21</v>
      </c>
      <c r="H22" s="73">
        <f>F22/E3</f>
        <v>1.8867924528301886E-2</v>
      </c>
      <c r="I22" s="34">
        <f t="shared" si="0"/>
        <v>41</v>
      </c>
      <c r="J22" s="73">
        <f>G22/F3</f>
        <v>9.0051457975986286E-3</v>
      </c>
      <c r="K22" s="34">
        <v>41000</v>
      </c>
      <c r="L22" s="44">
        <f t="shared" si="1"/>
        <v>123</v>
      </c>
      <c r="M22" s="44">
        <f t="shared" si="2"/>
        <v>861</v>
      </c>
      <c r="N22" s="74">
        <f>L22/E3</f>
        <v>0.77358490566037741</v>
      </c>
      <c r="O22" s="75">
        <f>M22/F3</f>
        <v>0.36921097770154376</v>
      </c>
    </row>
    <row r="23" spans="1:18" ht="16.5" thickBot="1">
      <c r="A23" s="69">
        <v>16</v>
      </c>
      <c r="B23" s="234" t="s">
        <v>47</v>
      </c>
      <c r="C23" s="71">
        <v>51.799999999999976</v>
      </c>
      <c r="D23" s="72"/>
      <c r="E23" s="34"/>
      <c r="F23" s="34">
        <v>7.2</v>
      </c>
      <c r="G23" s="24">
        <f>'16.08.2026'!G23+'17-08-2026'!F23</f>
        <v>249.6</v>
      </c>
      <c r="H23" s="73">
        <f>F23/E3</f>
        <v>4.5283018867924532E-2</v>
      </c>
      <c r="I23" s="34">
        <f t="shared" si="0"/>
        <v>44.599999999999973</v>
      </c>
      <c r="J23" s="73">
        <f>G23/F3</f>
        <v>0.10703259005145797</v>
      </c>
      <c r="K23" s="34">
        <v>24000</v>
      </c>
      <c r="L23" s="44">
        <f t="shared" si="1"/>
        <v>172.79999999999998</v>
      </c>
      <c r="M23" s="44">
        <f t="shared" si="2"/>
        <v>5990.4</v>
      </c>
      <c r="N23" s="74">
        <f>L23/E3</f>
        <v>1.0867924528301887</v>
      </c>
      <c r="O23" s="75">
        <f>M23/F3</f>
        <v>2.5687821612349913</v>
      </c>
    </row>
    <row r="24" spans="1:18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'16.08.2026'!G24+'17-08-2026'!F24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8" ht="16.5" thickBot="1">
      <c r="A25" s="69">
        <v>18</v>
      </c>
      <c r="B25" s="853" t="s">
        <v>49</v>
      </c>
      <c r="C25" s="71">
        <v>275</v>
      </c>
      <c r="D25" s="71"/>
      <c r="E25" s="34">
        <v>300</v>
      </c>
      <c r="F25" s="34">
        <v>5</v>
      </c>
      <c r="G25" s="24">
        <f>'16.08.2026'!G25+'17-08-2026'!F25</f>
        <v>80</v>
      </c>
      <c r="H25" s="73">
        <f>F25/E3</f>
        <v>3.1446540880503145E-2</v>
      </c>
      <c r="I25" s="34">
        <f t="shared" si="0"/>
        <v>270</v>
      </c>
      <c r="J25" s="73">
        <f>G25/F3</f>
        <v>3.430531732418525E-2</v>
      </c>
      <c r="K25" s="34">
        <v>14400</v>
      </c>
      <c r="L25" s="44">
        <f t="shared" si="1"/>
        <v>72</v>
      </c>
      <c r="M25" s="44">
        <f t="shared" si="2"/>
        <v>1152</v>
      </c>
      <c r="N25" s="74">
        <f>L25/E3</f>
        <v>0.45283018867924529</v>
      </c>
      <c r="O25" s="75">
        <f>M25/F3</f>
        <v>0.49399656946826759</v>
      </c>
    </row>
    <row r="26" spans="1:18" ht="16.5" thickBot="1">
      <c r="A26" s="69">
        <v>19</v>
      </c>
      <c r="B26" s="853" t="s">
        <v>50</v>
      </c>
      <c r="C26" s="71">
        <v>177</v>
      </c>
      <c r="D26" s="34"/>
      <c r="E26" s="71">
        <v>150</v>
      </c>
      <c r="F26" s="34">
        <v>3.5</v>
      </c>
      <c r="G26" s="24">
        <f>'16.08.2026'!G26+'17-08-2026'!F26</f>
        <v>57</v>
      </c>
      <c r="H26" s="73">
        <f>F26/E3</f>
        <v>2.20125786163522E-2</v>
      </c>
      <c r="I26" s="34">
        <f t="shared" si="0"/>
        <v>173.5</v>
      </c>
      <c r="J26" s="73">
        <f>G26/F3</f>
        <v>2.4442538593481989E-2</v>
      </c>
      <c r="K26" s="34">
        <v>102000</v>
      </c>
      <c r="L26" s="44">
        <f t="shared" si="1"/>
        <v>357</v>
      </c>
      <c r="M26" s="44">
        <f t="shared" si="2"/>
        <v>5814</v>
      </c>
      <c r="N26" s="74">
        <f>L26/E3</f>
        <v>2.2452830188679247</v>
      </c>
      <c r="O26" s="75">
        <f>M26/F3</f>
        <v>2.4931389365351628</v>
      </c>
    </row>
    <row r="27" spans="1:18" ht="16.5" thickBot="1">
      <c r="A27" s="69">
        <v>20</v>
      </c>
      <c r="B27" s="853" t="s">
        <v>51</v>
      </c>
      <c r="C27" s="71">
        <v>275</v>
      </c>
      <c r="D27" s="71"/>
      <c r="E27" s="71">
        <v>300</v>
      </c>
      <c r="F27" s="34">
        <v>5</v>
      </c>
      <c r="G27" s="24">
        <f>'16.08.2026'!G27+'17-08-2026'!F27</f>
        <v>80</v>
      </c>
      <c r="H27" s="73">
        <f>F27/E3</f>
        <v>3.1446540880503145E-2</v>
      </c>
      <c r="I27" s="34">
        <f t="shared" si="0"/>
        <v>270</v>
      </c>
      <c r="J27" s="73">
        <f>G27/F3</f>
        <v>3.430531732418525E-2</v>
      </c>
      <c r="K27" s="34">
        <v>107000</v>
      </c>
      <c r="L27" s="44">
        <f t="shared" si="1"/>
        <v>535</v>
      </c>
      <c r="M27" s="44">
        <f t="shared" si="2"/>
        <v>8560</v>
      </c>
      <c r="N27" s="74">
        <f>L27/E3</f>
        <v>3.3647798742138364</v>
      </c>
      <c r="O27" s="75">
        <f>M27/F3</f>
        <v>3.6706689536878216</v>
      </c>
    </row>
    <row r="28" spans="1:18" ht="16.5" thickBot="1">
      <c r="A28" s="69">
        <v>21</v>
      </c>
      <c r="B28" s="234" t="s">
        <v>52</v>
      </c>
      <c r="C28" s="71">
        <v>210</v>
      </c>
      <c r="D28" s="71"/>
      <c r="E28" s="71">
        <v>175</v>
      </c>
      <c r="F28" s="34">
        <v>3</v>
      </c>
      <c r="G28" s="24">
        <f>'16.08.2026'!G28+'17-08-2026'!F28</f>
        <v>48</v>
      </c>
      <c r="H28" s="73">
        <f>F28/E3</f>
        <v>1.8867924528301886E-2</v>
      </c>
      <c r="I28" s="34">
        <f t="shared" si="0"/>
        <v>207</v>
      </c>
      <c r="J28" s="73">
        <f>G28/F3</f>
        <v>2.0583190394511151E-2</v>
      </c>
      <c r="K28" s="34">
        <v>100000</v>
      </c>
      <c r="L28" s="44">
        <f t="shared" si="1"/>
        <v>300</v>
      </c>
      <c r="M28" s="44">
        <f t="shared" si="2"/>
        <v>4800</v>
      </c>
      <c r="N28" s="74">
        <f>L28/E3</f>
        <v>1.8867924528301887</v>
      </c>
      <c r="O28" s="75">
        <f>M28/F3</f>
        <v>2.0583190394511148</v>
      </c>
    </row>
    <row r="29" spans="1:18" ht="16.5" thickBot="1">
      <c r="A29" s="69">
        <v>22</v>
      </c>
      <c r="B29" s="853" t="s">
        <v>53</v>
      </c>
      <c r="C29" s="71">
        <v>67</v>
      </c>
      <c r="D29" s="71"/>
      <c r="E29" s="71">
        <v>50</v>
      </c>
      <c r="F29" s="34">
        <v>1</v>
      </c>
      <c r="G29" s="24">
        <f>'16.08.2026'!G29+'17-08-2026'!F29</f>
        <v>16</v>
      </c>
      <c r="H29" s="73">
        <f>F29/E3</f>
        <v>6.2893081761006293E-3</v>
      </c>
      <c r="I29" s="34">
        <f t="shared" si="0"/>
        <v>66</v>
      </c>
      <c r="J29" s="73">
        <f>G29/F3</f>
        <v>6.8610634648370496E-3</v>
      </c>
      <c r="K29" s="34">
        <v>255000</v>
      </c>
      <c r="L29" s="44">
        <f t="shared" si="1"/>
        <v>255</v>
      </c>
      <c r="M29" s="44">
        <f t="shared" si="2"/>
        <v>4080</v>
      </c>
      <c r="N29" s="74">
        <f>L29/E3</f>
        <v>1.6037735849056605</v>
      </c>
      <c r="O29" s="1047">
        <f>M29/F3</f>
        <v>1.7495711835334478</v>
      </c>
    </row>
    <row r="30" spans="1:18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'16.08.2026'!G30+'17-08-2026'!F30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8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'16.08.2026'!G31+'17-08-2026'!F31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8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1522.6995911949682</v>
      </c>
      <c r="O32" s="985">
        <f>SUM(O8,O9,O10,O11,O12,O13,O14,O15,O16,O17,O18,O19,O20,O21,O22,O23,O24,O25,O26,O27,O28,O29,O30,O31,)</f>
        <v>1442.8262328473413</v>
      </c>
    </row>
    <row r="33" spans="1:15" ht="16.5" thickBot="1">
      <c r="A33" s="1035">
        <v>1</v>
      </c>
      <c r="B33" s="1036" t="s">
        <v>145</v>
      </c>
      <c r="C33" s="1037">
        <v>67</v>
      </c>
      <c r="D33" s="1096"/>
      <c r="E33" s="1096"/>
      <c r="F33" s="1034">
        <v>121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36" t="s">
        <v>140</v>
      </c>
      <c r="C34" s="966">
        <v>21</v>
      </c>
      <c r="D34" s="1096"/>
      <c r="E34" s="1096"/>
      <c r="F34" s="1034">
        <v>38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31"/>
      <c r="B35" s="1036"/>
      <c r="C35" s="967"/>
      <c r="D35" s="1096"/>
      <c r="E35" s="1096"/>
      <c r="F35" s="1034"/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1036"/>
      <c r="C36" s="1028"/>
      <c r="D36" s="1096"/>
      <c r="E36" s="1096"/>
      <c r="F36" s="1034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1.5226995911949681</v>
      </c>
      <c r="O36" s="980">
        <f>O32/1000</f>
        <v>1.4428262328473414</v>
      </c>
    </row>
    <row r="37" spans="1:15" ht="19.5">
      <c r="A37" s="104"/>
      <c r="B37" s="1036"/>
      <c r="C37" s="1064"/>
      <c r="D37" s="1096"/>
      <c r="E37" s="1096"/>
      <c r="F37" s="1034"/>
      <c r="G37" s="149"/>
      <c r="H37" s="149"/>
      <c r="I37" s="149"/>
      <c r="J37" s="149"/>
      <c r="K37" s="116"/>
      <c r="L37" s="1065"/>
      <c r="M37" s="1066"/>
      <c r="N37" s="1067"/>
      <c r="O37" s="1068"/>
    </row>
    <row r="38" spans="1:15" ht="20.25" thickBot="1">
      <c r="A38" s="104"/>
      <c r="B38" s="1036"/>
      <c r="C38" s="1029"/>
      <c r="D38" s="1096"/>
      <c r="E38" s="1096"/>
      <c r="F38" s="1034"/>
      <c r="G38" s="1022"/>
      <c r="H38" s="1103"/>
      <c r="I38" s="1103"/>
      <c r="J38" s="1103"/>
      <c r="K38" s="1022"/>
      <c r="L38" s="1025"/>
      <c r="M38" s="1"/>
      <c r="N38" s="1"/>
      <c r="O38" s="1"/>
    </row>
    <row r="39" spans="1:15" ht="23.25" thickBot="1">
      <c r="A39" s="1031">
        <v>3</v>
      </c>
      <c r="B39" s="1032" t="s">
        <v>60</v>
      </c>
      <c r="C39" s="1033">
        <f>SUM(C33:C38,K33:K38)</f>
        <v>88</v>
      </c>
      <c r="D39" s="1523">
        <f>SUM(F33:F38,L33:L38)</f>
        <v>159</v>
      </c>
      <c r="E39" s="1524"/>
      <c r="F39" s="1525"/>
    </row>
  </sheetData>
  <mergeCells count="22">
    <mergeCell ref="D39:F39"/>
    <mergeCell ref="D33:E38"/>
    <mergeCell ref="H33:J33"/>
    <mergeCell ref="M33:M35"/>
    <mergeCell ref="H34:J34"/>
    <mergeCell ref="H35:J35"/>
    <mergeCell ref="H36:J36"/>
    <mergeCell ref="H38:J38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39"/>
  <sheetViews>
    <sheetView topLeftCell="A8" workbookViewId="0">
      <selection sqref="A1:XFD1048576"/>
    </sheetView>
  </sheetViews>
  <sheetFormatPr defaultRowHeight="15"/>
  <cols>
    <col min="1" max="1" width="5.28515625" customWidth="1"/>
    <col min="2" max="2" width="27.140625" customWidth="1"/>
    <col min="3" max="3" width="9.5703125" customWidth="1"/>
    <col min="8" max="8" width="10.7109375" customWidth="1"/>
    <col min="10" max="10" width="11.42578125" customWidth="1"/>
    <col min="12" max="12" width="12.42578125" customWidth="1"/>
    <col min="13" max="13" width="12.85546875" customWidth="1"/>
    <col min="15" max="15" width="12.7109375" customWidth="1"/>
  </cols>
  <sheetData>
    <row r="1" spans="1:19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9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  <c r="Q2" s="1060"/>
    </row>
    <row r="3" spans="1:19" ht="20.25" thickBot="1">
      <c r="A3" s="1124" t="s">
        <v>2</v>
      </c>
      <c r="B3" s="1125"/>
      <c r="C3" s="1125"/>
      <c r="D3" s="1126"/>
      <c r="E3" s="3">
        <v>164</v>
      </c>
      <c r="F3" s="3">
        <v>2496</v>
      </c>
      <c r="G3" s="1526" t="s">
        <v>198</v>
      </c>
      <c r="H3" s="1527"/>
      <c r="I3" s="1129" t="s">
        <v>197</v>
      </c>
      <c r="J3" s="1130"/>
      <c r="K3" s="1130"/>
      <c r="L3" s="1130"/>
      <c r="M3" s="1130"/>
      <c r="N3" s="1130"/>
      <c r="O3" s="1131"/>
      <c r="Q3" s="1061"/>
    </row>
    <row r="4" spans="1:19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9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  <c r="Q5" s="1060"/>
    </row>
    <row r="6" spans="1:19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9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9" ht="16.5" thickBot="1">
      <c r="A8" s="20">
        <v>1</v>
      </c>
      <c r="B8" s="933" t="s">
        <v>32</v>
      </c>
      <c r="C8" s="22">
        <v>8050</v>
      </c>
      <c r="D8" s="23">
        <v>25000</v>
      </c>
      <c r="E8" s="22">
        <f>20000+D8</f>
        <v>45000</v>
      </c>
      <c r="F8" s="22">
        <v>4000</v>
      </c>
      <c r="G8" s="24">
        <f>'17-08-2026'!G8+'18-08-2026'!F8</f>
        <v>67250</v>
      </c>
      <c r="H8" s="25">
        <f>F8/E3</f>
        <v>24.390243902439025</v>
      </c>
      <c r="I8" s="22">
        <f t="shared" ref="I8:I31" si="0">(C8-F8)+D8</f>
        <v>29050</v>
      </c>
      <c r="J8" s="26">
        <f>G8/F3</f>
        <v>26.943108974358974</v>
      </c>
      <c r="K8" s="24">
        <v>36000</v>
      </c>
      <c r="L8" s="27">
        <f t="shared" ref="L8:L31" si="1">(F8/1000)*K8</f>
        <v>144000</v>
      </c>
      <c r="M8" s="28">
        <f t="shared" ref="M8:M31" si="2">(G8/1000)*K8</f>
        <v>2421000</v>
      </c>
      <c r="N8" s="29">
        <f>L8/E3</f>
        <v>878.04878048780483</v>
      </c>
      <c r="O8" s="30">
        <f>M8/F3</f>
        <v>969.95192307692309</v>
      </c>
    </row>
    <row r="9" spans="1:19" ht="16.5" thickBot="1">
      <c r="A9" s="31">
        <v>2</v>
      </c>
      <c r="B9" s="817" t="s">
        <v>33</v>
      </c>
      <c r="C9" s="33">
        <v>14090</v>
      </c>
      <c r="D9" s="34"/>
      <c r="E9" s="33">
        <v>15000</v>
      </c>
      <c r="F9" s="33">
        <v>243</v>
      </c>
      <c r="G9" s="24">
        <f>'17-08-2026'!G9+'18-08-2026'!F9</f>
        <v>3723</v>
      </c>
      <c r="H9" s="36">
        <f>F9/E3</f>
        <v>1.4817073170731707</v>
      </c>
      <c r="I9" s="33">
        <f t="shared" si="0"/>
        <v>13847</v>
      </c>
      <c r="J9" s="37">
        <f>G9/F3</f>
        <v>1.4915865384615385</v>
      </c>
      <c r="K9" s="35">
        <v>33500</v>
      </c>
      <c r="L9" s="38">
        <f t="shared" si="1"/>
        <v>8140.5</v>
      </c>
      <c r="M9" s="38">
        <f t="shared" si="2"/>
        <v>124720.5</v>
      </c>
      <c r="N9" s="39">
        <f>L9/E3</f>
        <v>49.637195121951223</v>
      </c>
      <c r="O9" s="40">
        <f>M9/F3</f>
        <v>49.96814903846154</v>
      </c>
      <c r="Q9" s="149"/>
    </row>
    <row r="10" spans="1:19" ht="16.5" thickBot="1">
      <c r="A10" s="31">
        <v>3</v>
      </c>
      <c r="B10" s="817" t="s">
        <v>34</v>
      </c>
      <c r="C10" s="33">
        <v>3122</v>
      </c>
      <c r="D10" s="34"/>
      <c r="E10" s="33"/>
      <c r="F10" s="33">
        <v>89</v>
      </c>
      <c r="G10" s="24">
        <f>'17-08-2026'!G10+'18-08-2026'!F10</f>
        <v>1356</v>
      </c>
      <c r="H10" s="36">
        <f>F10/E3</f>
        <v>0.54268292682926833</v>
      </c>
      <c r="I10" s="33">
        <f t="shared" si="0"/>
        <v>3033</v>
      </c>
      <c r="J10" s="37">
        <f>G10/F3</f>
        <v>0.54326923076923073</v>
      </c>
      <c r="K10" s="35">
        <v>98000</v>
      </c>
      <c r="L10" s="38">
        <f t="shared" si="1"/>
        <v>8722</v>
      </c>
      <c r="M10" s="38">
        <f t="shared" si="2"/>
        <v>132888</v>
      </c>
      <c r="N10" s="39">
        <f>L10/E3</f>
        <v>53.18292682926829</v>
      </c>
      <c r="O10" s="40">
        <f>M10/F3</f>
        <v>53.240384615384613</v>
      </c>
      <c r="R10" s="1062"/>
      <c r="S10" s="149"/>
    </row>
    <row r="11" spans="1:19" ht="16.5" thickBot="1">
      <c r="A11" s="31">
        <v>4</v>
      </c>
      <c r="B11" s="817" t="s">
        <v>35</v>
      </c>
      <c r="C11" s="33">
        <v>15.993660000000006</v>
      </c>
      <c r="D11" s="34"/>
      <c r="E11" s="33"/>
      <c r="F11" s="1058">
        <v>4.0800000000000003E-2</v>
      </c>
      <c r="G11" s="1057">
        <f>'17-08-2026'!G11+'18-08-2026'!F11</f>
        <v>0.88714000000000004</v>
      </c>
      <c r="H11" s="42">
        <f>F11/E3</f>
        <v>2.4878048780487807E-4</v>
      </c>
      <c r="I11" s="33">
        <f t="shared" si="0"/>
        <v>15.952860000000005</v>
      </c>
      <c r="J11" s="43">
        <f>G11/F3</f>
        <v>3.5542467948717948E-4</v>
      </c>
      <c r="K11" s="35">
        <v>750000</v>
      </c>
      <c r="L11" s="38">
        <f t="shared" si="1"/>
        <v>30.6</v>
      </c>
      <c r="M11" s="38">
        <f t="shared" si="2"/>
        <v>665.35500000000002</v>
      </c>
      <c r="N11" s="39">
        <f>L11/E3</f>
        <v>0.18658536585365854</v>
      </c>
      <c r="O11" s="40">
        <f>M11/F3</f>
        <v>0.26656850961538464</v>
      </c>
    </row>
    <row r="12" spans="1:19" ht="16.5" thickBot="1">
      <c r="A12" s="31">
        <v>5</v>
      </c>
      <c r="B12" s="817" t="s">
        <v>36</v>
      </c>
      <c r="C12" s="33">
        <v>696.7</v>
      </c>
      <c r="D12" s="34"/>
      <c r="E12" s="33"/>
      <c r="F12" s="33">
        <v>23</v>
      </c>
      <c r="G12" s="24">
        <f>'17-08-2026'!G12+'18-08-2026'!F12</f>
        <v>271</v>
      </c>
      <c r="H12" s="36">
        <f>F12/E3</f>
        <v>0.1402439024390244</v>
      </c>
      <c r="I12" s="33">
        <f t="shared" si="0"/>
        <v>673.7</v>
      </c>
      <c r="J12" s="37">
        <f>G12/F3</f>
        <v>0.10857371794871795</v>
      </c>
      <c r="K12" s="35">
        <v>350000</v>
      </c>
      <c r="L12" s="38">
        <f t="shared" si="1"/>
        <v>8050</v>
      </c>
      <c r="M12" s="38">
        <f t="shared" si="2"/>
        <v>94850</v>
      </c>
      <c r="N12" s="39">
        <f>L12/E3</f>
        <v>49.085365853658537</v>
      </c>
      <c r="O12" s="40">
        <f>M12/F3</f>
        <v>38.000801282051285</v>
      </c>
      <c r="Q12" s="149"/>
    </row>
    <row r="13" spans="1:19" ht="16.5" thickBot="1">
      <c r="A13" s="31">
        <v>6</v>
      </c>
      <c r="B13" s="817" t="s">
        <v>37</v>
      </c>
      <c r="C13" s="33">
        <v>215</v>
      </c>
      <c r="D13" s="34"/>
      <c r="E13" s="33"/>
      <c r="F13" s="159">
        <v>50</v>
      </c>
      <c r="G13" s="24">
        <f>'17-08-2026'!G13+'18-08-2026'!F13</f>
        <v>775</v>
      </c>
      <c r="H13" s="36">
        <f>F13/E3</f>
        <v>0.3048780487804878</v>
      </c>
      <c r="I13" s="33">
        <f t="shared" si="0"/>
        <v>165</v>
      </c>
      <c r="J13" s="37">
        <f>G13/F3</f>
        <v>0.31049679487179488</v>
      </c>
      <c r="K13" s="35">
        <v>215000</v>
      </c>
      <c r="L13" s="38">
        <f t="shared" si="1"/>
        <v>10750</v>
      </c>
      <c r="M13" s="38">
        <f t="shared" si="2"/>
        <v>166625</v>
      </c>
      <c r="N13" s="39">
        <f>L13/E3</f>
        <v>65.548780487804876</v>
      </c>
      <c r="O13" s="40">
        <f>M13/F3</f>
        <v>66.756810897435898</v>
      </c>
      <c r="S13" s="1062"/>
    </row>
    <row r="14" spans="1:19" ht="16.5" thickBot="1">
      <c r="A14" s="31">
        <v>7</v>
      </c>
      <c r="B14" s="817" t="s">
        <v>38</v>
      </c>
      <c r="C14" s="33">
        <v>2342</v>
      </c>
      <c r="D14" s="34"/>
      <c r="E14" s="1016"/>
      <c r="F14" s="33">
        <v>54</v>
      </c>
      <c r="G14" s="24">
        <f>'17-08-2026'!G14+'18-08-2026'!F14</f>
        <v>870</v>
      </c>
      <c r="H14" s="1017">
        <f>F14/E3</f>
        <v>0.32926829268292684</v>
      </c>
      <c r="I14" s="33">
        <f t="shared" si="0"/>
        <v>2288</v>
      </c>
      <c r="J14" s="37">
        <f>G14/F3</f>
        <v>0.34855769230769229</v>
      </c>
      <c r="K14" s="35">
        <v>151000</v>
      </c>
      <c r="L14" s="38">
        <f t="shared" si="1"/>
        <v>8154</v>
      </c>
      <c r="M14" s="38">
        <f t="shared" si="2"/>
        <v>131370</v>
      </c>
      <c r="N14" s="39">
        <f>L14/E3</f>
        <v>49.719512195121951</v>
      </c>
      <c r="O14" s="40">
        <f>M14/F3</f>
        <v>52.63221153846154</v>
      </c>
      <c r="Q14" s="149"/>
    </row>
    <row r="15" spans="1:19" ht="16.5" thickBot="1">
      <c r="A15" s="31">
        <v>8</v>
      </c>
      <c r="B15" s="817" t="s">
        <v>39</v>
      </c>
      <c r="C15" s="33">
        <v>613</v>
      </c>
      <c r="D15" s="33"/>
      <c r="E15" s="33"/>
      <c r="F15" s="1018">
        <v>20</v>
      </c>
      <c r="G15" s="24">
        <f>'17-08-2026'!G15+'18-08-2026'!F15</f>
        <v>305</v>
      </c>
      <c r="H15" s="36">
        <f>F15/E3</f>
        <v>0.12195121951219512</v>
      </c>
      <c r="I15" s="33">
        <f t="shared" si="0"/>
        <v>593</v>
      </c>
      <c r="J15" s="37">
        <f>G15/F3</f>
        <v>0.12219551282051282</v>
      </c>
      <c r="K15" s="35">
        <v>255000</v>
      </c>
      <c r="L15" s="38">
        <f t="shared" si="1"/>
        <v>5100</v>
      </c>
      <c r="M15" s="38">
        <f t="shared" si="2"/>
        <v>77775</v>
      </c>
      <c r="N15" s="39">
        <f>L15/E3</f>
        <v>31.097560975609756</v>
      </c>
      <c r="O15" s="40">
        <f>M15/F3</f>
        <v>31.15985576923077</v>
      </c>
      <c r="Q15" s="149"/>
    </row>
    <row r="16" spans="1:19" ht="16.5" thickBot="1">
      <c r="A16" s="31">
        <v>9</v>
      </c>
      <c r="B16" s="817" t="s">
        <v>40</v>
      </c>
      <c r="C16" s="33">
        <v>13</v>
      </c>
      <c r="D16" s="34"/>
      <c r="E16" s="33"/>
      <c r="F16" s="33">
        <v>0</v>
      </c>
      <c r="G16" s="24">
        <f>'17-08-2026'!G16+'18-08-2026'!F16</f>
        <v>6</v>
      </c>
      <c r="H16" s="36">
        <f>F16/E3</f>
        <v>0</v>
      </c>
      <c r="I16" s="33">
        <f t="shared" si="0"/>
        <v>13</v>
      </c>
      <c r="J16" s="37">
        <f>G16/F3</f>
        <v>2.403846153846154E-3</v>
      </c>
      <c r="K16" s="35">
        <v>348200</v>
      </c>
      <c r="L16" s="38">
        <f t="shared" si="1"/>
        <v>0</v>
      </c>
      <c r="M16" s="44">
        <f t="shared" si="2"/>
        <v>2089.1999999999998</v>
      </c>
      <c r="N16" s="39">
        <f>L16/E3</f>
        <v>0</v>
      </c>
      <c r="O16" s="40">
        <f>M16/F3</f>
        <v>0.83701923076923068</v>
      </c>
      <c r="Q16" s="1063"/>
      <c r="S16" s="1062"/>
    </row>
    <row r="17" spans="1:18" ht="16.5" thickBot="1">
      <c r="A17" s="991">
        <v>10</v>
      </c>
      <c r="B17" s="992" t="s">
        <v>41</v>
      </c>
      <c r="C17" s="993">
        <v>2975</v>
      </c>
      <c r="D17" s="993"/>
      <c r="E17" s="993">
        <v>475</v>
      </c>
      <c r="F17" s="993">
        <v>0</v>
      </c>
      <c r="G17" s="24">
        <f>'17-08-2026'!G17+'18-08-2026'!F17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  <c r="Q17" s="116"/>
    </row>
    <row r="18" spans="1:18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'17-08-2026'!G18+'18-08-2026'!F18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  <c r="Q18" s="1063"/>
    </row>
    <row r="19" spans="1:18" ht="16.5" thickBot="1">
      <c r="A19" s="58">
        <v>12</v>
      </c>
      <c r="B19" s="843" t="s">
        <v>43</v>
      </c>
      <c r="C19" s="60">
        <v>79.099999999999994</v>
      </c>
      <c r="D19" s="61"/>
      <c r="E19" s="61"/>
      <c r="F19" s="62">
        <v>9</v>
      </c>
      <c r="G19" s="1059">
        <f>'17-08-2026'!G19+'18-08-2026'!F19</f>
        <v>134.30000000000001</v>
      </c>
      <c r="H19" s="64">
        <f>F19/E3</f>
        <v>5.4878048780487805E-2</v>
      </c>
      <c r="I19" s="65">
        <f t="shared" si="0"/>
        <v>70.099999999999994</v>
      </c>
      <c r="J19" s="66">
        <f>G19/F3</f>
        <v>5.3806089743589747E-2</v>
      </c>
      <c r="K19" s="60">
        <v>377600</v>
      </c>
      <c r="L19" s="67">
        <f t="shared" si="1"/>
        <v>3398.3999999999996</v>
      </c>
      <c r="M19" s="67">
        <f t="shared" si="2"/>
        <v>50711.68</v>
      </c>
      <c r="N19" s="67">
        <f>L19/E3</f>
        <v>20.721951219512192</v>
      </c>
      <c r="O19" s="68">
        <f>M19/F3</f>
        <v>20.317179487179487</v>
      </c>
      <c r="Q19" s="149"/>
      <c r="R19" s="116"/>
    </row>
    <row r="20" spans="1:18" ht="16.5" thickBot="1">
      <c r="A20" s="58">
        <v>13</v>
      </c>
      <c r="B20" s="843" t="s">
        <v>44</v>
      </c>
      <c r="C20" s="60">
        <v>113.76200000000003</v>
      </c>
      <c r="D20" s="61"/>
      <c r="E20" s="61"/>
      <c r="F20" s="62">
        <v>3.6</v>
      </c>
      <c r="G20" s="1059">
        <f>'17-08-2026'!G20+'18-08-2026'!F20</f>
        <v>109.39999999999999</v>
      </c>
      <c r="H20" s="66">
        <f>F20/E3</f>
        <v>2.1951219512195124E-2</v>
      </c>
      <c r="I20" s="60">
        <f t="shared" si="0"/>
        <v>110.16200000000003</v>
      </c>
      <c r="J20" s="66">
        <f>G20/F3</f>
        <v>4.3830128205128202E-2</v>
      </c>
      <c r="K20" s="60">
        <v>271400</v>
      </c>
      <c r="L20" s="67">
        <f t="shared" si="1"/>
        <v>977.04</v>
      </c>
      <c r="M20" s="67">
        <f t="shared" si="2"/>
        <v>29691.16</v>
      </c>
      <c r="N20" s="67">
        <f>L20/E3</f>
        <v>5.9575609756097556</v>
      </c>
      <c r="O20" s="68">
        <f>M20/F3</f>
        <v>11.895496794871795</v>
      </c>
      <c r="Q20" s="1070"/>
    </row>
    <row r="21" spans="1:18" ht="16.5" thickBot="1">
      <c r="A21" s="58">
        <v>14</v>
      </c>
      <c r="B21" s="843" t="s">
        <v>45</v>
      </c>
      <c r="C21" s="60">
        <v>1629.3</v>
      </c>
      <c r="D21" s="61"/>
      <c r="E21" s="61"/>
      <c r="F21" s="62">
        <v>80.599999999999994</v>
      </c>
      <c r="G21" s="1059">
        <f>'17-08-2026'!G21+'18-08-2026'!F21</f>
        <v>1179.8999999999996</v>
      </c>
      <c r="H21" s="66">
        <f>F21/E3</f>
        <v>0.49146341463414633</v>
      </c>
      <c r="I21" s="65">
        <f t="shared" si="0"/>
        <v>1548.7</v>
      </c>
      <c r="J21" s="66">
        <f>G21/F3</f>
        <v>0.472716346153846</v>
      </c>
      <c r="K21" s="60">
        <v>271400</v>
      </c>
      <c r="L21" s="67">
        <f t="shared" si="1"/>
        <v>21874.839999999997</v>
      </c>
      <c r="M21" s="67">
        <f t="shared" si="2"/>
        <v>320224.85999999993</v>
      </c>
      <c r="N21" s="67">
        <f>L21/E3</f>
        <v>133.38317073170731</v>
      </c>
      <c r="O21" s="68">
        <f>M21/F3</f>
        <v>128.29521634615381</v>
      </c>
    </row>
    <row r="22" spans="1:18" ht="16.5" thickBot="1">
      <c r="A22" s="69">
        <v>15</v>
      </c>
      <c r="B22" s="853" t="s">
        <v>46</v>
      </c>
      <c r="C22" s="71">
        <v>41</v>
      </c>
      <c r="D22" s="72"/>
      <c r="E22" s="72"/>
      <c r="F22" s="34">
        <v>0</v>
      </c>
      <c r="G22" s="24">
        <f>'17-08-2026'!G22+'18-08-2026'!F22</f>
        <v>21</v>
      </c>
      <c r="H22" s="73">
        <f>F22/E3</f>
        <v>0</v>
      </c>
      <c r="I22" s="34">
        <f t="shared" si="0"/>
        <v>41</v>
      </c>
      <c r="J22" s="73">
        <f>G22/F3</f>
        <v>8.4134615384615381E-3</v>
      </c>
      <c r="K22" s="34">
        <v>41000</v>
      </c>
      <c r="L22" s="44">
        <f t="shared" si="1"/>
        <v>0</v>
      </c>
      <c r="M22" s="44">
        <f t="shared" si="2"/>
        <v>861</v>
      </c>
      <c r="N22" s="74">
        <f>L22/E3</f>
        <v>0</v>
      </c>
      <c r="O22" s="75">
        <f>M22/F3</f>
        <v>0.34495192307692307</v>
      </c>
    </row>
    <row r="23" spans="1:18" ht="16.5" thickBot="1">
      <c r="A23" s="69">
        <v>16</v>
      </c>
      <c r="B23" s="234" t="s">
        <v>47</v>
      </c>
      <c r="C23" s="71">
        <v>44.599999999999973</v>
      </c>
      <c r="D23" s="72">
        <v>300</v>
      </c>
      <c r="E23" s="34">
        <v>300</v>
      </c>
      <c r="F23" s="34">
        <v>7.2</v>
      </c>
      <c r="G23" s="24">
        <f>'17-08-2026'!G23+'18-08-2026'!F23</f>
        <v>256.8</v>
      </c>
      <c r="H23" s="73">
        <f>F23/E3</f>
        <v>4.3902439024390248E-2</v>
      </c>
      <c r="I23" s="34">
        <f t="shared" si="0"/>
        <v>337.4</v>
      </c>
      <c r="J23" s="73">
        <f>G23/F3</f>
        <v>0.10288461538461539</v>
      </c>
      <c r="K23" s="34">
        <v>24000</v>
      </c>
      <c r="L23" s="44">
        <f t="shared" si="1"/>
        <v>172.79999999999998</v>
      </c>
      <c r="M23" s="44">
        <f t="shared" si="2"/>
        <v>6163.2000000000007</v>
      </c>
      <c r="N23" s="74">
        <f>L23/E3</f>
        <v>1.0536585365853657</v>
      </c>
      <c r="O23" s="75">
        <f>M23/F3</f>
        <v>2.4692307692307693</v>
      </c>
    </row>
    <row r="24" spans="1:18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'17-08-2026'!G24+'18-08-2026'!F24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8" ht="16.5" thickBot="1">
      <c r="A25" s="69">
        <v>18</v>
      </c>
      <c r="B25" s="853" t="s">
        <v>49</v>
      </c>
      <c r="C25" s="71">
        <v>270</v>
      </c>
      <c r="D25" s="71"/>
      <c r="E25" s="34">
        <v>300</v>
      </c>
      <c r="F25" s="34">
        <v>5</v>
      </c>
      <c r="G25" s="1059">
        <f>'17-08-2026'!G25+'18-08-2026'!F25</f>
        <v>85</v>
      </c>
      <c r="H25" s="73">
        <f>F25/E3</f>
        <v>3.048780487804878E-2</v>
      </c>
      <c r="I25" s="34">
        <f t="shared" si="0"/>
        <v>265</v>
      </c>
      <c r="J25" s="73">
        <f>G25/F3</f>
        <v>3.4054487179487176E-2</v>
      </c>
      <c r="K25" s="34">
        <v>14400</v>
      </c>
      <c r="L25" s="44">
        <f t="shared" si="1"/>
        <v>72</v>
      </c>
      <c r="M25" s="44">
        <f t="shared" si="2"/>
        <v>1224</v>
      </c>
      <c r="N25" s="74">
        <f>L25/E3</f>
        <v>0.43902439024390244</v>
      </c>
      <c r="O25" s="75">
        <f>M25/F3</f>
        <v>0.49038461538461536</v>
      </c>
    </row>
    <row r="26" spans="1:18" ht="16.5" thickBot="1">
      <c r="A26" s="69">
        <v>19</v>
      </c>
      <c r="B26" s="853" t="s">
        <v>50</v>
      </c>
      <c r="C26" s="71">
        <v>173.5</v>
      </c>
      <c r="D26" s="34"/>
      <c r="E26" s="71">
        <v>150</v>
      </c>
      <c r="F26" s="34">
        <v>3.5</v>
      </c>
      <c r="G26" s="1059">
        <f>'17-08-2026'!G26+'18-08-2026'!F26</f>
        <v>60.5</v>
      </c>
      <c r="H26" s="73">
        <f>F26/E3</f>
        <v>2.1341463414634148E-2</v>
      </c>
      <c r="I26" s="34">
        <f t="shared" si="0"/>
        <v>170</v>
      </c>
      <c r="J26" s="73">
        <f>G26/F3</f>
        <v>2.4238782051282052E-2</v>
      </c>
      <c r="K26" s="34">
        <v>102000</v>
      </c>
      <c r="L26" s="44">
        <f t="shared" si="1"/>
        <v>357</v>
      </c>
      <c r="M26" s="44">
        <f t="shared" si="2"/>
        <v>6171</v>
      </c>
      <c r="N26" s="74">
        <f>L26/E3</f>
        <v>2.1768292682926829</v>
      </c>
      <c r="O26" s="75">
        <f>M26/F3</f>
        <v>2.4723557692307692</v>
      </c>
    </row>
    <row r="27" spans="1:18" ht="16.5" thickBot="1">
      <c r="A27" s="69">
        <v>20</v>
      </c>
      <c r="B27" s="853" t="s">
        <v>51</v>
      </c>
      <c r="C27" s="71">
        <v>270</v>
      </c>
      <c r="D27" s="71"/>
      <c r="E27" s="71">
        <v>300</v>
      </c>
      <c r="F27" s="34">
        <v>5</v>
      </c>
      <c r="G27" s="1059">
        <f>'17-08-2026'!G27+'18-08-2026'!F27</f>
        <v>85</v>
      </c>
      <c r="H27" s="73">
        <f>F27/E3</f>
        <v>3.048780487804878E-2</v>
      </c>
      <c r="I27" s="34">
        <f t="shared" si="0"/>
        <v>265</v>
      </c>
      <c r="J27" s="73">
        <f>G27/F3</f>
        <v>3.4054487179487176E-2</v>
      </c>
      <c r="K27" s="34">
        <v>107000</v>
      </c>
      <c r="L27" s="44">
        <f t="shared" si="1"/>
        <v>535</v>
      </c>
      <c r="M27" s="44">
        <f t="shared" si="2"/>
        <v>9095</v>
      </c>
      <c r="N27" s="74">
        <f>L27/E3</f>
        <v>3.2621951219512195</v>
      </c>
      <c r="O27" s="75">
        <f>M27/F3</f>
        <v>3.6438301282051282</v>
      </c>
    </row>
    <row r="28" spans="1:18" ht="16.5" thickBot="1">
      <c r="A28" s="69">
        <v>21</v>
      </c>
      <c r="B28" s="234" t="s">
        <v>52</v>
      </c>
      <c r="C28" s="71">
        <v>207</v>
      </c>
      <c r="D28" s="71"/>
      <c r="E28" s="71">
        <v>175</v>
      </c>
      <c r="F28" s="34">
        <v>3</v>
      </c>
      <c r="G28" s="1059">
        <f>'17-08-2026'!G28+'18-08-2026'!F28</f>
        <v>51</v>
      </c>
      <c r="H28" s="73">
        <f>F28/E3</f>
        <v>1.8292682926829267E-2</v>
      </c>
      <c r="I28" s="34">
        <f t="shared" si="0"/>
        <v>204</v>
      </c>
      <c r="J28" s="73">
        <f>G28/F3</f>
        <v>2.0432692307692308E-2</v>
      </c>
      <c r="K28" s="34">
        <v>100000</v>
      </c>
      <c r="L28" s="44">
        <f t="shared" si="1"/>
        <v>300</v>
      </c>
      <c r="M28" s="44">
        <f t="shared" si="2"/>
        <v>5100</v>
      </c>
      <c r="N28" s="74">
        <f>L28/E3</f>
        <v>1.8292682926829269</v>
      </c>
      <c r="O28" s="75">
        <f>M28/F3</f>
        <v>2.0432692307692308</v>
      </c>
    </row>
    <row r="29" spans="1:18" ht="16.5" thickBot="1">
      <c r="A29" s="69">
        <v>22</v>
      </c>
      <c r="B29" s="853" t="s">
        <v>53</v>
      </c>
      <c r="C29" s="71">
        <v>66</v>
      </c>
      <c r="D29" s="71"/>
      <c r="E29" s="71">
        <v>50</v>
      </c>
      <c r="F29" s="34">
        <v>1</v>
      </c>
      <c r="G29" s="24">
        <f>'17-08-2026'!G29+'18-08-2026'!F29</f>
        <v>17</v>
      </c>
      <c r="H29" s="73">
        <f>F29/E3</f>
        <v>6.0975609756097563E-3</v>
      </c>
      <c r="I29" s="34">
        <f t="shared" si="0"/>
        <v>65</v>
      </c>
      <c r="J29" s="73">
        <f>G29/F3</f>
        <v>6.810897435897436E-3</v>
      </c>
      <c r="K29" s="34">
        <v>255000</v>
      </c>
      <c r="L29" s="44">
        <f t="shared" si="1"/>
        <v>255</v>
      </c>
      <c r="M29" s="44">
        <f t="shared" si="2"/>
        <v>4335</v>
      </c>
      <c r="N29" s="74">
        <f>L29/E3</f>
        <v>1.5548780487804879</v>
      </c>
      <c r="O29" s="1047">
        <f>M29/F3</f>
        <v>1.7367788461538463</v>
      </c>
    </row>
    <row r="30" spans="1:18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'17-08-2026'!G30+'18-08-2026'!F30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8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'16.08.2026'!G31+'17-08-2026'!F31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8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1346.8852439024386</v>
      </c>
      <c r="O32" s="985">
        <f>SUM(O8,O9,O10,O11,O12,O13,O14,O15,O16,O17,O18,O19,O20,O21,O22,O23,O24,O25,O26,O27,O28,O29,O30,O31,)</f>
        <v>1436.5224178685894</v>
      </c>
    </row>
    <row r="33" spans="1:15" ht="16.5" thickBot="1">
      <c r="A33" s="1035">
        <v>1</v>
      </c>
      <c r="B33" s="1036" t="s">
        <v>125</v>
      </c>
      <c r="C33" s="1037">
        <v>8</v>
      </c>
      <c r="D33" s="1096"/>
      <c r="E33" s="1096"/>
      <c r="F33" s="1034">
        <v>14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>
        <v>2</v>
      </c>
      <c r="B34" s="1036" t="s">
        <v>121</v>
      </c>
      <c r="C34" s="966">
        <v>7</v>
      </c>
      <c r="D34" s="1096"/>
      <c r="E34" s="1096"/>
      <c r="F34" s="1034">
        <v>12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1035">
        <v>3</v>
      </c>
      <c r="B35" s="1036" t="s">
        <v>144</v>
      </c>
      <c r="C35" s="1037">
        <v>8</v>
      </c>
      <c r="D35" s="1096"/>
      <c r="E35" s="1096"/>
      <c r="F35" s="1034">
        <v>14</v>
      </c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>
        <v>4</v>
      </c>
      <c r="B36" s="1036" t="s">
        <v>115</v>
      </c>
      <c r="C36" s="966">
        <v>72</v>
      </c>
      <c r="D36" s="1096"/>
      <c r="E36" s="1096"/>
      <c r="F36" s="1034">
        <v>124</v>
      </c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1.3468852439024386</v>
      </c>
      <c r="O36" s="980">
        <f>O32/1000</f>
        <v>1.4365224178685894</v>
      </c>
    </row>
    <row r="37" spans="1:15" ht="19.5">
      <c r="A37" s="104"/>
      <c r="B37" s="1036"/>
      <c r="C37" s="1064"/>
      <c r="D37" s="1096"/>
      <c r="E37" s="1096"/>
      <c r="F37" s="1034"/>
      <c r="G37" s="149"/>
      <c r="H37" s="149"/>
      <c r="I37" s="149"/>
      <c r="J37" s="149"/>
      <c r="K37" s="116"/>
      <c r="L37" s="1065"/>
      <c r="M37" s="1066"/>
      <c r="N37" s="1067"/>
      <c r="O37" s="1068"/>
    </row>
    <row r="38" spans="1:15" ht="20.25" thickBot="1">
      <c r="A38" s="104"/>
      <c r="B38" s="1036"/>
      <c r="C38" s="1029"/>
      <c r="D38" s="1096"/>
      <c r="E38" s="1096"/>
      <c r="F38" s="1034"/>
      <c r="G38" s="1022"/>
      <c r="H38" s="1103"/>
      <c r="I38" s="1103"/>
      <c r="J38" s="1103"/>
      <c r="K38" s="1022"/>
      <c r="L38" s="1025"/>
      <c r="M38" s="1"/>
      <c r="N38" s="1"/>
      <c r="O38" s="1"/>
    </row>
    <row r="39" spans="1:15" ht="23.25" thickBot="1">
      <c r="A39" s="1031">
        <v>3</v>
      </c>
      <c r="B39" s="1032" t="s">
        <v>60</v>
      </c>
      <c r="C39" s="1033">
        <f>SUM(C33:C38,K33:K38)</f>
        <v>95</v>
      </c>
      <c r="D39" s="1523">
        <f>SUM(F33:F38,L33:L38)</f>
        <v>164</v>
      </c>
      <c r="E39" s="1524"/>
      <c r="F39" s="1525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9:F39"/>
    <mergeCell ref="D33:E38"/>
    <mergeCell ref="H33:J33"/>
    <mergeCell ref="M33:M35"/>
    <mergeCell ref="H34:J34"/>
    <mergeCell ref="H35:J35"/>
    <mergeCell ref="H36:J36"/>
    <mergeCell ref="H38:J38"/>
  </mergeCell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39"/>
  <sheetViews>
    <sheetView topLeftCell="A4" workbookViewId="0">
      <selection activeCell="I23" sqref="I23"/>
    </sheetView>
  </sheetViews>
  <sheetFormatPr defaultRowHeight="15"/>
  <cols>
    <col min="1" max="1" width="5.28515625" customWidth="1"/>
    <col min="2" max="2" width="27.140625" customWidth="1"/>
    <col min="3" max="3" width="9.5703125" customWidth="1"/>
    <col min="8" max="8" width="10.7109375" customWidth="1"/>
    <col min="10" max="10" width="11.42578125" customWidth="1"/>
    <col min="12" max="12" width="12.42578125" customWidth="1"/>
    <col min="13" max="13" width="12.85546875" customWidth="1"/>
    <col min="15" max="15" width="12.7109375" customWidth="1"/>
  </cols>
  <sheetData>
    <row r="1" spans="1:19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9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  <c r="Q2" s="1060"/>
    </row>
    <row r="3" spans="1:19" ht="20.25" thickBot="1">
      <c r="A3" s="1124" t="s">
        <v>2</v>
      </c>
      <c r="B3" s="1125"/>
      <c r="C3" s="1125"/>
      <c r="D3" s="1126"/>
      <c r="E3" s="3">
        <v>155</v>
      </c>
      <c r="F3" s="3">
        <f>2496+E3</f>
        <v>2651</v>
      </c>
      <c r="G3" s="1526" t="s">
        <v>200</v>
      </c>
      <c r="H3" s="1527"/>
      <c r="I3" s="1129" t="s">
        <v>199</v>
      </c>
      <c r="J3" s="1130"/>
      <c r="K3" s="1130"/>
      <c r="L3" s="1130"/>
      <c r="M3" s="1130"/>
      <c r="N3" s="1130"/>
      <c r="O3" s="1131"/>
      <c r="Q3" s="1061"/>
    </row>
    <row r="4" spans="1:19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9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  <c r="Q5" s="1060"/>
    </row>
    <row r="6" spans="1:19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9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9" ht="16.5" thickBot="1">
      <c r="A8" s="20">
        <v>1</v>
      </c>
      <c r="B8" s="933" t="s">
        <v>32</v>
      </c>
      <c r="C8" s="22">
        <v>29050</v>
      </c>
      <c r="D8" s="23">
        <v>0</v>
      </c>
      <c r="E8" s="22">
        <f>20000+D8</f>
        <v>20000</v>
      </c>
      <c r="F8" s="22">
        <v>3700</v>
      </c>
      <c r="G8" s="24">
        <f>+'18-08-2026'!G8+'19.08.2026'!F8</f>
        <v>70950</v>
      </c>
      <c r="H8" s="25">
        <f>F8/E3</f>
        <v>23.870967741935484</v>
      </c>
      <c r="I8" s="22">
        <f t="shared" ref="I8:I31" si="0">(C8-F8)+D8</f>
        <v>25350</v>
      </c>
      <c r="J8" s="26">
        <f>G8/F3</f>
        <v>26.763485477178424</v>
      </c>
      <c r="K8" s="24">
        <v>36000</v>
      </c>
      <c r="L8" s="27">
        <f t="shared" ref="L8:L31" si="1">(F8/1000)*K8</f>
        <v>133200</v>
      </c>
      <c r="M8" s="28">
        <f t="shared" ref="M8:M31" si="2">(G8/1000)*K8</f>
        <v>2554200</v>
      </c>
      <c r="N8" s="29">
        <f>L8/E3</f>
        <v>859.35483870967744</v>
      </c>
      <c r="O8" s="30">
        <f>M8/F3</f>
        <v>963.48547717842325</v>
      </c>
    </row>
    <row r="9" spans="1:19" ht="16.5" thickBot="1">
      <c r="A9" s="31">
        <v>2</v>
      </c>
      <c r="B9" s="817" t="s">
        <v>33</v>
      </c>
      <c r="C9" s="33">
        <v>13847</v>
      </c>
      <c r="D9" s="34"/>
      <c r="E9" s="33">
        <v>15000</v>
      </c>
      <c r="F9" s="33">
        <v>233</v>
      </c>
      <c r="G9" s="24">
        <f>+'18-08-2026'!G9+'19.08.2026'!F9</f>
        <v>3956</v>
      </c>
      <c r="H9" s="36">
        <f>F9/E3</f>
        <v>1.5032258064516129</v>
      </c>
      <c r="I9" s="33">
        <f t="shared" si="0"/>
        <v>13614</v>
      </c>
      <c r="J9" s="37">
        <f>G9/F3</f>
        <v>1.4922670690305546</v>
      </c>
      <c r="K9" s="35">
        <v>33500</v>
      </c>
      <c r="L9" s="38">
        <f t="shared" si="1"/>
        <v>7805.5</v>
      </c>
      <c r="M9" s="38">
        <f t="shared" si="2"/>
        <v>132526</v>
      </c>
      <c r="N9" s="39">
        <f>L9/E3</f>
        <v>50.358064516129033</v>
      </c>
      <c r="O9" s="40">
        <f>M9/F3</f>
        <v>49.990946812523575</v>
      </c>
      <c r="Q9" s="149"/>
    </row>
    <row r="10" spans="1:19" ht="16.5" thickBot="1">
      <c r="A10" s="31">
        <v>3</v>
      </c>
      <c r="B10" s="817" t="s">
        <v>34</v>
      </c>
      <c r="C10" s="33">
        <v>3033</v>
      </c>
      <c r="D10" s="34"/>
      <c r="E10" s="33"/>
      <c r="F10" s="33">
        <v>87</v>
      </c>
      <c r="G10" s="24">
        <f>+'18-08-2026'!G10+'19.08.2026'!F10</f>
        <v>1443</v>
      </c>
      <c r="H10" s="36">
        <f>F10/E3</f>
        <v>0.56129032258064515</v>
      </c>
      <c r="I10" s="33">
        <f t="shared" si="0"/>
        <v>2946</v>
      </c>
      <c r="J10" s="37">
        <f>G10/F3</f>
        <v>0.54432289701999248</v>
      </c>
      <c r="K10" s="35">
        <v>98000</v>
      </c>
      <c r="L10" s="38">
        <f t="shared" si="1"/>
        <v>8526</v>
      </c>
      <c r="M10" s="38">
        <f t="shared" si="2"/>
        <v>141414</v>
      </c>
      <c r="N10" s="39">
        <f>L10/E3</f>
        <v>55.006451612903227</v>
      </c>
      <c r="O10" s="40">
        <f>M10/F3</f>
        <v>53.343643907959262</v>
      </c>
      <c r="R10" s="1062"/>
      <c r="S10" s="149"/>
    </row>
    <row r="11" spans="1:19" ht="16.5" thickBot="1">
      <c r="A11" s="31">
        <v>4</v>
      </c>
      <c r="B11" s="817" t="s">
        <v>35</v>
      </c>
      <c r="C11" s="33">
        <v>15.952860000000005</v>
      </c>
      <c r="D11" s="34"/>
      <c r="E11" s="33"/>
      <c r="F11" s="1058">
        <v>4.24E-2</v>
      </c>
      <c r="G11" s="24">
        <f>+'18-08-2026'!G11+'19.08.2026'!F11</f>
        <v>0.92954000000000003</v>
      </c>
      <c r="H11" s="42">
        <f>F11/E3</f>
        <v>2.7354838709677421E-4</v>
      </c>
      <c r="I11" s="33">
        <f t="shared" si="0"/>
        <v>15.910460000000004</v>
      </c>
      <c r="J11" s="43">
        <f>G11/F3</f>
        <v>3.506374952847982E-4</v>
      </c>
      <c r="K11" s="35">
        <v>750000</v>
      </c>
      <c r="L11" s="38">
        <f t="shared" si="1"/>
        <v>31.8</v>
      </c>
      <c r="M11" s="38">
        <f t="shared" si="2"/>
        <v>697.15500000000009</v>
      </c>
      <c r="N11" s="39">
        <f>L11/E3</f>
        <v>0.20516129032258065</v>
      </c>
      <c r="O11" s="40">
        <f>M11/F3</f>
        <v>0.26297812146359867</v>
      </c>
    </row>
    <row r="12" spans="1:19" ht="16.5" thickBot="1">
      <c r="A12" s="31">
        <v>5</v>
      </c>
      <c r="B12" s="817" t="s">
        <v>36</v>
      </c>
      <c r="C12" s="33">
        <v>673.7</v>
      </c>
      <c r="D12" s="34"/>
      <c r="E12" s="33"/>
      <c r="F12" s="33">
        <v>23</v>
      </c>
      <c r="G12" s="24">
        <f>+'18-08-2026'!G12+'19.08.2026'!F12</f>
        <v>294</v>
      </c>
      <c r="H12" s="36">
        <f>F12/E3</f>
        <v>0.14838709677419354</v>
      </c>
      <c r="I12" s="33">
        <f t="shared" si="0"/>
        <v>650.70000000000005</v>
      </c>
      <c r="J12" s="37">
        <f>G12/F3</f>
        <v>0.11090154658619389</v>
      </c>
      <c r="K12" s="35">
        <v>350000</v>
      </c>
      <c r="L12" s="38">
        <f t="shared" si="1"/>
        <v>8050</v>
      </c>
      <c r="M12" s="38">
        <f t="shared" si="2"/>
        <v>102900</v>
      </c>
      <c r="N12" s="39">
        <f>L12/E3</f>
        <v>51.935483870967744</v>
      </c>
      <c r="O12" s="40">
        <f>M12/F3</f>
        <v>38.815541305167862</v>
      </c>
      <c r="Q12" s="149"/>
    </row>
    <row r="13" spans="1:19" ht="16.5" thickBot="1">
      <c r="A13" s="31">
        <v>6</v>
      </c>
      <c r="B13" s="817" t="s">
        <v>37</v>
      </c>
      <c r="C13" s="33">
        <v>165</v>
      </c>
      <c r="D13" s="34"/>
      <c r="E13" s="33"/>
      <c r="F13" s="159">
        <v>50</v>
      </c>
      <c r="G13" s="24">
        <f>+'18-08-2026'!G13+'19.08.2026'!F13</f>
        <v>825</v>
      </c>
      <c r="H13" s="36">
        <f>F13/E3</f>
        <v>0.32258064516129031</v>
      </c>
      <c r="I13" s="33">
        <f t="shared" si="0"/>
        <v>115</v>
      </c>
      <c r="J13" s="37">
        <f>G13/F3</f>
        <v>0.31120331950207469</v>
      </c>
      <c r="K13" s="35">
        <v>215000</v>
      </c>
      <c r="L13" s="38">
        <f t="shared" si="1"/>
        <v>10750</v>
      </c>
      <c r="M13" s="38">
        <f t="shared" si="2"/>
        <v>177375</v>
      </c>
      <c r="N13" s="39">
        <f>L13/E3</f>
        <v>69.354838709677423</v>
      </c>
      <c r="O13" s="40">
        <f>M13/F3</f>
        <v>66.908713692946051</v>
      </c>
      <c r="S13" s="1062"/>
    </row>
    <row r="14" spans="1:19" ht="16.5" thickBot="1">
      <c r="A14" s="31">
        <v>7</v>
      </c>
      <c r="B14" s="817" t="s">
        <v>38</v>
      </c>
      <c r="C14" s="33">
        <v>2288</v>
      </c>
      <c r="D14" s="34"/>
      <c r="E14" s="1016"/>
      <c r="F14" s="33">
        <v>34</v>
      </c>
      <c r="G14" s="24">
        <f>+'18-08-2026'!G14+'19.08.2026'!F14</f>
        <v>904</v>
      </c>
      <c r="H14" s="1017">
        <f>F14/E3</f>
        <v>0.21935483870967742</v>
      </c>
      <c r="I14" s="33">
        <f t="shared" si="0"/>
        <v>2254</v>
      </c>
      <c r="J14" s="37">
        <f>G14/F3</f>
        <v>0.34100339494530368</v>
      </c>
      <c r="K14" s="35">
        <v>151000</v>
      </c>
      <c r="L14" s="38">
        <f t="shared" si="1"/>
        <v>5134</v>
      </c>
      <c r="M14" s="38">
        <f t="shared" si="2"/>
        <v>136504</v>
      </c>
      <c r="N14" s="39">
        <f>L14/E3</f>
        <v>33.122580645161293</v>
      </c>
      <c r="O14" s="40">
        <f>M14/F3</f>
        <v>51.49151263674085</v>
      </c>
      <c r="Q14" s="149"/>
    </row>
    <row r="15" spans="1:19" ht="16.5" thickBot="1">
      <c r="A15" s="31">
        <v>8</v>
      </c>
      <c r="B15" s="817" t="s">
        <v>39</v>
      </c>
      <c r="C15" s="33">
        <v>593</v>
      </c>
      <c r="D15" s="33"/>
      <c r="E15" s="33"/>
      <c r="F15" s="1018">
        <v>20</v>
      </c>
      <c r="G15" s="24">
        <f>+'18-08-2026'!G15+'19.08.2026'!F15</f>
        <v>325</v>
      </c>
      <c r="H15" s="36">
        <f>F15/E3</f>
        <v>0.12903225806451613</v>
      </c>
      <c r="I15" s="33">
        <f t="shared" si="0"/>
        <v>573</v>
      </c>
      <c r="J15" s="37">
        <f>G15/F3</f>
        <v>0.12259524707657488</v>
      </c>
      <c r="K15" s="35">
        <v>255000</v>
      </c>
      <c r="L15" s="38">
        <f t="shared" si="1"/>
        <v>5100</v>
      </c>
      <c r="M15" s="38">
        <f t="shared" si="2"/>
        <v>82875</v>
      </c>
      <c r="N15" s="39">
        <f>L15/E3</f>
        <v>32.903225806451616</v>
      </c>
      <c r="O15" s="40">
        <f>M15/F3</f>
        <v>31.261788004526593</v>
      </c>
      <c r="Q15" s="149"/>
    </row>
    <row r="16" spans="1:19" ht="16.5" thickBot="1">
      <c r="A16" s="31">
        <v>9</v>
      </c>
      <c r="B16" s="817" t="s">
        <v>40</v>
      </c>
      <c r="C16" s="33">
        <v>13</v>
      </c>
      <c r="D16" s="34"/>
      <c r="E16" s="33"/>
      <c r="F16" s="33">
        <v>0</v>
      </c>
      <c r="G16" s="24">
        <f>+'18-08-2026'!G16+'19.08.2026'!F16</f>
        <v>6</v>
      </c>
      <c r="H16" s="36">
        <f>F16/E3</f>
        <v>0</v>
      </c>
      <c r="I16" s="33">
        <f t="shared" si="0"/>
        <v>13</v>
      </c>
      <c r="J16" s="37">
        <f>G16/F3</f>
        <v>2.2632968691059978E-3</v>
      </c>
      <c r="K16" s="35">
        <v>348200</v>
      </c>
      <c r="L16" s="38">
        <f t="shared" si="1"/>
        <v>0</v>
      </c>
      <c r="M16" s="44">
        <f t="shared" si="2"/>
        <v>2089.1999999999998</v>
      </c>
      <c r="N16" s="39">
        <f>L16/E3</f>
        <v>0</v>
      </c>
      <c r="O16" s="40">
        <f>M16/F3</f>
        <v>0.78807996982270834</v>
      </c>
      <c r="Q16" s="1063"/>
      <c r="S16" s="1062"/>
    </row>
    <row r="17" spans="1:18" ht="16.5" thickBot="1">
      <c r="A17" s="991">
        <v>10</v>
      </c>
      <c r="B17" s="992" t="s">
        <v>41</v>
      </c>
      <c r="C17" s="993">
        <v>2975</v>
      </c>
      <c r="D17" s="993"/>
      <c r="E17" s="993">
        <v>475</v>
      </c>
      <c r="F17" s="993">
        <v>0</v>
      </c>
      <c r="G17" s="24">
        <f>+'18-08-2026'!G17+'19.08.2026'!F17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  <c r="Q17" s="116"/>
    </row>
    <row r="18" spans="1:18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+'18-08-2026'!G18+'19.08.2026'!F18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  <c r="Q18" s="1063"/>
    </row>
    <row r="19" spans="1:18" ht="16.5" thickBot="1">
      <c r="A19" s="58">
        <v>12</v>
      </c>
      <c r="B19" s="843" t="s">
        <v>43</v>
      </c>
      <c r="C19" s="60">
        <v>70.099999999999994</v>
      </c>
      <c r="D19" s="61"/>
      <c r="E19" s="61"/>
      <c r="F19" s="62">
        <v>7.8</v>
      </c>
      <c r="G19" s="24">
        <f>+'18-08-2026'!G19+'19.08.2026'!F19</f>
        <v>142.10000000000002</v>
      </c>
      <c r="H19" s="64">
        <f>F19/E3</f>
        <v>5.0322580645161291E-2</v>
      </c>
      <c r="I19" s="65">
        <f t="shared" si="0"/>
        <v>62.3</v>
      </c>
      <c r="J19" s="66">
        <f>G19/F3</f>
        <v>5.3602414183327056E-2</v>
      </c>
      <c r="K19" s="60">
        <v>377600</v>
      </c>
      <c r="L19" s="67">
        <f t="shared" si="1"/>
        <v>2945.2799999999997</v>
      </c>
      <c r="M19" s="67">
        <f t="shared" si="2"/>
        <v>53656.960000000014</v>
      </c>
      <c r="N19" s="67">
        <f>L19/E3</f>
        <v>19.0018064516129</v>
      </c>
      <c r="O19" s="68">
        <f>M19/F3</f>
        <v>20.240271595624296</v>
      </c>
      <c r="Q19" s="149"/>
      <c r="R19" s="116"/>
    </row>
    <row r="20" spans="1:18" ht="16.5" thickBot="1">
      <c r="A20" s="58">
        <v>13</v>
      </c>
      <c r="B20" s="843" t="s">
        <v>44</v>
      </c>
      <c r="C20" s="60">
        <v>110.16200000000003</v>
      </c>
      <c r="D20" s="61"/>
      <c r="E20" s="61"/>
      <c r="F20" s="62">
        <v>10</v>
      </c>
      <c r="G20" s="24">
        <f>+'18-08-2026'!G20+'19.08.2026'!F20</f>
        <v>119.39999999999999</v>
      </c>
      <c r="H20" s="66">
        <f>F20/E3</f>
        <v>6.4516129032258063E-2</v>
      </c>
      <c r="I20" s="60">
        <f t="shared" si="0"/>
        <v>100.16200000000003</v>
      </c>
      <c r="J20" s="66">
        <f>G20/F3</f>
        <v>4.5039607695209351E-2</v>
      </c>
      <c r="K20" s="60">
        <v>271400</v>
      </c>
      <c r="L20" s="67">
        <f t="shared" si="1"/>
        <v>2714</v>
      </c>
      <c r="M20" s="67">
        <f t="shared" si="2"/>
        <v>32405.159999999996</v>
      </c>
      <c r="N20" s="67">
        <f>L20/E3</f>
        <v>17.509677419354837</v>
      </c>
      <c r="O20" s="68">
        <f>M20/F3</f>
        <v>12.223749528479818</v>
      </c>
      <c r="Q20" s="1070"/>
    </row>
    <row r="21" spans="1:18" ht="16.5" thickBot="1">
      <c r="A21" s="58">
        <v>14</v>
      </c>
      <c r="B21" s="843" t="s">
        <v>45</v>
      </c>
      <c r="C21" s="60">
        <v>1548.7</v>
      </c>
      <c r="D21" s="61"/>
      <c r="E21" s="61"/>
      <c r="F21" s="62">
        <v>70.5</v>
      </c>
      <c r="G21" s="24">
        <f>+'18-08-2026'!G21+'19.08.2026'!F21</f>
        <v>1250.3999999999996</v>
      </c>
      <c r="H21" s="66">
        <f>F21/E3</f>
        <v>0.45483870967741935</v>
      </c>
      <c r="I21" s="65">
        <f t="shared" si="0"/>
        <v>1478.2</v>
      </c>
      <c r="J21" s="66">
        <f>G21/F3</f>
        <v>0.4716710675216898</v>
      </c>
      <c r="K21" s="60">
        <v>271400</v>
      </c>
      <c r="L21" s="67">
        <f t="shared" si="1"/>
        <v>19133.699999999997</v>
      </c>
      <c r="M21" s="67">
        <f t="shared" si="2"/>
        <v>339358.55999999994</v>
      </c>
      <c r="N21" s="67">
        <f>L21/E3</f>
        <v>123.44322580645159</v>
      </c>
      <c r="O21" s="68">
        <f>M21/F3</f>
        <v>128.01152772538663</v>
      </c>
    </row>
    <row r="22" spans="1:18" ht="16.5" thickBot="1">
      <c r="A22" s="69">
        <v>15</v>
      </c>
      <c r="B22" s="853" t="s">
        <v>46</v>
      </c>
      <c r="C22" s="71">
        <v>41</v>
      </c>
      <c r="D22" s="72"/>
      <c r="E22" s="72"/>
      <c r="F22" s="34">
        <v>3</v>
      </c>
      <c r="G22" s="24">
        <f>+'18-08-2026'!G22+'19.08.2026'!F22</f>
        <v>24</v>
      </c>
      <c r="H22" s="73">
        <f>F22/E3</f>
        <v>1.935483870967742E-2</v>
      </c>
      <c r="I22" s="34">
        <f t="shared" si="0"/>
        <v>38</v>
      </c>
      <c r="J22" s="73">
        <f>G22/F3</f>
        <v>9.0531874764239913E-3</v>
      </c>
      <c r="K22" s="34">
        <v>41000</v>
      </c>
      <c r="L22" s="44">
        <f t="shared" si="1"/>
        <v>123</v>
      </c>
      <c r="M22" s="44">
        <f t="shared" si="2"/>
        <v>984</v>
      </c>
      <c r="N22" s="74">
        <f>L22/E3</f>
        <v>0.79354838709677422</v>
      </c>
      <c r="O22" s="75">
        <f>M22/F3</f>
        <v>0.37118068653338365</v>
      </c>
    </row>
    <row r="23" spans="1:18" ht="16.5" thickBot="1">
      <c r="A23" s="69">
        <v>16</v>
      </c>
      <c r="B23" s="234" t="s">
        <v>47</v>
      </c>
      <c r="C23" s="71">
        <v>337.4</v>
      </c>
      <c r="D23" s="72"/>
      <c r="E23" s="34">
        <v>300</v>
      </c>
      <c r="F23" s="34">
        <v>3</v>
      </c>
      <c r="G23" s="24">
        <f>+'18-08-2026'!G23+'19.08.2026'!F23</f>
        <v>259.8</v>
      </c>
      <c r="H23" s="73">
        <f>F23/E3</f>
        <v>1.935483870967742E-2</v>
      </c>
      <c r="I23" s="34">
        <f t="shared" si="0"/>
        <v>334.4</v>
      </c>
      <c r="J23" s="73">
        <f>G23/F3</f>
        <v>9.80007544322897E-2</v>
      </c>
      <c r="K23" s="34">
        <v>24000</v>
      </c>
      <c r="L23" s="44">
        <f t="shared" si="1"/>
        <v>72</v>
      </c>
      <c r="M23" s="44">
        <f t="shared" si="2"/>
        <v>6235.2000000000007</v>
      </c>
      <c r="N23" s="74">
        <f>L23/E3</f>
        <v>0.46451612903225808</v>
      </c>
      <c r="O23" s="75">
        <f>M23/F3</f>
        <v>2.352018106374953</v>
      </c>
    </row>
    <row r="24" spans="1:18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+'18-08-2026'!G24+'19.08.2026'!F24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8" ht="16.5" thickBot="1">
      <c r="A25" s="69">
        <v>18</v>
      </c>
      <c r="B25" s="853" t="s">
        <v>49</v>
      </c>
      <c r="C25" s="71">
        <v>265</v>
      </c>
      <c r="D25" s="71"/>
      <c r="E25" s="34">
        <v>300</v>
      </c>
      <c r="F25" s="34">
        <v>5</v>
      </c>
      <c r="G25" s="24">
        <f>+'18-08-2026'!G25+'19.08.2026'!F25</f>
        <v>90</v>
      </c>
      <c r="H25" s="73">
        <f>F25/E3</f>
        <v>3.2258064516129031E-2</v>
      </c>
      <c r="I25" s="34">
        <f t="shared" si="0"/>
        <v>260</v>
      </c>
      <c r="J25" s="73">
        <f>G25/F3</f>
        <v>3.3949453036589965E-2</v>
      </c>
      <c r="K25" s="34">
        <v>14400</v>
      </c>
      <c r="L25" s="44">
        <f t="shared" si="1"/>
        <v>72</v>
      </c>
      <c r="M25" s="44">
        <f t="shared" si="2"/>
        <v>1296</v>
      </c>
      <c r="N25" s="74">
        <f>L25/E3</f>
        <v>0.46451612903225808</v>
      </c>
      <c r="O25" s="75">
        <f>M25/F3</f>
        <v>0.48887212372689554</v>
      </c>
    </row>
    <row r="26" spans="1:18" ht="16.5" thickBot="1">
      <c r="A26" s="69">
        <v>19</v>
      </c>
      <c r="B26" s="853" t="s">
        <v>50</v>
      </c>
      <c r="C26" s="71">
        <v>170</v>
      </c>
      <c r="D26" s="34"/>
      <c r="E26" s="71">
        <v>150</v>
      </c>
      <c r="F26" s="34">
        <v>3.5</v>
      </c>
      <c r="G26" s="24">
        <f>+'18-08-2026'!G26+'19.08.2026'!F26</f>
        <v>64</v>
      </c>
      <c r="H26" s="73">
        <f>F26/E3</f>
        <v>2.2580645161290321E-2</v>
      </c>
      <c r="I26" s="34">
        <f t="shared" si="0"/>
        <v>166.5</v>
      </c>
      <c r="J26" s="73">
        <f>G26/F3</f>
        <v>2.4141833270463976E-2</v>
      </c>
      <c r="K26" s="34">
        <v>102000</v>
      </c>
      <c r="L26" s="44">
        <f t="shared" si="1"/>
        <v>357</v>
      </c>
      <c r="M26" s="44">
        <f t="shared" si="2"/>
        <v>6528</v>
      </c>
      <c r="N26" s="74">
        <f>L26/E3</f>
        <v>2.3032258064516129</v>
      </c>
      <c r="O26" s="75">
        <f>M26/F3</f>
        <v>2.4624669935873253</v>
      </c>
    </row>
    <row r="27" spans="1:18" ht="16.5" thickBot="1">
      <c r="A27" s="69">
        <v>20</v>
      </c>
      <c r="B27" s="853" t="s">
        <v>51</v>
      </c>
      <c r="C27" s="71">
        <v>265</v>
      </c>
      <c r="D27" s="71"/>
      <c r="E27" s="71">
        <v>300</v>
      </c>
      <c r="F27" s="34">
        <v>5</v>
      </c>
      <c r="G27" s="24">
        <f>+'18-08-2026'!G27+'19.08.2026'!F27</f>
        <v>90</v>
      </c>
      <c r="H27" s="73">
        <f>F27/E3</f>
        <v>3.2258064516129031E-2</v>
      </c>
      <c r="I27" s="34">
        <f t="shared" si="0"/>
        <v>260</v>
      </c>
      <c r="J27" s="73">
        <f>G27/F3</f>
        <v>3.3949453036589965E-2</v>
      </c>
      <c r="K27" s="34">
        <v>107000</v>
      </c>
      <c r="L27" s="44">
        <f t="shared" si="1"/>
        <v>535</v>
      </c>
      <c r="M27" s="44">
        <f t="shared" si="2"/>
        <v>9630</v>
      </c>
      <c r="N27" s="74">
        <f>L27/E3</f>
        <v>3.4516129032258065</v>
      </c>
      <c r="O27" s="75">
        <f>M27/F3</f>
        <v>3.6325914749151265</v>
      </c>
    </row>
    <row r="28" spans="1:18" ht="16.5" thickBot="1">
      <c r="A28" s="69">
        <v>21</v>
      </c>
      <c r="B28" s="234" t="s">
        <v>52</v>
      </c>
      <c r="C28" s="71">
        <v>204</v>
      </c>
      <c r="D28" s="71"/>
      <c r="E28" s="71">
        <v>175</v>
      </c>
      <c r="F28" s="34">
        <v>3</v>
      </c>
      <c r="G28" s="24">
        <f>+'18-08-2026'!G28+'19.08.2026'!F28</f>
        <v>54</v>
      </c>
      <c r="H28" s="73">
        <f>F28/E3</f>
        <v>1.935483870967742E-2</v>
      </c>
      <c r="I28" s="34">
        <f t="shared" si="0"/>
        <v>201</v>
      </c>
      <c r="J28" s="73">
        <f>G28/F3</f>
        <v>2.0369671821953979E-2</v>
      </c>
      <c r="K28" s="34">
        <v>100000</v>
      </c>
      <c r="L28" s="44">
        <f t="shared" si="1"/>
        <v>300</v>
      </c>
      <c r="M28" s="44">
        <f t="shared" si="2"/>
        <v>5400</v>
      </c>
      <c r="N28" s="74">
        <f>L28/E3</f>
        <v>1.935483870967742</v>
      </c>
      <c r="O28" s="75">
        <f>M28/F3</f>
        <v>2.0369671821953981</v>
      </c>
    </row>
    <row r="29" spans="1:18" ht="16.5" thickBot="1">
      <c r="A29" s="69">
        <v>22</v>
      </c>
      <c r="B29" s="853" t="s">
        <v>53</v>
      </c>
      <c r="C29" s="71">
        <v>65</v>
      </c>
      <c r="D29" s="71"/>
      <c r="E29" s="71">
        <v>50</v>
      </c>
      <c r="F29" s="34">
        <v>1</v>
      </c>
      <c r="G29" s="24">
        <f>+'18-08-2026'!G29+'19.08.2026'!F29</f>
        <v>18</v>
      </c>
      <c r="H29" s="73">
        <f>F29/E3</f>
        <v>6.4516129032258064E-3</v>
      </c>
      <c r="I29" s="34">
        <f t="shared" si="0"/>
        <v>64</v>
      </c>
      <c r="J29" s="73">
        <f>G29/F3</f>
        <v>6.7898906073179935E-3</v>
      </c>
      <c r="K29" s="34">
        <v>255000</v>
      </c>
      <c r="L29" s="44">
        <f t="shared" si="1"/>
        <v>255</v>
      </c>
      <c r="M29" s="44">
        <f t="shared" si="2"/>
        <v>4590</v>
      </c>
      <c r="N29" s="74">
        <f>L29/E3</f>
        <v>1.6451612903225807</v>
      </c>
      <c r="O29" s="1047">
        <f>M29/F3</f>
        <v>1.7314221048660883</v>
      </c>
    </row>
    <row r="30" spans="1:18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+'18-08-2026'!G30+'19.08.2026'!F30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8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+'18-08-2026'!G31+'19.08.2026'!F31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8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1323.2534193548393</v>
      </c>
      <c r="O32" s="985">
        <f>SUM(O8,O9,O10,O11,O12,O13,O14,O15,O16,O17,O18,O19,O20,O21,O22,O23,O24,O25,O26,O27,O28,O29,O30,O31,)</f>
        <v>1429.8997491512641</v>
      </c>
    </row>
    <row r="33" spans="1:15" ht="16.5" thickBot="1">
      <c r="A33" s="31">
        <v>4</v>
      </c>
      <c r="B33" s="1036" t="s">
        <v>115</v>
      </c>
      <c r="C33" s="1037">
        <v>92</v>
      </c>
      <c r="D33" s="1096"/>
      <c r="E33" s="1096"/>
      <c r="F33" s="1034">
        <v>155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/>
      <c r="B34" s="1036"/>
      <c r="C34" s="966"/>
      <c r="D34" s="1096"/>
      <c r="E34" s="1096"/>
      <c r="F34" s="1034"/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1035"/>
      <c r="B35" s="1036"/>
      <c r="C35" s="1037"/>
      <c r="D35" s="1096"/>
      <c r="E35" s="1096"/>
      <c r="F35" s="1034"/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1036"/>
      <c r="C36" s="966"/>
      <c r="D36" s="1096"/>
      <c r="E36" s="1096"/>
      <c r="F36" s="1034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1.3232534193548393</v>
      </c>
      <c r="O36" s="980">
        <f>O32/1000</f>
        <v>1.4298997491512642</v>
      </c>
    </row>
    <row r="37" spans="1:15" ht="19.5">
      <c r="A37" s="104"/>
      <c r="B37" s="1036"/>
      <c r="C37" s="1064"/>
      <c r="D37" s="1096"/>
      <c r="E37" s="1096"/>
      <c r="F37" s="1034"/>
      <c r="G37" s="149"/>
      <c r="H37" s="149"/>
      <c r="I37" s="149"/>
      <c r="J37" s="149"/>
      <c r="K37" s="116"/>
      <c r="L37" s="1065"/>
      <c r="M37" s="1066"/>
      <c r="N37" s="1067"/>
      <c r="O37" s="1068"/>
    </row>
    <row r="38" spans="1:15" ht="20.25" thickBot="1">
      <c r="A38" s="104"/>
      <c r="B38" s="1036"/>
      <c r="C38" s="1029"/>
      <c r="D38" s="1096"/>
      <c r="E38" s="1096"/>
      <c r="F38" s="1034"/>
      <c r="G38" s="1022"/>
      <c r="H38" s="1103"/>
      <c r="I38" s="1103"/>
      <c r="J38" s="1103"/>
      <c r="K38" s="1022"/>
      <c r="L38" s="1025"/>
      <c r="M38" s="1"/>
      <c r="N38" s="1"/>
      <c r="O38" s="1"/>
    </row>
    <row r="39" spans="1:15" ht="23.25" thickBot="1">
      <c r="A39" s="1031">
        <v>3</v>
      </c>
      <c r="B39" s="1032" t="s">
        <v>60</v>
      </c>
      <c r="C39" s="1033">
        <f>SUM(C33:C38,K33:K38)</f>
        <v>92</v>
      </c>
      <c r="D39" s="1523">
        <f>SUM(F33:F38,L33:L38)</f>
        <v>155</v>
      </c>
      <c r="E39" s="1524"/>
      <c r="F39" s="1525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9:F39"/>
    <mergeCell ref="D33:E38"/>
    <mergeCell ref="H33:J33"/>
    <mergeCell ref="M33:M35"/>
    <mergeCell ref="H34:J34"/>
    <mergeCell ref="H35:J35"/>
    <mergeCell ref="H36:J36"/>
    <mergeCell ref="H38:J38"/>
  </mergeCell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39"/>
  <sheetViews>
    <sheetView topLeftCell="A4" workbookViewId="0">
      <selection activeCell="I23" sqref="I23"/>
    </sheetView>
  </sheetViews>
  <sheetFormatPr defaultRowHeight="15"/>
  <cols>
    <col min="1" max="1" width="5.28515625" customWidth="1"/>
    <col min="2" max="2" width="27.140625" customWidth="1"/>
    <col min="3" max="3" width="9.5703125" customWidth="1"/>
    <col min="8" max="8" width="10.7109375" customWidth="1"/>
    <col min="10" max="10" width="11.42578125" customWidth="1"/>
    <col min="12" max="12" width="12.42578125" customWidth="1"/>
    <col min="13" max="13" width="12.85546875" customWidth="1"/>
    <col min="15" max="15" width="12.7109375" customWidth="1"/>
  </cols>
  <sheetData>
    <row r="1" spans="1:19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9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  <c r="Q2" s="1060"/>
    </row>
    <row r="3" spans="1:19" ht="20.25" thickBot="1">
      <c r="A3" s="1124" t="s">
        <v>2</v>
      </c>
      <c r="B3" s="1125"/>
      <c r="C3" s="1125"/>
      <c r="D3" s="1126"/>
      <c r="E3" s="3">
        <v>157</v>
      </c>
      <c r="F3" s="3">
        <v>2808</v>
      </c>
      <c r="G3" s="1526" t="s">
        <v>201</v>
      </c>
      <c r="H3" s="1527"/>
      <c r="I3" s="1129" t="s">
        <v>202</v>
      </c>
      <c r="J3" s="1130"/>
      <c r="K3" s="1130"/>
      <c r="L3" s="1130"/>
      <c r="M3" s="1130"/>
      <c r="N3" s="1130"/>
      <c r="O3" s="1131"/>
      <c r="Q3" s="1061"/>
    </row>
    <row r="4" spans="1:19" ht="21.75" thickTop="1" thickBot="1">
      <c r="A4" s="1134" t="s">
        <v>5</v>
      </c>
      <c r="B4" s="1135"/>
      <c r="C4" s="1528" t="s">
        <v>6</v>
      </c>
      <c r="D4" s="1529"/>
      <c r="E4" s="5"/>
      <c r="F4" s="938"/>
      <c r="G4" s="1530" t="s">
        <v>157</v>
      </c>
      <c r="H4" s="1531"/>
      <c r="I4" s="1132"/>
      <c r="J4" s="1132"/>
      <c r="K4" s="1132"/>
      <c r="L4" s="1132"/>
      <c r="M4" s="1132"/>
      <c r="N4" s="1132"/>
      <c r="O4" s="1133"/>
    </row>
    <row r="5" spans="1:19" ht="17.25" thickTop="1" thickBot="1">
      <c r="A5" s="964" t="s">
        <v>8</v>
      </c>
      <c r="B5" s="1043" t="s">
        <v>9</v>
      </c>
      <c r="C5" s="1043" t="s">
        <v>10</v>
      </c>
      <c r="D5" s="1498" t="s">
        <v>11</v>
      </c>
      <c r="E5" s="1499"/>
      <c r="F5" s="1152" t="s">
        <v>12</v>
      </c>
      <c r="G5" s="1518"/>
      <c r="H5" s="1021" t="s">
        <v>13</v>
      </c>
      <c r="I5" s="179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  <c r="Q5" s="1060"/>
    </row>
    <row r="6" spans="1:19" ht="16.5" thickTop="1">
      <c r="A6" s="964" t="s">
        <v>18</v>
      </c>
      <c r="B6" s="1043" t="s">
        <v>19</v>
      </c>
      <c r="C6" s="1043" t="s">
        <v>20</v>
      </c>
      <c r="D6" s="1044" t="s">
        <v>21</v>
      </c>
      <c r="E6" s="1045" t="s">
        <v>14</v>
      </c>
      <c r="F6" s="796" t="s">
        <v>21</v>
      </c>
      <c r="G6" s="796" t="s">
        <v>14</v>
      </c>
      <c r="H6" s="1003" t="s">
        <v>22</v>
      </c>
      <c r="I6" s="179" t="s">
        <v>23</v>
      </c>
      <c r="J6" s="343" t="s">
        <v>22</v>
      </c>
      <c r="K6" s="12" t="s">
        <v>24</v>
      </c>
      <c r="L6" s="800" t="s">
        <v>25</v>
      </c>
      <c r="M6" s="800" t="s">
        <v>26</v>
      </c>
      <c r="N6" s="999" t="s">
        <v>25</v>
      </c>
      <c r="O6" s="939" t="s">
        <v>26</v>
      </c>
    </row>
    <row r="7" spans="1:19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04" t="s">
        <v>28</v>
      </c>
      <c r="I7" s="10" t="s">
        <v>27</v>
      </c>
      <c r="J7" s="799" t="s">
        <v>28</v>
      </c>
      <c r="K7" s="12" t="s">
        <v>29</v>
      </c>
      <c r="L7" s="12" t="s">
        <v>30</v>
      </c>
      <c r="M7" s="12" t="s">
        <v>30</v>
      </c>
      <c r="N7" s="1000" t="s">
        <v>31</v>
      </c>
      <c r="O7" s="1001" t="s">
        <v>31</v>
      </c>
    </row>
    <row r="8" spans="1:19" ht="16.5" thickBot="1">
      <c r="A8" s="20">
        <v>1</v>
      </c>
      <c r="B8" s="933" t="s">
        <v>32</v>
      </c>
      <c r="C8" s="22">
        <v>25350</v>
      </c>
      <c r="D8" s="23">
        <v>0</v>
      </c>
      <c r="E8" s="22">
        <f>20000+D8</f>
        <v>20000</v>
      </c>
      <c r="F8" s="22">
        <v>3900</v>
      </c>
      <c r="G8" s="24">
        <f>'19.08.2026'!G8+'20.08.2026'!F8</f>
        <v>74850</v>
      </c>
      <c r="H8" s="25">
        <f>F8/E3</f>
        <v>24.840764331210192</v>
      </c>
      <c r="I8" s="22">
        <f t="shared" ref="I8:I31" si="0">(C8-F8)+D8</f>
        <v>21450</v>
      </c>
      <c r="J8" s="26">
        <f>G8/F3</f>
        <v>26.655982905982906</v>
      </c>
      <c r="K8" s="24">
        <v>36000</v>
      </c>
      <c r="L8" s="27">
        <f t="shared" ref="L8:L31" si="1">(F8/1000)*K8</f>
        <v>140400</v>
      </c>
      <c r="M8" s="28">
        <f t="shared" ref="M8:M31" si="2">(G8/1000)*K8</f>
        <v>2694600</v>
      </c>
      <c r="N8" s="29">
        <f>L8/E3</f>
        <v>894.26751592356686</v>
      </c>
      <c r="O8" s="30">
        <f>M8/F3</f>
        <v>959.61538461538464</v>
      </c>
    </row>
    <row r="9" spans="1:19" ht="16.5" thickBot="1">
      <c r="A9" s="31">
        <v>2</v>
      </c>
      <c r="B9" s="817" t="s">
        <v>33</v>
      </c>
      <c r="C9" s="33">
        <v>13614</v>
      </c>
      <c r="D9" s="34"/>
      <c r="E9" s="33">
        <v>15000</v>
      </c>
      <c r="F9" s="33">
        <v>235</v>
      </c>
      <c r="G9" s="24">
        <f>'19.08.2026'!G9+'20.08.2026'!F9</f>
        <v>4191</v>
      </c>
      <c r="H9" s="36">
        <f>F9/E3</f>
        <v>1.4968152866242037</v>
      </c>
      <c r="I9" s="33">
        <f t="shared" si="0"/>
        <v>13379</v>
      </c>
      <c r="J9" s="37">
        <f>G9/F3</f>
        <v>1.4925213675213675</v>
      </c>
      <c r="K9" s="35">
        <v>33500</v>
      </c>
      <c r="L9" s="38">
        <f t="shared" si="1"/>
        <v>7872.5</v>
      </c>
      <c r="M9" s="38">
        <f t="shared" si="2"/>
        <v>140398.5</v>
      </c>
      <c r="N9" s="39">
        <f>L9/E3</f>
        <v>50.14331210191083</v>
      </c>
      <c r="O9" s="40">
        <f>M9/F3</f>
        <v>49.999465811965813</v>
      </c>
      <c r="Q9" s="149"/>
    </row>
    <row r="10" spans="1:19" ht="16.5" thickBot="1">
      <c r="A10" s="31">
        <v>3</v>
      </c>
      <c r="B10" s="817" t="s">
        <v>34</v>
      </c>
      <c r="C10" s="33">
        <v>2946</v>
      </c>
      <c r="D10" s="34"/>
      <c r="E10" s="33"/>
      <c r="F10" s="33">
        <v>93</v>
      </c>
      <c r="G10" s="24">
        <f>'19.08.2026'!G10+'20.08.2026'!F10</f>
        <v>1536</v>
      </c>
      <c r="H10" s="36">
        <f>F10/E3</f>
        <v>0.59235668789808915</v>
      </c>
      <c r="I10" s="33">
        <f t="shared" si="0"/>
        <v>2853</v>
      </c>
      <c r="J10" s="37">
        <f>G10/F3</f>
        <v>0.54700854700854706</v>
      </c>
      <c r="K10" s="35">
        <v>98000</v>
      </c>
      <c r="L10" s="38">
        <f t="shared" si="1"/>
        <v>9114</v>
      </c>
      <c r="M10" s="38">
        <f t="shared" si="2"/>
        <v>150528</v>
      </c>
      <c r="N10" s="39">
        <f>L10/E3</f>
        <v>58.050955414012741</v>
      </c>
      <c r="O10" s="40">
        <f>M10/F3</f>
        <v>53.606837606837608</v>
      </c>
      <c r="R10" s="1062"/>
      <c r="S10" s="149"/>
    </row>
    <row r="11" spans="1:19" ht="16.5" thickBot="1">
      <c r="A11" s="31">
        <v>4</v>
      </c>
      <c r="B11" s="817" t="s">
        <v>35</v>
      </c>
      <c r="C11" s="33">
        <v>15.910460000000004</v>
      </c>
      <c r="D11" s="34"/>
      <c r="E11" s="33"/>
      <c r="F11" s="1058">
        <v>3.7999999999999999E-2</v>
      </c>
      <c r="G11" s="24">
        <f>'19.08.2026'!G11+'20.08.2026'!F11</f>
        <v>0.96754000000000007</v>
      </c>
      <c r="H11" s="42">
        <f>F11/E3</f>
        <v>2.4203821656050954E-4</v>
      </c>
      <c r="I11" s="33">
        <f t="shared" si="0"/>
        <v>15.872460000000004</v>
      </c>
      <c r="J11" s="43">
        <f>G11/F3</f>
        <v>3.4456552706552709E-4</v>
      </c>
      <c r="K11" s="35">
        <v>750000</v>
      </c>
      <c r="L11" s="38">
        <f t="shared" si="1"/>
        <v>28.5</v>
      </c>
      <c r="M11" s="38">
        <f t="shared" si="2"/>
        <v>725.65499999999997</v>
      </c>
      <c r="N11" s="39">
        <f>L11/E3</f>
        <v>0.18152866242038215</v>
      </c>
      <c r="O11" s="40">
        <f>M11/F3</f>
        <v>0.25842414529914531</v>
      </c>
    </row>
    <row r="12" spans="1:19" ht="16.5" thickBot="1">
      <c r="A12" s="31">
        <v>5</v>
      </c>
      <c r="B12" s="817" t="s">
        <v>36</v>
      </c>
      <c r="C12" s="33">
        <v>650.70000000000005</v>
      </c>
      <c r="D12" s="34"/>
      <c r="E12" s="33"/>
      <c r="F12" s="33">
        <v>25</v>
      </c>
      <c r="G12" s="24">
        <f>'19.08.2026'!G12+'20.08.2026'!F12</f>
        <v>319</v>
      </c>
      <c r="H12" s="36">
        <f>F12/E3</f>
        <v>0.15923566878980891</v>
      </c>
      <c r="I12" s="33">
        <f t="shared" si="0"/>
        <v>625.70000000000005</v>
      </c>
      <c r="J12" s="37">
        <f>G12/F3</f>
        <v>0.1136039886039886</v>
      </c>
      <c r="K12" s="35">
        <v>350000</v>
      </c>
      <c r="L12" s="38">
        <f t="shared" si="1"/>
        <v>8750</v>
      </c>
      <c r="M12" s="38">
        <f t="shared" si="2"/>
        <v>111650</v>
      </c>
      <c r="N12" s="39">
        <f>L12/E3</f>
        <v>55.732484076433124</v>
      </c>
      <c r="O12" s="40">
        <f>M12/F3</f>
        <v>39.761396011396009</v>
      </c>
      <c r="Q12" s="149"/>
    </row>
    <row r="13" spans="1:19" ht="16.5" thickBot="1">
      <c r="A13" s="31">
        <v>6</v>
      </c>
      <c r="B13" s="817" t="s">
        <v>37</v>
      </c>
      <c r="C13" s="33">
        <v>115</v>
      </c>
      <c r="D13" s="34"/>
      <c r="E13" s="33"/>
      <c r="F13" s="159">
        <v>35</v>
      </c>
      <c r="G13" s="24">
        <f>'19.08.2026'!G13+'20.08.2026'!F13</f>
        <v>860</v>
      </c>
      <c r="H13" s="36">
        <f>F13/E3</f>
        <v>0.22292993630573249</v>
      </c>
      <c r="I13" s="33">
        <f t="shared" si="0"/>
        <v>80</v>
      </c>
      <c r="J13" s="37">
        <f>G13/F3</f>
        <v>0.30626780626780625</v>
      </c>
      <c r="K13" s="35">
        <v>215000</v>
      </c>
      <c r="L13" s="38">
        <f t="shared" si="1"/>
        <v>7525.0000000000009</v>
      </c>
      <c r="M13" s="38">
        <f t="shared" si="2"/>
        <v>184900</v>
      </c>
      <c r="N13" s="39">
        <f>L13/E3</f>
        <v>47.92993630573249</v>
      </c>
      <c r="O13" s="40">
        <f>M13/F3</f>
        <v>65.847578347578349</v>
      </c>
      <c r="S13" s="1062"/>
    </row>
    <row r="14" spans="1:19" ht="16.5" thickBot="1">
      <c r="A14" s="31">
        <v>7</v>
      </c>
      <c r="B14" s="817" t="s">
        <v>38</v>
      </c>
      <c r="C14" s="33">
        <v>2254</v>
      </c>
      <c r="D14" s="34"/>
      <c r="E14" s="1016"/>
      <c r="F14" s="33">
        <v>44</v>
      </c>
      <c r="G14" s="24">
        <f>'19.08.2026'!G14+'20.08.2026'!F14</f>
        <v>948</v>
      </c>
      <c r="H14" s="1017">
        <f>F14/E3</f>
        <v>0.28025477707006369</v>
      </c>
      <c r="I14" s="33">
        <f t="shared" si="0"/>
        <v>2210</v>
      </c>
      <c r="J14" s="37">
        <f>G14/F3</f>
        <v>0.33760683760683763</v>
      </c>
      <c r="K14" s="35">
        <v>151000</v>
      </c>
      <c r="L14" s="38">
        <f t="shared" si="1"/>
        <v>6644</v>
      </c>
      <c r="M14" s="38">
        <f t="shared" si="2"/>
        <v>143148</v>
      </c>
      <c r="N14" s="39">
        <f>L14/E3</f>
        <v>42.318471337579616</v>
      </c>
      <c r="O14" s="40">
        <f>M14/F3</f>
        <v>50.978632478632477</v>
      </c>
      <c r="Q14" s="149"/>
    </row>
    <row r="15" spans="1:19" ht="16.5" thickBot="1">
      <c r="A15" s="31">
        <v>8</v>
      </c>
      <c r="B15" s="817" t="s">
        <v>39</v>
      </c>
      <c r="C15" s="33">
        <v>573</v>
      </c>
      <c r="D15" s="33"/>
      <c r="E15" s="33"/>
      <c r="F15" s="1018">
        <v>20</v>
      </c>
      <c r="G15" s="24">
        <f>'19.08.2026'!G15+'20.08.2026'!F15</f>
        <v>345</v>
      </c>
      <c r="H15" s="36">
        <f>F15/E3</f>
        <v>0.12738853503184713</v>
      </c>
      <c r="I15" s="33">
        <f t="shared" si="0"/>
        <v>553</v>
      </c>
      <c r="J15" s="37">
        <f>G15/F3</f>
        <v>0.12286324786324786</v>
      </c>
      <c r="K15" s="35">
        <v>255000</v>
      </c>
      <c r="L15" s="38">
        <f t="shared" si="1"/>
        <v>5100</v>
      </c>
      <c r="M15" s="38">
        <f t="shared" si="2"/>
        <v>87975</v>
      </c>
      <c r="N15" s="39">
        <f>L15/E3</f>
        <v>32.484076433121018</v>
      </c>
      <c r="O15" s="40">
        <f>M15/F3</f>
        <v>31.330128205128204</v>
      </c>
      <c r="Q15" s="149"/>
    </row>
    <row r="16" spans="1:19" ht="16.5" thickBot="1">
      <c r="A16" s="31">
        <v>9</v>
      </c>
      <c r="B16" s="817" t="s">
        <v>40</v>
      </c>
      <c r="C16" s="33">
        <v>13</v>
      </c>
      <c r="D16" s="34"/>
      <c r="E16" s="33"/>
      <c r="F16" s="33">
        <v>1</v>
      </c>
      <c r="G16" s="24">
        <f>'19.08.2026'!G16+'20.08.2026'!F16</f>
        <v>7</v>
      </c>
      <c r="H16" s="36">
        <f>F16/E3</f>
        <v>6.369426751592357E-3</v>
      </c>
      <c r="I16" s="33">
        <f t="shared" si="0"/>
        <v>12</v>
      </c>
      <c r="J16" s="37">
        <f>G16/F3</f>
        <v>2.4928774928774928E-3</v>
      </c>
      <c r="K16" s="35">
        <v>348200</v>
      </c>
      <c r="L16" s="38">
        <f t="shared" si="1"/>
        <v>348.2</v>
      </c>
      <c r="M16" s="44">
        <f t="shared" si="2"/>
        <v>2437.4</v>
      </c>
      <c r="N16" s="39">
        <f>L16/E3</f>
        <v>2.2178343949044583</v>
      </c>
      <c r="O16" s="40">
        <f>M16/F3</f>
        <v>0.86801994301994301</v>
      </c>
      <c r="Q16" s="1063"/>
      <c r="S16" s="1062"/>
    </row>
    <row r="17" spans="1:18" ht="16.5" thickBot="1">
      <c r="A17" s="991">
        <v>10</v>
      </c>
      <c r="B17" s="992" t="s">
        <v>41</v>
      </c>
      <c r="C17" s="993">
        <v>2975</v>
      </c>
      <c r="D17" s="993"/>
      <c r="E17" s="993">
        <v>475</v>
      </c>
      <c r="F17" s="993">
        <v>0</v>
      </c>
      <c r="G17" s="24">
        <f>'19.08.2026'!G17+'20.08.2026'!F17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  <c r="Q17" s="116"/>
    </row>
    <row r="18" spans="1:18" ht="16.5" thickBot="1">
      <c r="A18" s="52">
        <v>11</v>
      </c>
      <c r="B18" s="218" t="s">
        <v>122</v>
      </c>
      <c r="C18" s="54">
        <v>0</v>
      </c>
      <c r="D18" s="54"/>
      <c r="E18" s="54"/>
      <c r="F18" s="54">
        <v>0</v>
      </c>
      <c r="G18" s="24">
        <f>'19.08.2026'!G18+'20.08.2026'!F18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  <c r="Q18" s="1063"/>
    </row>
    <row r="19" spans="1:18" ht="16.5" thickBot="1">
      <c r="A19" s="58">
        <v>12</v>
      </c>
      <c r="B19" s="843" t="s">
        <v>43</v>
      </c>
      <c r="C19" s="60">
        <v>62.3</v>
      </c>
      <c r="D19" s="61">
        <v>250</v>
      </c>
      <c r="E19" s="61"/>
      <c r="F19" s="62">
        <v>9</v>
      </c>
      <c r="G19" s="24">
        <f>'19.08.2026'!G19+'20.08.2026'!F19</f>
        <v>151.10000000000002</v>
      </c>
      <c r="H19" s="64">
        <f>F19/E3</f>
        <v>5.7324840764331211E-2</v>
      </c>
      <c r="I19" s="65">
        <f t="shared" si="0"/>
        <v>303.3</v>
      </c>
      <c r="J19" s="66">
        <f>G19/F3</f>
        <v>5.3810541310541318E-2</v>
      </c>
      <c r="K19" s="60">
        <v>377600</v>
      </c>
      <c r="L19" s="67">
        <f t="shared" si="1"/>
        <v>3398.3999999999996</v>
      </c>
      <c r="M19" s="67">
        <f t="shared" si="2"/>
        <v>57055.360000000008</v>
      </c>
      <c r="N19" s="67">
        <f>L19/E3</f>
        <v>21.645859872611464</v>
      </c>
      <c r="O19" s="68">
        <f>M19/F3</f>
        <v>20.318860398860402</v>
      </c>
      <c r="Q19" s="149"/>
      <c r="R19" s="116"/>
    </row>
    <row r="20" spans="1:18" ht="16.5" thickBot="1">
      <c r="A20" s="58">
        <v>13</v>
      </c>
      <c r="B20" s="843" t="s">
        <v>44</v>
      </c>
      <c r="C20" s="60">
        <v>100.16200000000003</v>
      </c>
      <c r="D20" s="61">
        <v>300</v>
      </c>
      <c r="E20" s="61"/>
      <c r="F20" s="62">
        <v>11</v>
      </c>
      <c r="G20" s="24">
        <f>'19.08.2026'!G20+'20.08.2026'!F20</f>
        <v>130.39999999999998</v>
      </c>
      <c r="H20" s="66">
        <f>F20/E3</f>
        <v>7.0063694267515922E-2</v>
      </c>
      <c r="I20" s="60">
        <f t="shared" si="0"/>
        <v>389.16200000000003</v>
      </c>
      <c r="J20" s="66">
        <f>G20/F3</f>
        <v>4.6438746438746431E-2</v>
      </c>
      <c r="K20" s="60">
        <v>271400</v>
      </c>
      <c r="L20" s="67">
        <f t="shared" si="1"/>
        <v>2985.3999999999996</v>
      </c>
      <c r="M20" s="67">
        <f t="shared" si="2"/>
        <v>35390.559999999998</v>
      </c>
      <c r="N20" s="67">
        <f>L20/E3</f>
        <v>19.015286624203821</v>
      </c>
      <c r="O20" s="68">
        <f>M20/F3</f>
        <v>12.603475783475783</v>
      </c>
      <c r="Q20" s="1070"/>
    </row>
    <row r="21" spans="1:18" ht="16.5" thickBot="1">
      <c r="A21" s="58">
        <v>14</v>
      </c>
      <c r="B21" s="843" t="s">
        <v>45</v>
      </c>
      <c r="C21" s="60">
        <v>1478.2</v>
      </c>
      <c r="D21" s="61">
        <v>2500</v>
      </c>
      <c r="E21" s="61"/>
      <c r="F21" s="62">
        <v>84.9</v>
      </c>
      <c r="G21" s="24">
        <f>'19.08.2026'!G21+'20.08.2026'!F21</f>
        <v>1335.2999999999997</v>
      </c>
      <c r="H21" s="66">
        <f>F21/E3</f>
        <v>0.54076433121019107</v>
      </c>
      <c r="I21" s="65">
        <f t="shared" si="0"/>
        <v>3893.3</v>
      </c>
      <c r="J21" s="66">
        <f>G21/F3</f>
        <v>0.47553418803418795</v>
      </c>
      <c r="K21" s="60">
        <v>271400</v>
      </c>
      <c r="L21" s="67">
        <f t="shared" si="1"/>
        <v>23041.86</v>
      </c>
      <c r="M21" s="67">
        <f t="shared" si="2"/>
        <v>362400.41999999993</v>
      </c>
      <c r="N21" s="67">
        <f>L21/E3</f>
        <v>146.76343949044588</v>
      </c>
      <c r="O21" s="68">
        <f>M21/F3</f>
        <v>129.05997863247862</v>
      </c>
    </row>
    <row r="22" spans="1:18" ht="16.5" thickBot="1">
      <c r="A22" s="69">
        <v>15</v>
      </c>
      <c r="B22" s="853" t="s">
        <v>46</v>
      </c>
      <c r="C22" s="71">
        <v>38</v>
      </c>
      <c r="D22" s="72"/>
      <c r="E22" s="72"/>
      <c r="F22" s="34">
        <v>0</v>
      </c>
      <c r="G22" s="24">
        <f>'19.08.2026'!G22+'20.08.2026'!F22</f>
        <v>24</v>
      </c>
      <c r="H22" s="73">
        <f>F22/E3</f>
        <v>0</v>
      </c>
      <c r="I22" s="34">
        <f t="shared" si="0"/>
        <v>38</v>
      </c>
      <c r="J22" s="73">
        <f>G22/F3</f>
        <v>8.5470085470085479E-3</v>
      </c>
      <c r="K22" s="34">
        <v>41000</v>
      </c>
      <c r="L22" s="44">
        <f t="shared" si="1"/>
        <v>0</v>
      </c>
      <c r="M22" s="44">
        <f t="shared" si="2"/>
        <v>984</v>
      </c>
      <c r="N22" s="74">
        <f>L22/E3</f>
        <v>0</v>
      </c>
      <c r="O22" s="75">
        <f>M22/F3</f>
        <v>0.3504273504273504</v>
      </c>
    </row>
    <row r="23" spans="1:18" ht="16.5" thickBot="1">
      <c r="A23" s="69">
        <v>16</v>
      </c>
      <c r="B23" s="234" t="s">
        <v>47</v>
      </c>
      <c r="C23" s="71">
        <v>334.4</v>
      </c>
      <c r="D23" s="72"/>
      <c r="E23" s="34">
        <v>300</v>
      </c>
      <c r="F23" s="34">
        <v>14.4</v>
      </c>
      <c r="G23" s="24">
        <f>'19.08.2026'!G23+'20.08.2026'!F23</f>
        <v>274.2</v>
      </c>
      <c r="H23" s="73">
        <f>F23/E3</f>
        <v>9.1719745222929944E-2</v>
      </c>
      <c r="I23" s="34">
        <f t="shared" si="0"/>
        <v>320</v>
      </c>
      <c r="J23" s="73">
        <f>G23/F3</f>
        <v>9.764957264957265E-2</v>
      </c>
      <c r="K23" s="34">
        <v>24000</v>
      </c>
      <c r="L23" s="44">
        <f t="shared" si="1"/>
        <v>345.59999999999997</v>
      </c>
      <c r="M23" s="44">
        <f t="shared" si="2"/>
        <v>6580.8</v>
      </c>
      <c r="N23" s="74">
        <f>L23/E3</f>
        <v>2.2012738853503184</v>
      </c>
      <c r="O23" s="75">
        <f>M23/F3</f>
        <v>2.3435897435897437</v>
      </c>
    </row>
    <row r="24" spans="1:18" ht="16.5" thickBot="1">
      <c r="A24" s="69">
        <v>17</v>
      </c>
      <c r="B24" s="853" t="s">
        <v>48</v>
      </c>
      <c r="C24" s="71">
        <v>240</v>
      </c>
      <c r="D24" s="72"/>
      <c r="E24" s="72"/>
      <c r="F24" s="34">
        <v>0</v>
      </c>
      <c r="G24" s="24">
        <f>'19.08.2026'!G24+'20.08.2026'!F24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8" ht="16.5" thickBot="1">
      <c r="A25" s="69">
        <v>18</v>
      </c>
      <c r="B25" s="853" t="s">
        <v>49</v>
      </c>
      <c r="C25" s="71">
        <v>260</v>
      </c>
      <c r="D25" s="71"/>
      <c r="E25" s="34">
        <v>300</v>
      </c>
      <c r="F25" s="34">
        <v>5</v>
      </c>
      <c r="G25" s="24">
        <f>'19.08.2026'!G25+'20.08.2026'!F25</f>
        <v>95</v>
      </c>
      <c r="H25" s="73">
        <f>F25/E3</f>
        <v>3.1847133757961783E-2</v>
      </c>
      <c r="I25" s="34">
        <f t="shared" si="0"/>
        <v>255</v>
      </c>
      <c r="J25" s="73">
        <f>G25/F3</f>
        <v>3.3831908831908834E-2</v>
      </c>
      <c r="K25" s="34">
        <v>14400</v>
      </c>
      <c r="L25" s="44">
        <f t="shared" si="1"/>
        <v>72</v>
      </c>
      <c r="M25" s="44">
        <f t="shared" si="2"/>
        <v>1368</v>
      </c>
      <c r="N25" s="74">
        <f>L25/E3</f>
        <v>0.45859872611464969</v>
      </c>
      <c r="O25" s="75">
        <f>M25/F3</f>
        <v>0.48717948717948717</v>
      </c>
    </row>
    <row r="26" spans="1:18" ht="16.5" thickBot="1">
      <c r="A26" s="69">
        <v>19</v>
      </c>
      <c r="B26" s="853" t="s">
        <v>50</v>
      </c>
      <c r="C26" s="71">
        <v>166.5</v>
      </c>
      <c r="D26" s="34"/>
      <c r="E26" s="71">
        <v>150</v>
      </c>
      <c r="F26" s="34">
        <v>3.5</v>
      </c>
      <c r="G26" s="24">
        <f>'19.08.2026'!G26+'20.08.2026'!F26</f>
        <v>67.5</v>
      </c>
      <c r="H26" s="73">
        <f>F26/E3</f>
        <v>2.2292993630573247E-2</v>
      </c>
      <c r="I26" s="34">
        <f t="shared" si="0"/>
        <v>163</v>
      </c>
      <c r="J26" s="73">
        <f>G26/F3</f>
        <v>2.403846153846154E-2</v>
      </c>
      <c r="K26" s="34">
        <v>102000</v>
      </c>
      <c r="L26" s="44">
        <f t="shared" si="1"/>
        <v>357</v>
      </c>
      <c r="M26" s="44">
        <f t="shared" si="2"/>
        <v>6885</v>
      </c>
      <c r="N26" s="74">
        <f>L26/E3</f>
        <v>2.2738853503184715</v>
      </c>
      <c r="O26" s="75">
        <f>M26/F3</f>
        <v>2.4519230769230771</v>
      </c>
    </row>
    <row r="27" spans="1:18" ht="16.5" thickBot="1">
      <c r="A27" s="69">
        <v>20</v>
      </c>
      <c r="B27" s="853" t="s">
        <v>51</v>
      </c>
      <c r="C27" s="71">
        <v>260</v>
      </c>
      <c r="D27" s="71"/>
      <c r="E27" s="71">
        <v>300</v>
      </c>
      <c r="F27" s="34">
        <v>5</v>
      </c>
      <c r="G27" s="24">
        <f>'19.08.2026'!G27+'20.08.2026'!F27</f>
        <v>95</v>
      </c>
      <c r="H27" s="73">
        <f>F27/E3</f>
        <v>3.1847133757961783E-2</v>
      </c>
      <c r="I27" s="34">
        <f t="shared" si="0"/>
        <v>255</v>
      </c>
      <c r="J27" s="73">
        <f>G27/F3</f>
        <v>3.3831908831908834E-2</v>
      </c>
      <c r="K27" s="34">
        <v>107000</v>
      </c>
      <c r="L27" s="44">
        <f t="shared" si="1"/>
        <v>535</v>
      </c>
      <c r="M27" s="44">
        <f t="shared" si="2"/>
        <v>10165</v>
      </c>
      <c r="N27" s="74">
        <f>L27/E3</f>
        <v>3.4076433121019107</v>
      </c>
      <c r="O27" s="75">
        <f>M27/F3</f>
        <v>3.6200142450142452</v>
      </c>
    </row>
    <row r="28" spans="1:18" ht="16.5" thickBot="1">
      <c r="A28" s="69">
        <v>21</v>
      </c>
      <c r="B28" s="234" t="s">
        <v>52</v>
      </c>
      <c r="C28" s="71">
        <v>201</v>
      </c>
      <c r="D28" s="71"/>
      <c r="E28" s="71">
        <v>175</v>
      </c>
      <c r="F28" s="34">
        <v>3</v>
      </c>
      <c r="G28" s="24">
        <f>'19.08.2026'!G28+'20.08.2026'!F28</f>
        <v>57</v>
      </c>
      <c r="H28" s="73">
        <f>F28/E3</f>
        <v>1.9108280254777069E-2</v>
      </c>
      <c r="I28" s="34">
        <f t="shared" si="0"/>
        <v>198</v>
      </c>
      <c r="J28" s="73">
        <f>G28/F3</f>
        <v>2.02991452991453E-2</v>
      </c>
      <c r="K28" s="34">
        <v>100000</v>
      </c>
      <c r="L28" s="44">
        <f t="shared" si="1"/>
        <v>300</v>
      </c>
      <c r="M28" s="44">
        <f t="shared" si="2"/>
        <v>5700</v>
      </c>
      <c r="N28" s="74">
        <f>L28/E3</f>
        <v>1.910828025477707</v>
      </c>
      <c r="O28" s="75">
        <f>M28/F3</f>
        <v>2.0299145299145298</v>
      </c>
    </row>
    <row r="29" spans="1:18" ht="16.5" thickBot="1">
      <c r="A29" s="69">
        <v>22</v>
      </c>
      <c r="B29" s="853" t="s">
        <v>53</v>
      </c>
      <c r="C29" s="71">
        <v>64</v>
      </c>
      <c r="D29" s="71"/>
      <c r="E29" s="71">
        <v>50</v>
      </c>
      <c r="F29" s="34">
        <v>1</v>
      </c>
      <c r="G29" s="24">
        <f>'19.08.2026'!G29+'20.08.2026'!F29</f>
        <v>19</v>
      </c>
      <c r="H29" s="73">
        <f>F29/E3</f>
        <v>6.369426751592357E-3</v>
      </c>
      <c r="I29" s="34">
        <f t="shared" si="0"/>
        <v>63</v>
      </c>
      <c r="J29" s="73">
        <f>G29/F3</f>
        <v>6.7663817663817663E-3</v>
      </c>
      <c r="K29" s="34">
        <v>255000</v>
      </c>
      <c r="L29" s="44">
        <f t="shared" si="1"/>
        <v>255</v>
      </c>
      <c r="M29" s="44">
        <f t="shared" si="2"/>
        <v>4845</v>
      </c>
      <c r="N29" s="74">
        <f>L29/E3</f>
        <v>1.624203821656051</v>
      </c>
      <c r="O29" s="1047">
        <f>M29/F3</f>
        <v>1.7254273504273505</v>
      </c>
    </row>
    <row r="30" spans="1:18" ht="16.5" thickBot="1">
      <c r="A30" s="69">
        <v>23</v>
      </c>
      <c r="B30" s="853" t="s">
        <v>54</v>
      </c>
      <c r="C30" s="71">
        <v>250</v>
      </c>
      <c r="D30" s="71"/>
      <c r="E30" s="71"/>
      <c r="F30" s="34">
        <v>0</v>
      </c>
      <c r="G30" s="24">
        <f>'19.08.2026'!G30+'20.08.2026'!F30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8" ht="16.5" thickBot="1">
      <c r="A31" s="78">
        <v>24</v>
      </c>
      <c r="B31" s="935" t="s">
        <v>55</v>
      </c>
      <c r="C31" s="80">
        <v>0</v>
      </c>
      <c r="D31" s="81"/>
      <c r="E31" s="81"/>
      <c r="F31" s="82">
        <v>0</v>
      </c>
      <c r="G31" s="24">
        <f>'19.08.2026'!G31+'20.08.2026'!F31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8" ht="16.5" thickBot="1">
      <c r="A32" s="1038" t="s">
        <v>56</v>
      </c>
      <c r="B32" s="1039" t="s">
        <v>57</v>
      </c>
      <c r="C32" s="1040" t="s">
        <v>58</v>
      </c>
      <c r="D32" s="1112" t="s">
        <v>59</v>
      </c>
      <c r="E32" s="1113"/>
      <c r="F32" s="1114"/>
      <c r="G32" s="1041" t="s">
        <v>56</v>
      </c>
      <c r="H32" s="1521" t="s">
        <v>57</v>
      </c>
      <c r="I32" s="1522"/>
      <c r="J32" s="1105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1382.6271337579619</v>
      </c>
      <c r="O32" s="985">
        <f>SUM(O8,O9,O10,O11,O12,O13,O14,O15,O16,O17,O18,O19,O20,O21,O22,O23,O24,O25,O26,O27,O28,O29,O30,O31,)</f>
        <v>1427.2566577635325</v>
      </c>
    </row>
    <row r="33" spans="1:15" ht="16.5" thickBot="1">
      <c r="A33" s="31">
        <v>4</v>
      </c>
      <c r="B33" s="1036" t="s">
        <v>115</v>
      </c>
      <c r="C33" s="1037">
        <v>5</v>
      </c>
      <c r="D33" s="1096"/>
      <c r="E33" s="1096"/>
      <c r="F33" s="1034">
        <v>8.5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 ht="15.75">
      <c r="A34" s="31"/>
      <c r="B34" s="1036" t="s">
        <v>126</v>
      </c>
      <c r="C34" s="966">
        <v>39</v>
      </c>
      <c r="D34" s="1096"/>
      <c r="E34" s="1096"/>
      <c r="F34" s="1034">
        <v>66.5</v>
      </c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1035"/>
      <c r="B35" s="1036" t="s">
        <v>121</v>
      </c>
      <c r="C35" s="1037">
        <v>48</v>
      </c>
      <c r="D35" s="1096"/>
      <c r="E35" s="1096"/>
      <c r="F35" s="1034">
        <v>82</v>
      </c>
      <c r="G35" s="966"/>
      <c r="H35" s="1101"/>
      <c r="I35" s="1101"/>
      <c r="J35" s="1101"/>
      <c r="K35" s="34"/>
      <c r="L35" s="1024"/>
      <c r="M35" s="1100"/>
      <c r="N35" s="1051" t="s">
        <v>118</v>
      </c>
      <c r="O35" s="1052" t="s">
        <v>118</v>
      </c>
    </row>
    <row r="36" spans="1:15" ht="20.25" thickBot="1">
      <c r="A36" s="31"/>
      <c r="B36" s="1036"/>
      <c r="C36" s="966"/>
      <c r="D36" s="1096"/>
      <c r="E36" s="1096"/>
      <c r="F36" s="1034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1.3826271337579619</v>
      </c>
      <c r="O36" s="980">
        <f>O32/1000</f>
        <v>1.4272566577635326</v>
      </c>
    </row>
    <row r="37" spans="1:15" ht="19.5">
      <c r="A37" s="104"/>
      <c r="B37" s="1036"/>
      <c r="C37" s="1064"/>
      <c r="D37" s="1096"/>
      <c r="E37" s="1096"/>
      <c r="F37" s="1034"/>
      <c r="G37" s="149"/>
      <c r="H37" s="149"/>
      <c r="I37" s="149"/>
      <c r="J37" s="149"/>
      <c r="K37" s="116"/>
      <c r="L37" s="1065"/>
      <c r="M37" s="1066"/>
      <c r="N37" s="1067"/>
      <c r="O37" s="1068"/>
    </row>
    <row r="38" spans="1:15" ht="20.25" thickBot="1">
      <c r="A38" s="104"/>
      <c r="B38" s="1036"/>
      <c r="C38" s="1029"/>
      <c r="D38" s="1096"/>
      <c r="E38" s="1096"/>
      <c r="F38" s="1034"/>
      <c r="G38" s="1022"/>
      <c r="H38" s="1103"/>
      <c r="I38" s="1103"/>
      <c r="J38" s="1103"/>
      <c r="K38" s="1022"/>
      <c r="L38" s="1025"/>
      <c r="M38" s="1"/>
      <c r="N38" s="1"/>
      <c r="O38" s="1"/>
    </row>
    <row r="39" spans="1:15" ht="23.25" thickBot="1">
      <c r="A39" s="1031">
        <v>3</v>
      </c>
      <c r="B39" s="1032" t="s">
        <v>60</v>
      </c>
      <c r="C39" s="1033">
        <f>SUM(C33:C38,K33:K38)</f>
        <v>92</v>
      </c>
      <c r="D39" s="1523">
        <f>SUM(F33:F38,L33:L38)</f>
        <v>157</v>
      </c>
      <c r="E39" s="1524"/>
      <c r="F39" s="1525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9:F39"/>
    <mergeCell ref="D33:E38"/>
    <mergeCell ref="H33:J33"/>
    <mergeCell ref="M33:M35"/>
    <mergeCell ref="H34:J34"/>
    <mergeCell ref="H35:J35"/>
    <mergeCell ref="H36:J36"/>
    <mergeCell ref="H38:J38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39"/>
  <sheetViews>
    <sheetView topLeftCell="A16" workbookViewId="0">
      <selection activeCell="G21" sqref="G21"/>
    </sheetView>
  </sheetViews>
  <sheetFormatPr defaultColWidth="10" defaultRowHeight="15.75"/>
  <cols>
    <col min="1" max="16384" width="10" style="1"/>
  </cols>
  <sheetData>
    <row r="1" spans="1:19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9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  <c r="Q2" s="1071"/>
    </row>
    <row r="3" spans="1:19" ht="20.25" thickBot="1">
      <c r="A3" s="1124" t="s">
        <v>2</v>
      </c>
      <c r="B3" s="1125"/>
      <c r="C3" s="1125"/>
      <c r="D3" s="1126"/>
      <c r="E3" s="3">
        <v>130</v>
      </c>
      <c r="F3" s="3">
        <v>2938</v>
      </c>
      <c r="G3" s="1532" t="s">
        <v>203</v>
      </c>
      <c r="H3" s="1533"/>
      <c r="I3" s="1534" t="s">
        <v>204</v>
      </c>
      <c r="J3" s="1535"/>
      <c r="K3" s="1535"/>
      <c r="L3" s="1535"/>
      <c r="M3" s="1535"/>
      <c r="N3" s="1535"/>
      <c r="O3" s="1536"/>
      <c r="Q3" s="1061"/>
    </row>
    <row r="4" spans="1:19" ht="21" thickTop="1" thickBot="1">
      <c r="A4" s="1134" t="s">
        <v>5</v>
      </c>
      <c r="B4" s="1135"/>
      <c r="C4" s="1539" t="s">
        <v>6</v>
      </c>
      <c r="D4" s="1540"/>
      <c r="E4" s="5"/>
      <c r="F4" s="6"/>
      <c r="G4" s="1138" t="s">
        <v>157</v>
      </c>
      <c r="H4" s="1139"/>
      <c r="I4" s="1537"/>
      <c r="J4" s="1537"/>
      <c r="K4" s="1537"/>
      <c r="L4" s="1537"/>
      <c r="M4" s="1537"/>
      <c r="N4" s="1537"/>
      <c r="O4" s="1538"/>
    </row>
    <row r="5" spans="1:19" ht="17.25" thickTop="1" thickBot="1">
      <c r="A5" s="964" t="s">
        <v>8</v>
      </c>
      <c r="B5" s="1043" t="s">
        <v>9</v>
      </c>
      <c r="C5" s="1043" t="s">
        <v>10</v>
      </c>
      <c r="D5" s="1541" t="s">
        <v>11</v>
      </c>
      <c r="E5" s="1117"/>
      <c r="F5" s="1396" t="s">
        <v>12</v>
      </c>
      <c r="G5" s="1542"/>
      <c r="H5" s="1072" t="s">
        <v>13</v>
      </c>
      <c r="I5" s="10" t="s">
        <v>9</v>
      </c>
      <c r="J5" s="11" t="s">
        <v>14</v>
      </c>
      <c r="K5" s="12" t="s">
        <v>15</v>
      </c>
      <c r="L5" s="1543" t="s">
        <v>16</v>
      </c>
      <c r="M5" s="1544"/>
      <c r="N5" s="1110" t="s">
        <v>17</v>
      </c>
      <c r="O5" s="1111"/>
      <c r="Q5" s="1071"/>
    </row>
    <row r="6" spans="1:19" ht="16.5" thickTop="1">
      <c r="A6" s="964" t="s">
        <v>18</v>
      </c>
      <c r="B6" s="1043" t="s">
        <v>19</v>
      </c>
      <c r="C6" s="1043" t="s">
        <v>20</v>
      </c>
      <c r="D6" s="1043" t="s">
        <v>21</v>
      </c>
      <c r="E6" s="1073" t="s">
        <v>14</v>
      </c>
      <c r="F6" s="14" t="s">
        <v>21</v>
      </c>
      <c r="G6" s="14" t="s">
        <v>14</v>
      </c>
      <c r="H6" s="1072" t="s">
        <v>22</v>
      </c>
      <c r="I6" s="10" t="s">
        <v>23</v>
      </c>
      <c r="J6" s="11" t="s">
        <v>22</v>
      </c>
      <c r="K6" s="12" t="s">
        <v>24</v>
      </c>
      <c r="L6" s="12" t="s">
        <v>25</v>
      </c>
      <c r="M6" s="12" t="s">
        <v>26</v>
      </c>
      <c r="N6" s="1074" t="s">
        <v>25</v>
      </c>
      <c r="O6" s="16" t="s">
        <v>26</v>
      </c>
    </row>
    <row r="7" spans="1:19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75" t="s">
        <v>28</v>
      </c>
      <c r="I7" s="10" t="s">
        <v>27</v>
      </c>
      <c r="J7" s="11" t="s">
        <v>28</v>
      </c>
      <c r="K7" s="12" t="s">
        <v>29</v>
      </c>
      <c r="L7" s="12" t="s">
        <v>30</v>
      </c>
      <c r="M7" s="12" t="s">
        <v>30</v>
      </c>
      <c r="N7" s="1076" t="s">
        <v>31</v>
      </c>
      <c r="O7" s="1077" t="s">
        <v>31</v>
      </c>
    </row>
    <row r="8" spans="1:19" ht="16.5" thickBot="1">
      <c r="A8" s="20">
        <v>1</v>
      </c>
      <c r="B8" s="21" t="s">
        <v>32</v>
      </c>
      <c r="C8" s="22">
        <v>21450</v>
      </c>
      <c r="D8" s="23"/>
      <c r="E8" s="22">
        <f>20000+D8</f>
        <v>20000</v>
      </c>
      <c r="F8" s="22">
        <v>3000</v>
      </c>
      <c r="G8" s="24">
        <f>'20.08.2026'!G8+'21.08.2026'!F8</f>
        <v>77850</v>
      </c>
      <c r="H8" s="25">
        <f>F8/E3</f>
        <v>23.076923076923077</v>
      </c>
      <c r="I8" s="22">
        <f t="shared" ref="I8:I31" si="0">(C8-F8)+D8</f>
        <v>18450</v>
      </c>
      <c r="J8" s="26">
        <f>G8/F3</f>
        <v>26.497617426820966</v>
      </c>
      <c r="K8" s="24">
        <v>36000</v>
      </c>
      <c r="L8" s="27">
        <f t="shared" ref="L8:L31" si="1">(F8/1000)*K8</f>
        <v>108000</v>
      </c>
      <c r="M8" s="28">
        <f t="shared" ref="M8:M31" si="2">(G8/1000)*K8</f>
        <v>2802600</v>
      </c>
      <c r="N8" s="29">
        <f>L8/E3</f>
        <v>830.76923076923072</v>
      </c>
      <c r="O8" s="30">
        <f>M8/F3</f>
        <v>953.91422736555478</v>
      </c>
    </row>
    <row r="9" spans="1:19" ht="16.5" thickBot="1">
      <c r="A9" s="31">
        <v>2</v>
      </c>
      <c r="B9" s="32" t="s">
        <v>33</v>
      </c>
      <c r="C9" s="33">
        <v>13379</v>
      </c>
      <c r="D9" s="34"/>
      <c r="E9" s="33">
        <v>15000</v>
      </c>
      <c r="F9" s="33">
        <v>230</v>
      </c>
      <c r="G9" s="24">
        <f>'20.08.2026'!G9+'21.08.2026'!F9</f>
        <v>4421</v>
      </c>
      <c r="H9" s="36">
        <f>F9/E3</f>
        <v>1.7692307692307692</v>
      </c>
      <c r="I9" s="33">
        <f t="shared" si="0"/>
        <v>13149</v>
      </c>
      <c r="J9" s="37">
        <f>G9/F3</f>
        <v>1.5047651463580667</v>
      </c>
      <c r="K9" s="35">
        <v>33500</v>
      </c>
      <c r="L9" s="38">
        <f t="shared" si="1"/>
        <v>7705</v>
      </c>
      <c r="M9" s="38">
        <f t="shared" si="2"/>
        <v>148103.5</v>
      </c>
      <c r="N9" s="39">
        <f>L9/E3</f>
        <v>59.269230769230766</v>
      </c>
      <c r="O9" s="40">
        <f>M9/F3</f>
        <v>50.409632402995236</v>
      </c>
      <c r="Q9" s="149"/>
    </row>
    <row r="10" spans="1:19" ht="16.5" thickBot="1">
      <c r="A10" s="31">
        <v>3</v>
      </c>
      <c r="B10" s="32" t="s">
        <v>34</v>
      </c>
      <c r="C10" s="33">
        <v>2853</v>
      </c>
      <c r="D10" s="34"/>
      <c r="E10" s="33"/>
      <c r="F10" s="33">
        <v>84</v>
      </c>
      <c r="G10" s="24">
        <f>'20.08.2026'!G10+'21.08.2026'!F10</f>
        <v>1620</v>
      </c>
      <c r="H10" s="36">
        <f>F10/E3</f>
        <v>0.64615384615384619</v>
      </c>
      <c r="I10" s="33">
        <f t="shared" si="0"/>
        <v>2769</v>
      </c>
      <c r="J10" s="37">
        <f>G10/F3</f>
        <v>0.55139550714771957</v>
      </c>
      <c r="K10" s="35">
        <v>98000</v>
      </c>
      <c r="L10" s="38">
        <f t="shared" si="1"/>
        <v>8232</v>
      </c>
      <c r="M10" s="38">
        <f t="shared" si="2"/>
        <v>158760</v>
      </c>
      <c r="N10" s="39">
        <f>L10/E3</f>
        <v>63.323076923076925</v>
      </c>
      <c r="O10" s="40">
        <f>M10/F3</f>
        <v>54.036759700476516</v>
      </c>
      <c r="R10" s="1062"/>
      <c r="S10" s="149"/>
    </row>
    <row r="11" spans="1:19" ht="16.5" thickBot="1">
      <c r="A11" s="31">
        <v>4</v>
      </c>
      <c r="B11" s="32" t="s">
        <v>35</v>
      </c>
      <c r="C11" s="33">
        <v>15.872460000000004</v>
      </c>
      <c r="D11" s="34"/>
      <c r="E11" s="33"/>
      <c r="F11" s="1058">
        <v>3.4000000000000002E-2</v>
      </c>
      <c r="G11" s="24">
        <f>'20.08.2026'!G11+'21.08.2026'!F11</f>
        <v>1.0015400000000001</v>
      </c>
      <c r="H11" s="42">
        <f>F11/E3</f>
        <v>2.6153846153846154E-4</v>
      </c>
      <c r="I11" s="33">
        <f t="shared" si="0"/>
        <v>15.838460000000003</v>
      </c>
      <c r="J11" s="43">
        <f>G11/F3</f>
        <v>3.4089176310415253E-4</v>
      </c>
      <c r="K11" s="35">
        <v>750000</v>
      </c>
      <c r="L11" s="38">
        <f t="shared" si="1"/>
        <v>25.5</v>
      </c>
      <c r="M11" s="38">
        <f t="shared" si="2"/>
        <v>751.1550000000002</v>
      </c>
      <c r="N11" s="39">
        <f>L11/E3</f>
        <v>0.19615384615384615</v>
      </c>
      <c r="O11" s="40">
        <f>M11/F3</f>
        <v>0.25566882232811444</v>
      </c>
    </row>
    <row r="12" spans="1:19" ht="16.5" thickBot="1">
      <c r="A12" s="31">
        <v>5</v>
      </c>
      <c r="B12" s="32" t="s">
        <v>36</v>
      </c>
      <c r="C12" s="33">
        <v>625.70000000000005</v>
      </c>
      <c r="D12" s="34"/>
      <c r="E12" s="33"/>
      <c r="F12" s="33">
        <v>17</v>
      </c>
      <c r="G12" s="24">
        <f>'20.08.2026'!G12+'21.08.2026'!F12</f>
        <v>336</v>
      </c>
      <c r="H12" s="36">
        <f>F12/E3</f>
        <v>0.13076923076923078</v>
      </c>
      <c r="I12" s="33">
        <f t="shared" si="0"/>
        <v>608.70000000000005</v>
      </c>
      <c r="J12" s="37">
        <f>G12/F3</f>
        <v>0.11436351259360109</v>
      </c>
      <c r="K12" s="35">
        <v>350000</v>
      </c>
      <c r="L12" s="38">
        <f t="shared" si="1"/>
        <v>5950</v>
      </c>
      <c r="M12" s="38">
        <f t="shared" si="2"/>
        <v>117600.00000000001</v>
      </c>
      <c r="N12" s="39">
        <f>L12/E3</f>
        <v>45.769230769230766</v>
      </c>
      <c r="O12" s="40">
        <f>M12/F3</f>
        <v>40.027229407760387</v>
      </c>
      <c r="Q12" s="149"/>
    </row>
    <row r="13" spans="1:19" ht="16.5" thickBot="1">
      <c r="A13" s="31">
        <v>6</v>
      </c>
      <c r="B13" s="32" t="s">
        <v>37</v>
      </c>
      <c r="C13" s="33">
        <v>80</v>
      </c>
      <c r="D13" s="34"/>
      <c r="E13" s="33"/>
      <c r="F13" s="159">
        <v>25</v>
      </c>
      <c r="G13" s="24">
        <f>'20.08.2026'!G13+'21.08.2026'!F13</f>
        <v>885</v>
      </c>
      <c r="H13" s="36">
        <f>F13/E3</f>
        <v>0.19230769230769232</v>
      </c>
      <c r="I13" s="33">
        <f t="shared" si="0"/>
        <v>55</v>
      </c>
      <c r="J13" s="37">
        <f>G13/F3</f>
        <v>0.30122532334921714</v>
      </c>
      <c r="K13" s="35">
        <v>215000</v>
      </c>
      <c r="L13" s="38">
        <f t="shared" si="1"/>
        <v>5375</v>
      </c>
      <c r="M13" s="38">
        <f t="shared" si="2"/>
        <v>190275</v>
      </c>
      <c r="N13" s="39">
        <f>L13/E3</f>
        <v>41.346153846153847</v>
      </c>
      <c r="O13" s="40">
        <f>M13/F3</f>
        <v>64.763444520081691</v>
      </c>
      <c r="S13" s="1062"/>
    </row>
    <row r="14" spans="1:19" ht="16.5" thickBot="1">
      <c r="A14" s="31">
        <v>7</v>
      </c>
      <c r="B14" s="32" t="s">
        <v>38</v>
      </c>
      <c r="C14" s="33">
        <v>2210</v>
      </c>
      <c r="D14" s="34"/>
      <c r="E14" s="1016"/>
      <c r="F14" s="33">
        <v>44</v>
      </c>
      <c r="G14" s="24">
        <f>'20.08.2026'!G14+'21.08.2026'!F14</f>
        <v>992</v>
      </c>
      <c r="H14" s="1017">
        <f>F14/E3</f>
        <v>0.33846153846153848</v>
      </c>
      <c r="I14" s="33">
        <f t="shared" si="0"/>
        <v>2166</v>
      </c>
      <c r="J14" s="37">
        <f>G14/F3</f>
        <v>0.33764465622872702</v>
      </c>
      <c r="K14" s="35">
        <v>151000</v>
      </c>
      <c r="L14" s="38">
        <f t="shared" si="1"/>
        <v>6644</v>
      </c>
      <c r="M14" s="38">
        <f t="shared" si="2"/>
        <v>149792</v>
      </c>
      <c r="N14" s="39">
        <f>L14/E3</f>
        <v>51.107692307692311</v>
      </c>
      <c r="O14" s="40">
        <f>M14/F3</f>
        <v>50.984343090537784</v>
      </c>
      <c r="Q14" s="149"/>
    </row>
    <row r="15" spans="1:19" ht="16.5" thickBot="1">
      <c r="A15" s="31">
        <v>8</v>
      </c>
      <c r="B15" s="32" t="s">
        <v>39</v>
      </c>
      <c r="C15" s="33">
        <v>553</v>
      </c>
      <c r="D15" s="33"/>
      <c r="E15" s="33"/>
      <c r="F15" s="1018">
        <v>20</v>
      </c>
      <c r="G15" s="24">
        <f>'20.08.2026'!G15+'21.08.2026'!F15</f>
        <v>365</v>
      </c>
      <c r="H15" s="36">
        <f>F15/E3</f>
        <v>0.15384615384615385</v>
      </c>
      <c r="I15" s="33">
        <f t="shared" si="0"/>
        <v>533</v>
      </c>
      <c r="J15" s="37">
        <f>G15/F3</f>
        <v>0.12423417290673928</v>
      </c>
      <c r="K15" s="35">
        <v>255000</v>
      </c>
      <c r="L15" s="38">
        <f t="shared" si="1"/>
        <v>5100</v>
      </c>
      <c r="M15" s="38">
        <f t="shared" si="2"/>
        <v>93075</v>
      </c>
      <c r="N15" s="39">
        <f>L15/E3</f>
        <v>39.230769230769234</v>
      </c>
      <c r="O15" s="40">
        <f>M15/F3</f>
        <v>31.679714091218514</v>
      </c>
      <c r="Q15" s="149"/>
    </row>
    <row r="16" spans="1:19" ht="16.5" thickBot="1">
      <c r="A16" s="31">
        <v>9</v>
      </c>
      <c r="B16" s="32" t="s">
        <v>40</v>
      </c>
      <c r="C16" s="33">
        <v>12</v>
      </c>
      <c r="D16" s="34"/>
      <c r="E16" s="33"/>
      <c r="F16" s="33">
        <v>0</v>
      </c>
      <c r="G16" s="24">
        <f>'20.08.2026'!G16+'21.08.2026'!F16</f>
        <v>7</v>
      </c>
      <c r="H16" s="36">
        <f>F16/E3</f>
        <v>0</v>
      </c>
      <c r="I16" s="33">
        <f t="shared" si="0"/>
        <v>12</v>
      </c>
      <c r="J16" s="37">
        <f>G16/F3</f>
        <v>2.3825731790333561E-3</v>
      </c>
      <c r="K16" s="35">
        <v>348200</v>
      </c>
      <c r="L16" s="38">
        <f t="shared" si="1"/>
        <v>0</v>
      </c>
      <c r="M16" s="44">
        <f t="shared" si="2"/>
        <v>2437.4</v>
      </c>
      <c r="N16" s="39">
        <f>L16/E3</f>
        <v>0</v>
      </c>
      <c r="O16" s="40">
        <f>M16/F3</f>
        <v>0.82961198093941457</v>
      </c>
      <c r="Q16" s="1063"/>
      <c r="S16" s="1062"/>
    </row>
    <row r="17" spans="1:18" ht="16.5" thickBot="1">
      <c r="A17" s="991">
        <v>10</v>
      </c>
      <c r="B17" s="1078" t="s">
        <v>41</v>
      </c>
      <c r="C17" s="993">
        <v>2975</v>
      </c>
      <c r="D17" s="993"/>
      <c r="E17" s="993">
        <v>475</v>
      </c>
      <c r="F17" s="993">
        <v>0</v>
      </c>
      <c r="G17" s="24">
        <f>'20.08.2026'!G17+'21.08.2026'!F17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  <c r="Q17" s="116"/>
    </row>
    <row r="18" spans="1:18" ht="16.5" thickBot="1">
      <c r="A18" s="52">
        <v>11</v>
      </c>
      <c r="B18" s="53" t="s">
        <v>122</v>
      </c>
      <c r="C18" s="54">
        <v>0</v>
      </c>
      <c r="D18" s="54"/>
      <c r="E18" s="54"/>
      <c r="F18" s="54">
        <v>0</v>
      </c>
      <c r="G18" s="24">
        <f>'20.08.2026'!G18+'21.08.2026'!F18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  <c r="Q18" s="1063"/>
    </row>
    <row r="19" spans="1:18" ht="16.5" thickBot="1">
      <c r="A19" s="58">
        <v>12</v>
      </c>
      <c r="B19" s="59" t="s">
        <v>43</v>
      </c>
      <c r="C19" s="60">
        <v>53.3</v>
      </c>
      <c r="D19" s="61"/>
      <c r="E19" s="61">
        <v>250</v>
      </c>
      <c r="F19" s="62">
        <v>8.4</v>
      </c>
      <c r="G19" s="24">
        <f>'20.08.2026'!G19+'21.08.2026'!F19</f>
        <v>159.50000000000003</v>
      </c>
      <c r="H19" s="64">
        <f>F19/E3</f>
        <v>6.4615384615384616E-2</v>
      </c>
      <c r="I19" s="65">
        <f t="shared" si="0"/>
        <v>44.9</v>
      </c>
      <c r="J19" s="66">
        <f>G19/F3</f>
        <v>5.4288631722260047E-2</v>
      </c>
      <c r="K19" s="60">
        <v>377600</v>
      </c>
      <c r="L19" s="67">
        <f t="shared" si="1"/>
        <v>3171.8400000000006</v>
      </c>
      <c r="M19" s="67">
        <f t="shared" si="2"/>
        <v>60227.200000000012</v>
      </c>
      <c r="N19" s="67">
        <f>L19/E3</f>
        <v>24.398769230769236</v>
      </c>
      <c r="O19" s="68">
        <f>M19/F3</f>
        <v>20.499387338325395</v>
      </c>
      <c r="Q19" s="149"/>
      <c r="R19" s="116"/>
    </row>
    <row r="20" spans="1:18" ht="16.5" thickBot="1">
      <c r="A20" s="58">
        <v>13</v>
      </c>
      <c r="B20" s="59" t="s">
        <v>44</v>
      </c>
      <c r="C20" s="60">
        <v>89.162000000000035</v>
      </c>
      <c r="D20" s="61"/>
      <c r="E20" s="61">
        <v>300</v>
      </c>
      <c r="F20" s="62">
        <v>10.8</v>
      </c>
      <c r="G20" s="24">
        <f>'20.08.2026'!G20+'21.08.2026'!F20</f>
        <v>141.19999999999999</v>
      </c>
      <c r="H20" s="66">
        <f>F20/E3</f>
        <v>8.3076923076923076E-2</v>
      </c>
      <c r="I20" s="60">
        <f t="shared" si="0"/>
        <v>78.362000000000037</v>
      </c>
      <c r="J20" s="66">
        <f>G20/F3</f>
        <v>4.8059904697072837E-2</v>
      </c>
      <c r="K20" s="60">
        <v>271400</v>
      </c>
      <c r="L20" s="67">
        <f t="shared" si="1"/>
        <v>2931.1200000000003</v>
      </c>
      <c r="M20" s="67">
        <f t="shared" si="2"/>
        <v>38321.68</v>
      </c>
      <c r="N20" s="67">
        <f>L20/E3</f>
        <v>22.547076923076926</v>
      </c>
      <c r="O20" s="68">
        <f>M20/F3</f>
        <v>13.043458134785569</v>
      </c>
      <c r="Q20" s="1079"/>
    </row>
    <row r="21" spans="1:18" ht="16.5" thickBot="1">
      <c r="A21" s="58">
        <v>14</v>
      </c>
      <c r="B21" s="59" t="s">
        <v>45</v>
      </c>
      <c r="C21" s="60">
        <v>1393.3</v>
      </c>
      <c r="D21" s="61"/>
      <c r="E21" s="61">
        <v>2500</v>
      </c>
      <c r="F21" s="62">
        <v>70.2</v>
      </c>
      <c r="G21" s="24">
        <f>'20.08.2026'!G21+'21.08.2026'!F21</f>
        <v>1405.4999999999998</v>
      </c>
      <c r="H21" s="66">
        <f>F21/E3</f>
        <v>0.54</v>
      </c>
      <c r="I21" s="65">
        <f t="shared" si="0"/>
        <v>1323.1</v>
      </c>
      <c r="J21" s="66">
        <f>G21/F3</f>
        <v>0.47838665759019733</v>
      </c>
      <c r="K21" s="60">
        <v>271400</v>
      </c>
      <c r="L21" s="67">
        <f t="shared" si="1"/>
        <v>19052.28</v>
      </c>
      <c r="M21" s="67">
        <f t="shared" si="2"/>
        <v>381452.69999999995</v>
      </c>
      <c r="N21" s="67">
        <f>L21/E3</f>
        <v>146.55599999999998</v>
      </c>
      <c r="O21" s="68">
        <f>M21/F3</f>
        <v>129.83413886997957</v>
      </c>
    </row>
    <row r="22" spans="1:18" ht="16.5" thickBot="1">
      <c r="A22" s="69">
        <v>15</v>
      </c>
      <c r="B22" s="70" t="s">
        <v>46</v>
      </c>
      <c r="C22" s="71">
        <v>38</v>
      </c>
      <c r="D22" s="72"/>
      <c r="E22" s="72"/>
      <c r="F22" s="34">
        <v>0</v>
      </c>
      <c r="G22" s="24">
        <f>'20.08.2026'!G22+'21.08.2026'!F22</f>
        <v>24</v>
      </c>
      <c r="H22" s="73">
        <f>F22/E3</f>
        <v>0</v>
      </c>
      <c r="I22" s="34">
        <f t="shared" si="0"/>
        <v>38</v>
      </c>
      <c r="J22" s="73">
        <f>G22/F3</f>
        <v>8.168822328114363E-3</v>
      </c>
      <c r="K22" s="34">
        <v>41000</v>
      </c>
      <c r="L22" s="44">
        <f t="shared" si="1"/>
        <v>0</v>
      </c>
      <c r="M22" s="44">
        <f t="shared" si="2"/>
        <v>984</v>
      </c>
      <c r="N22" s="74">
        <f>L22/E3</f>
        <v>0</v>
      </c>
      <c r="O22" s="75">
        <f>M22/F3</f>
        <v>0.3349217154526889</v>
      </c>
    </row>
    <row r="23" spans="1:18" ht="16.5" thickBot="1">
      <c r="A23" s="69">
        <v>16</v>
      </c>
      <c r="B23" s="70" t="s">
        <v>47</v>
      </c>
      <c r="C23" s="71">
        <v>320</v>
      </c>
      <c r="D23" s="72"/>
      <c r="E23" s="34">
        <v>300</v>
      </c>
      <c r="F23" s="34">
        <v>14.4</v>
      </c>
      <c r="G23" s="24">
        <f>'20.08.2026'!G23+'21.08.2026'!F23</f>
        <v>288.59999999999997</v>
      </c>
      <c r="H23" s="73">
        <f>F23/E3</f>
        <v>0.11076923076923077</v>
      </c>
      <c r="I23" s="34">
        <f t="shared" si="0"/>
        <v>305.60000000000002</v>
      </c>
      <c r="J23" s="73">
        <f>G23/F3</f>
        <v>9.8230088495575213E-2</v>
      </c>
      <c r="K23" s="34">
        <v>24000</v>
      </c>
      <c r="L23" s="44">
        <f t="shared" si="1"/>
        <v>345.59999999999997</v>
      </c>
      <c r="M23" s="44">
        <f t="shared" si="2"/>
        <v>6926.4</v>
      </c>
      <c r="N23" s="74">
        <f>L23/E3</f>
        <v>2.658461538461538</v>
      </c>
      <c r="O23" s="75">
        <f>M23/F3</f>
        <v>2.3575221238938053</v>
      </c>
    </row>
    <row r="24" spans="1:18" ht="16.5" thickBot="1">
      <c r="A24" s="69">
        <v>17</v>
      </c>
      <c r="B24" s="70" t="s">
        <v>48</v>
      </c>
      <c r="C24" s="71">
        <v>240</v>
      </c>
      <c r="D24" s="72"/>
      <c r="E24" s="72"/>
      <c r="F24" s="34">
        <v>0</v>
      </c>
      <c r="G24" s="24">
        <f>'20.08.2026'!G24+'21.08.2026'!F24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8" ht="16.5" thickBot="1">
      <c r="A25" s="69">
        <v>18</v>
      </c>
      <c r="B25" s="70" t="s">
        <v>49</v>
      </c>
      <c r="C25" s="71">
        <v>255</v>
      </c>
      <c r="D25" s="71"/>
      <c r="E25" s="34">
        <v>300</v>
      </c>
      <c r="F25" s="34">
        <v>5</v>
      </c>
      <c r="G25" s="24">
        <f>'20.08.2026'!G25+'21.08.2026'!F25</f>
        <v>100</v>
      </c>
      <c r="H25" s="73">
        <f>F25/E3</f>
        <v>3.8461538461538464E-2</v>
      </c>
      <c r="I25" s="34">
        <f t="shared" si="0"/>
        <v>250</v>
      </c>
      <c r="J25" s="73">
        <f>G25/F3</f>
        <v>3.4036759700476517E-2</v>
      </c>
      <c r="K25" s="34">
        <v>14400</v>
      </c>
      <c r="L25" s="44">
        <f t="shared" si="1"/>
        <v>72</v>
      </c>
      <c r="M25" s="44">
        <f t="shared" si="2"/>
        <v>1440</v>
      </c>
      <c r="N25" s="74">
        <f>L25/E3</f>
        <v>0.55384615384615388</v>
      </c>
      <c r="O25" s="75">
        <f>M25/F3</f>
        <v>0.49012933968686179</v>
      </c>
    </row>
    <row r="26" spans="1:18" ht="16.5" thickBot="1">
      <c r="A26" s="69">
        <v>19</v>
      </c>
      <c r="B26" s="70" t="s">
        <v>50</v>
      </c>
      <c r="C26" s="71">
        <v>163</v>
      </c>
      <c r="D26" s="34"/>
      <c r="E26" s="71">
        <v>150</v>
      </c>
      <c r="F26" s="34">
        <v>3.5</v>
      </c>
      <c r="G26" s="24">
        <f>'20.08.2026'!G26+'21.08.2026'!F26</f>
        <v>71</v>
      </c>
      <c r="H26" s="73">
        <f>F26/E3</f>
        <v>2.6923076923076925E-2</v>
      </c>
      <c r="I26" s="34">
        <f t="shared" si="0"/>
        <v>159.5</v>
      </c>
      <c r="J26" s="73">
        <f>G26/F3</f>
        <v>2.4166099387338325E-2</v>
      </c>
      <c r="K26" s="34">
        <v>102000</v>
      </c>
      <c r="L26" s="44">
        <f t="shared" si="1"/>
        <v>357</v>
      </c>
      <c r="M26" s="44">
        <f t="shared" si="2"/>
        <v>7241.9999999999991</v>
      </c>
      <c r="N26" s="74">
        <f>L26/E3</f>
        <v>2.7461538461538462</v>
      </c>
      <c r="O26" s="75">
        <f>M26/F3</f>
        <v>2.4649421375085088</v>
      </c>
    </row>
    <row r="27" spans="1:18" ht="16.5" thickBot="1">
      <c r="A27" s="69">
        <v>20</v>
      </c>
      <c r="B27" s="70" t="s">
        <v>51</v>
      </c>
      <c r="C27" s="71">
        <v>255</v>
      </c>
      <c r="D27" s="71"/>
      <c r="E27" s="71">
        <v>300</v>
      </c>
      <c r="F27" s="34">
        <v>5</v>
      </c>
      <c r="G27" s="24">
        <f>'20.08.2026'!G27+'21.08.2026'!F27</f>
        <v>100</v>
      </c>
      <c r="H27" s="73">
        <f>F27/E3</f>
        <v>3.8461538461538464E-2</v>
      </c>
      <c r="I27" s="34">
        <f t="shared" si="0"/>
        <v>250</v>
      </c>
      <c r="J27" s="73">
        <f>G27/F3</f>
        <v>3.4036759700476517E-2</v>
      </c>
      <c r="K27" s="34">
        <v>107000</v>
      </c>
      <c r="L27" s="44">
        <f t="shared" si="1"/>
        <v>535</v>
      </c>
      <c r="M27" s="44">
        <f t="shared" si="2"/>
        <v>10700</v>
      </c>
      <c r="N27" s="74">
        <f>L27/E3</f>
        <v>4.115384615384615</v>
      </c>
      <c r="O27" s="75">
        <f>M27/F3</f>
        <v>3.6419332879509869</v>
      </c>
    </row>
    <row r="28" spans="1:18" ht="16.5" thickBot="1">
      <c r="A28" s="69">
        <v>21</v>
      </c>
      <c r="B28" s="70" t="s">
        <v>52</v>
      </c>
      <c r="C28" s="71">
        <v>198</v>
      </c>
      <c r="D28" s="71"/>
      <c r="E28" s="71">
        <v>175</v>
      </c>
      <c r="F28" s="34">
        <v>3</v>
      </c>
      <c r="G28" s="24">
        <f>'20.08.2026'!G28+'21.08.2026'!F28</f>
        <v>60</v>
      </c>
      <c r="H28" s="73">
        <f>F28/E3</f>
        <v>2.3076923076923078E-2</v>
      </c>
      <c r="I28" s="34">
        <f t="shared" si="0"/>
        <v>195</v>
      </c>
      <c r="J28" s="73">
        <f>G28/F3</f>
        <v>2.042205582028591E-2</v>
      </c>
      <c r="K28" s="34">
        <v>100000</v>
      </c>
      <c r="L28" s="44">
        <f t="shared" si="1"/>
        <v>300</v>
      </c>
      <c r="M28" s="44">
        <f t="shared" si="2"/>
        <v>6000</v>
      </c>
      <c r="N28" s="74">
        <f>L28/E3</f>
        <v>2.3076923076923075</v>
      </c>
      <c r="O28" s="75">
        <f>M28/F3</f>
        <v>2.0422055820285907</v>
      </c>
    </row>
    <row r="29" spans="1:18" ht="16.5" thickBot="1">
      <c r="A29" s="69">
        <v>22</v>
      </c>
      <c r="B29" s="70" t="s">
        <v>53</v>
      </c>
      <c r="C29" s="71">
        <v>63</v>
      </c>
      <c r="D29" s="71"/>
      <c r="E29" s="71">
        <v>50</v>
      </c>
      <c r="F29" s="34">
        <v>1</v>
      </c>
      <c r="G29" s="24">
        <f>'20.08.2026'!G29+'21.08.2026'!F29</f>
        <v>20</v>
      </c>
      <c r="H29" s="73">
        <f>F29/E3</f>
        <v>7.6923076923076927E-3</v>
      </c>
      <c r="I29" s="34">
        <f t="shared" si="0"/>
        <v>62</v>
      </c>
      <c r="J29" s="73">
        <f>G29/F3</f>
        <v>6.8073519400953025E-3</v>
      </c>
      <c r="K29" s="34">
        <v>255000</v>
      </c>
      <c r="L29" s="44">
        <f t="shared" si="1"/>
        <v>255</v>
      </c>
      <c r="M29" s="44">
        <f t="shared" si="2"/>
        <v>5100</v>
      </c>
      <c r="N29" s="74">
        <f>L29/E3</f>
        <v>1.9615384615384615</v>
      </c>
      <c r="O29" s="1047">
        <f>M29/F3</f>
        <v>1.7358747447243021</v>
      </c>
    </row>
    <row r="30" spans="1:18" ht="16.5" thickBot="1">
      <c r="A30" s="69">
        <v>23</v>
      </c>
      <c r="B30" s="70" t="s">
        <v>54</v>
      </c>
      <c r="C30" s="71">
        <v>250</v>
      </c>
      <c r="D30" s="71"/>
      <c r="E30" s="71"/>
      <c r="F30" s="34">
        <v>0</v>
      </c>
      <c r="G30" s="24">
        <f>'20.08.2026'!G30+'21.08.2026'!F30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8" ht="16.5" thickBot="1">
      <c r="A31" s="78">
        <v>24</v>
      </c>
      <c r="B31" s="79" t="s">
        <v>55</v>
      </c>
      <c r="C31" s="80">
        <v>0</v>
      </c>
      <c r="D31" s="81"/>
      <c r="E31" s="81"/>
      <c r="F31" s="82">
        <v>0</v>
      </c>
      <c r="G31" s="24">
        <f>'20.08.2026'!G31+'21.08.2026'!F31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8" ht="16.5" thickBot="1">
      <c r="A32" s="1080" t="s">
        <v>56</v>
      </c>
      <c r="B32" s="1081" t="s">
        <v>57</v>
      </c>
      <c r="C32" s="1082" t="s">
        <v>58</v>
      </c>
      <c r="D32" s="1112" t="s">
        <v>59</v>
      </c>
      <c r="E32" s="1113"/>
      <c r="F32" s="1114"/>
      <c r="G32" s="1083" t="s">
        <v>56</v>
      </c>
      <c r="H32" s="1115" t="s">
        <v>57</v>
      </c>
      <c r="I32" s="1116"/>
      <c r="J32" s="1117"/>
      <c r="K32" s="1082" t="s">
        <v>58</v>
      </c>
      <c r="L32" s="1084" t="s">
        <v>133</v>
      </c>
      <c r="M32" s="92" t="s">
        <v>60</v>
      </c>
      <c r="N32" s="984">
        <f>SUM(N8,N9,N10,N11,N12,N13,N14,N15,N16,N17,N18,N19,N20,N21,N22,N23,N24,N25,N26,N27,N28,N29,N30,N31)</f>
        <v>1338.8564615384614</v>
      </c>
      <c r="O32" s="985">
        <f>SUM(O8,O9,O10,O11,O12,O13,O14,O15,O16,O17,O18,O19,O20,O21,O22,O23,O24,O25,O26,O27,O28,O29,O30,O31,)</f>
        <v>1423.3451446562292</v>
      </c>
    </row>
    <row r="33" spans="1:15" ht="20.25" thickBot="1">
      <c r="A33" s="31">
        <v>4</v>
      </c>
      <c r="B33" s="1085" t="s">
        <v>121</v>
      </c>
      <c r="C33" s="1037">
        <v>78</v>
      </c>
      <c r="D33" s="1096"/>
      <c r="E33" s="1096"/>
      <c r="F33" s="1034">
        <v>130</v>
      </c>
      <c r="G33" s="1037"/>
      <c r="H33" s="1097"/>
      <c r="I33" s="1097"/>
      <c r="J33" s="1097"/>
      <c r="K33" s="1018"/>
      <c r="L33" s="1034"/>
      <c r="M33" s="1098"/>
      <c r="N33" s="1086" t="s">
        <v>17</v>
      </c>
      <c r="O33" s="1087" t="s">
        <v>17</v>
      </c>
    </row>
    <row r="34" spans="1:15" ht="19.5">
      <c r="A34" s="31"/>
      <c r="B34" s="1085"/>
      <c r="C34" s="966"/>
      <c r="D34" s="1096"/>
      <c r="E34" s="1096"/>
      <c r="F34" s="1034"/>
      <c r="G34" s="966"/>
      <c r="H34" s="1101"/>
      <c r="I34" s="1101"/>
      <c r="J34" s="1101"/>
      <c r="K34" s="33"/>
      <c r="L34" s="1023"/>
      <c r="M34" s="1099"/>
      <c r="N34" s="1088" t="s">
        <v>25</v>
      </c>
      <c r="O34" s="1089" t="s">
        <v>26</v>
      </c>
    </row>
    <row r="35" spans="1:15" ht="20.25" thickBot="1">
      <c r="A35" s="1035"/>
      <c r="B35" s="1085"/>
      <c r="C35" s="1037"/>
      <c r="D35" s="1096"/>
      <c r="E35" s="1096"/>
      <c r="F35" s="1034"/>
      <c r="G35" s="966"/>
      <c r="H35" s="1101"/>
      <c r="I35" s="1101"/>
      <c r="J35" s="1101"/>
      <c r="K35" s="34"/>
      <c r="L35" s="1024"/>
      <c r="M35" s="1100"/>
      <c r="N35" s="1090" t="s">
        <v>118</v>
      </c>
      <c r="O35" s="1091" t="s">
        <v>118</v>
      </c>
    </row>
    <row r="36" spans="1:15" ht="20.25" thickBot="1">
      <c r="A36" s="31"/>
      <c r="B36" s="1085"/>
      <c r="C36" s="966"/>
      <c r="D36" s="1096"/>
      <c r="E36" s="1096"/>
      <c r="F36" s="1034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1.3388564615384615</v>
      </c>
      <c r="O36" s="980">
        <f>O32/1000</f>
        <v>1.4233451446562293</v>
      </c>
    </row>
    <row r="37" spans="1:15" ht="19.5">
      <c r="A37" s="104"/>
      <c r="B37" s="1085"/>
      <c r="C37" s="1064"/>
      <c r="D37" s="1096"/>
      <c r="E37" s="1096"/>
      <c r="F37" s="1034"/>
      <c r="G37" s="149"/>
      <c r="H37" s="149"/>
      <c r="I37" s="149"/>
      <c r="J37" s="149"/>
      <c r="K37" s="116"/>
      <c r="L37" s="1065"/>
      <c r="M37" s="1066"/>
      <c r="N37" s="1067"/>
      <c r="O37" s="1068"/>
    </row>
    <row r="38" spans="1:15" ht="20.25" thickBot="1">
      <c r="A38" s="104"/>
      <c r="B38" s="1085"/>
      <c r="C38" s="1029"/>
      <c r="D38" s="1096"/>
      <c r="E38" s="1096"/>
      <c r="F38" s="1034"/>
      <c r="G38" s="1022"/>
      <c r="H38" s="1103"/>
      <c r="I38" s="1103"/>
      <c r="J38" s="1103"/>
      <c r="K38" s="1022"/>
      <c r="L38" s="1025"/>
    </row>
    <row r="39" spans="1:15" ht="20.25" thickBot="1">
      <c r="A39" s="1031">
        <v>3</v>
      </c>
      <c r="B39" s="1032" t="s">
        <v>60</v>
      </c>
      <c r="C39" s="1033">
        <f>SUM(C33:C38,K33:K38)</f>
        <v>78</v>
      </c>
      <c r="D39" s="1093">
        <f>SUM(F33:F38,L33:L38)</f>
        <v>130</v>
      </c>
      <c r="E39" s="1094"/>
      <c r="F39" s="1095"/>
    </row>
  </sheetData>
  <mergeCells count="22">
    <mergeCell ref="D39:F39"/>
    <mergeCell ref="D33:E38"/>
    <mergeCell ref="H33:J33"/>
    <mergeCell ref="M33:M35"/>
    <mergeCell ref="H34:J34"/>
    <mergeCell ref="H35:J35"/>
    <mergeCell ref="H36:J36"/>
    <mergeCell ref="H38:J38"/>
    <mergeCell ref="D5:E5"/>
    <mergeCell ref="F5:G5"/>
    <mergeCell ref="L5:M5"/>
    <mergeCell ref="N5:O5"/>
    <mergeCell ref="D32:F32"/>
    <mergeCell ref="H32:J32"/>
    <mergeCell ref="A1:O1"/>
    <mergeCell ref="A2:O2"/>
    <mergeCell ref="A3:D3"/>
    <mergeCell ref="G3:H3"/>
    <mergeCell ref="I3:O4"/>
    <mergeCell ref="A4:B4"/>
    <mergeCell ref="C4:D4"/>
    <mergeCell ref="G4:H4"/>
  </mergeCells>
  <pageMargins left="0.7" right="0.7" top="0.75" bottom="0.75" header="0.3" footer="0.3"/>
  <pageSetup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39"/>
  <sheetViews>
    <sheetView tabSelected="1" topLeftCell="C1" workbookViewId="0">
      <selection activeCell="V33" sqref="V33"/>
    </sheetView>
  </sheetViews>
  <sheetFormatPr defaultRowHeight="15.75"/>
  <cols>
    <col min="1" max="1" width="5.28515625" style="1" customWidth="1"/>
    <col min="2" max="2" width="32.42578125" style="1" customWidth="1"/>
    <col min="3" max="3" width="10.140625" style="1" customWidth="1"/>
    <col min="4" max="4" width="10.42578125" style="1" customWidth="1"/>
    <col min="5" max="5" width="9.140625" style="1"/>
    <col min="6" max="6" width="10.42578125" style="1" customWidth="1"/>
    <col min="7" max="7" width="11.42578125" style="1" customWidth="1"/>
    <col min="8" max="8" width="12.85546875" style="1" customWidth="1"/>
    <col min="9" max="9" width="12" style="1" customWidth="1"/>
    <col min="10" max="10" width="14" style="1" customWidth="1"/>
    <col min="11" max="11" width="10.140625" style="1" customWidth="1"/>
    <col min="12" max="12" width="12.5703125" style="1" customWidth="1"/>
    <col min="13" max="13" width="13" style="1" customWidth="1"/>
    <col min="14" max="14" width="9.140625" style="1"/>
    <col min="15" max="15" width="9.28515625" style="1" customWidth="1"/>
    <col min="16" max="16384" width="9.140625" style="1"/>
  </cols>
  <sheetData>
    <row r="1" spans="1:19" ht="20.25" thickBot="1">
      <c r="A1" s="1118" t="s">
        <v>0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20"/>
    </row>
    <row r="2" spans="1:19" ht="20.25" thickBot="1">
      <c r="A2" s="1121" t="s">
        <v>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3"/>
      <c r="Q2" s="1071"/>
    </row>
    <row r="3" spans="1:19" ht="21.75" thickBot="1">
      <c r="A3" s="1124" t="s">
        <v>2</v>
      </c>
      <c r="B3" s="1125"/>
      <c r="C3" s="1125"/>
      <c r="D3" s="1126"/>
      <c r="E3" s="3">
        <v>124</v>
      </c>
      <c r="F3" s="3">
        <v>3062</v>
      </c>
      <c r="G3" s="1127" t="s">
        <v>205</v>
      </c>
      <c r="H3" s="1128"/>
      <c r="I3" s="1129" t="s">
        <v>206</v>
      </c>
      <c r="J3" s="1130"/>
      <c r="K3" s="1130"/>
      <c r="L3" s="1130"/>
      <c r="M3" s="1130"/>
      <c r="N3" s="1130"/>
      <c r="O3" s="1131"/>
      <c r="Q3" s="1061"/>
    </row>
    <row r="4" spans="1:19" ht="21" thickTop="1" thickBot="1">
      <c r="A4" s="1134" t="s">
        <v>5</v>
      </c>
      <c r="B4" s="1135"/>
      <c r="C4" s="1136" t="s">
        <v>6</v>
      </c>
      <c r="D4" s="1137"/>
      <c r="E4" s="5"/>
      <c r="F4" s="6"/>
      <c r="G4" s="1138" t="s">
        <v>157</v>
      </c>
      <c r="H4" s="1139"/>
      <c r="I4" s="1132"/>
      <c r="J4" s="1132"/>
      <c r="K4" s="1132"/>
      <c r="L4" s="1132"/>
      <c r="M4" s="1132"/>
      <c r="N4" s="1132"/>
      <c r="O4" s="1133"/>
    </row>
    <row r="5" spans="1:19" ht="17.25" thickTop="1" thickBot="1">
      <c r="A5" s="964" t="s">
        <v>8</v>
      </c>
      <c r="B5" s="1043" t="s">
        <v>9</v>
      </c>
      <c r="C5" s="1043" t="s">
        <v>10</v>
      </c>
      <c r="D5" s="1104" t="s">
        <v>11</v>
      </c>
      <c r="E5" s="1105"/>
      <c r="F5" s="1106" t="s">
        <v>12</v>
      </c>
      <c r="G5" s="1107"/>
      <c r="H5" s="1072" t="s">
        <v>13</v>
      </c>
      <c r="I5" s="10" t="s">
        <v>9</v>
      </c>
      <c r="J5" s="11" t="s">
        <v>14</v>
      </c>
      <c r="K5" s="12" t="s">
        <v>15</v>
      </c>
      <c r="L5" s="1108" t="s">
        <v>16</v>
      </c>
      <c r="M5" s="1109"/>
      <c r="N5" s="1110" t="s">
        <v>17</v>
      </c>
      <c r="O5" s="1111"/>
      <c r="Q5" s="1071"/>
      <c r="S5" s="1071"/>
    </row>
    <row r="6" spans="1:19" ht="16.5" thickTop="1">
      <c r="A6" s="964" t="s">
        <v>18</v>
      </c>
      <c r="B6" s="1043" t="s">
        <v>19</v>
      </c>
      <c r="C6" s="1043" t="s">
        <v>20</v>
      </c>
      <c r="D6" s="1043" t="s">
        <v>21</v>
      </c>
      <c r="E6" s="1073" t="s">
        <v>14</v>
      </c>
      <c r="F6" s="14" t="s">
        <v>21</v>
      </c>
      <c r="G6" s="14" t="s">
        <v>14</v>
      </c>
      <c r="H6" s="1092" t="s">
        <v>22</v>
      </c>
      <c r="I6" s="10" t="s">
        <v>23</v>
      </c>
      <c r="J6" s="180" t="s">
        <v>22</v>
      </c>
      <c r="K6" s="12" t="s">
        <v>24</v>
      </c>
      <c r="L6" s="12" t="s">
        <v>25</v>
      </c>
      <c r="M6" s="12" t="s">
        <v>26</v>
      </c>
      <c r="N6" s="1074" t="s">
        <v>25</v>
      </c>
      <c r="O6" s="16" t="s">
        <v>26</v>
      </c>
    </row>
    <row r="7" spans="1:19" ht="16.5" thickBot="1">
      <c r="A7" s="965"/>
      <c r="B7" s="1043"/>
      <c r="C7" s="1043" t="s">
        <v>27</v>
      </c>
      <c r="D7" s="1043" t="s">
        <v>27</v>
      </c>
      <c r="E7" s="1043" t="s">
        <v>27</v>
      </c>
      <c r="F7" s="1046" t="s">
        <v>27</v>
      </c>
      <c r="G7" s="1046" t="s">
        <v>27</v>
      </c>
      <c r="H7" s="1075" t="s">
        <v>28</v>
      </c>
      <c r="I7" s="10" t="s">
        <v>27</v>
      </c>
      <c r="J7" s="11" t="s">
        <v>28</v>
      </c>
      <c r="K7" s="12" t="s">
        <v>29</v>
      </c>
      <c r="L7" s="12" t="s">
        <v>30</v>
      </c>
      <c r="M7" s="12" t="s">
        <v>30</v>
      </c>
      <c r="N7" s="1076" t="s">
        <v>31</v>
      </c>
      <c r="O7" s="1077" t="s">
        <v>31</v>
      </c>
    </row>
    <row r="8" spans="1:19" ht="16.5" thickBot="1">
      <c r="A8" s="20">
        <v>1</v>
      </c>
      <c r="B8" s="21" t="s">
        <v>32</v>
      </c>
      <c r="C8" s="22">
        <v>18450</v>
      </c>
      <c r="D8" s="23"/>
      <c r="E8" s="22">
        <f>20000+D8</f>
        <v>20000</v>
      </c>
      <c r="F8" s="22">
        <v>3300</v>
      </c>
      <c r="G8" s="24">
        <f>'21.08.2026'!G8+'22.08.2026'!F8</f>
        <v>81150</v>
      </c>
      <c r="H8" s="25">
        <f>F8/E3</f>
        <v>26.612903225806452</v>
      </c>
      <c r="I8" s="22">
        <f t="shared" ref="I8:I31" si="0">(C8-F8)+D8</f>
        <v>15150</v>
      </c>
      <c r="J8" s="26">
        <f>G8/F3</f>
        <v>26.502286087524492</v>
      </c>
      <c r="K8" s="24">
        <v>36000</v>
      </c>
      <c r="L8" s="27">
        <f t="shared" ref="L8:L31" si="1">(F8/1000)*K8</f>
        <v>118800</v>
      </c>
      <c r="M8" s="28">
        <f t="shared" ref="M8:M31" si="2">(G8/1000)*K8</f>
        <v>2921400</v>
      </c>
      <c r="N8" s="29">
        <f>L8/E3</f>
        <v>958.06451612903231</v>
      </c>
      <c r="O8" s="30">
        <f>M8/F3</f>
        <v>954.08229915088179</v>
      </c>
    </row>
    <row r="9" spans="1:19" ht="16.5" thickBot="1">
      <c r="A9" s="31">
        <v>2</v>
      </c>
      <c r="B9" s="32" t="s">
        <v>33</v>
      </c>
      <c r="C9" s="33">
        <v>13149</v>
      </c>
      <c r="D9" s="34"/>
      <c r="E9" s="33">
        <v>15000</v>
      </c>
      <c r="F9" s="33">
        <v>200</v>
      </c>
      <c r="G9" s="24">
        <f>'21.08.2026'!G9+'22.08.2026'!F9</f>
        <v>4621</v>
      </c>
      <c r="H9" s="36">
        <f>F9/E3</f>
        <v>1.6129032258064515</v>
      </c>
      <c r="I9" s="33">
        <f t="shared" si="0"/>
        <v>12949</v>
      </c>
      <c r="J9" s="37">
        <f>G9/F3</f>
        <v>1.5091443500979751</v>
      </c>
      <c r="K9" s="35">
        <v>33500</v>
      </c>
      <c r="L9" s="38">
        <f t="shared" si="1"/>
        <v>6700</v>
      </c>
      <c r="M9" s="38">
        <f t="shared" si="2"/>
        <v>154803.50000000003</v>
      </c>
      <c r="N9" s="39">
        <f>L9/E3</f>
        <v>54.032258064516128</v>
      </c>
      <c r="O9" s="40">
        <f>M9/F3</f>
        <v>50.556335728282178</v>
      </c>
      <c r="Q9" s="149"/>
    </row>
    <row r="10" spans="1:19" ht="16.5" thickBot="1">
      <c r="A10" s="31">
        <v>3</v>
      </c>
      <c r="B10" s="32" t="s">
        <v>34</v>
      </c>
      <c r="C10" s="33">
        <v>2769</v>
      </c>
      <c r="D10" s="34"/>
      <c r="E10" s="33"/>
      <c r="F10" s="33">
        <v>70</v>
      </c>
      <c r="G10" s="24">
        <f>'21.08.2026'!G10+'22.08.2026'!F10</f>
        <v>1690</v>
      </c>
      <c r="H10" s="36">
        <f>F10/E3</f>
        <v>0.56451612903225812</v>
      </c>
      <c r="I10" s="33">
        <f t="shared" si="0"/>
        <v>2699</v>
      </c>
      <c r="J10" s="37">
        <f>G10/F3</f>
        <v>0.5519268451992162</v>
      </c>
      <c r="K10" s="35">
        <v>98000</v>
      </c>
      <c r="L10" s="38">
        <f t="shared" si="1"/>
        <v>6860.0000000000009</v>
      </c>
      <c r="M10" s="38">
        <f t="shared" si="2"/>
        <v>165620</v>
      </c>
      <c r="N10" s="39">
        <f>L10/E3</f>
        <v>55.322580645161295</v>
      </c>
      <c r="O10" s="40">
        <f>M10/F3</f>
        <v>54.088830829523189</v>
      </c>
      <c r="R10" s="1062"/>
      <c r="S10" s="149"/>
    </row>
    <row r="11" spans="1:19" ht="16.5" thickBot="1">
      <c r="A11" s="31">
        <v>4</v>
      </c>
      <c r="B11" s="32" t="s">
        <v>35</v>
      </c>
      <c r="C11" s="33">
        <v>15.838460000000003</v>
      </c>
      <c r="D11" s="34"/>
      <c r="E11" s="33"/>
      <c r="F11" s="1058">
        <v>6.25E-2</v>
      </c>
      <c r="G11" s="24">
        <f>'21.08.2026'!G11+'22.08.2026'!F11</f>
        <v>1.0640400000000001</v>
      </c>
      <c r="H11" s="42">
        <f>F11/E3</f>
        <v>5.0403225806451612E-4</v>
      </c>
      <c r="I11" s="33">
        <f t="shared" si="0"/>
        <v>15.775960000000003</v>
      </c>
      <c r="J11" s="43">
        <f>G11/F3</f>
        <v>3.4749836708033966E-4</v>
      </c>
      <c r="K11" s="35">
        <v>750000</v>
      </c>
      <c r="L11" s="38">
        <f t="shared" si="1"/>
        <v>46.875</v>
      </c>
      <c r="M11" s="38">
        <f t="shared" si="2"/>
        <v>798.03</v>
      </c>
      <c r="N11" s="39">
        <f>L11/E3</f>
        <v>0.37802419354838712</v>
      </c>
      <c r="O11" s="40">
        <f>M11/F3</f>
        <v>0.26062377531025471</v>
      </c>
    </row>
    <row r="12" spans="1:19" ht="16.5" thickBot="1">
      <c r="A12" s="31">
        <v>5</v>
      </c>
      <c r="B12" s="32" t="s">
        <v>36</v>
      </c>
      <c r="C12" s="33">
        <v>608.70000000000005</v>
      </c>
      <c r="D12" s="34"/>
      <c r="E12" s="33"/>
      <c r="F12" s="33">
        <v>5</v>
      </c>
      <c r="G12" s="24">
        <f>'21.08.2026'!G12+'22.08.2026'!F12</f>
        <v>341</v>
      </c>
      <c r="H12" s="36">
        <f>F12/E3</f>
        <v>4.0322580645161289E-2</v>
      </c>
      <c r="I12" s="33">
        <f t="shared" si="0"/>
        <v>603.70000000000005</v>
      </c>
      <c r="J12" s="37">
        <f>G12/F3</f>
        <v>0.11136512083605486</v>
      </c>
      <c r="K12" s="35">
        <v>350000</v>
      </c>
      <c r="L12" s="38">
        <f t="shared" si="1"/>
        <v>1750</v>
      </c>
      <c r="M12" s="38">
        <f t="shared" si="2"/>
        <v>119350.00000000001</v>
      </c>
      <c r="N12" s="39">
        <f>L12/E3</f>
        <v>14.112903225806452</v>
      </c>
      <c r="O12" s="40">
        <f>M12/F3</f>
        <v>38.977792292619206</v>
      </c>
      <c r="Q12" s="149"/>
    </row>
    <row r="13" spans="1:19" ht="16.5" thickBot="1">
      <c r="A13" s="31">
        <v>6</v>
      </c>
      <c r="B13" s="32" t="s">
        <v>37</v>
      </c>
      <c r="C13" s="33">
        <v>55</v>
      </c>
      <c r="D13" s="34"/>
      <c r="E13" s="33"/>
      <c r="F13" s="159">
        <v>40</v>
      </c>
      <c r="G13" s="24">
        <f>'21.08.2026'!G13+'22.08.2026'!F13</f>
        <v>925</v>
      </c>
      <c r="H13" s="36">
        <f>F13/E3</f>
        <v>0.32258064516129031</v>
      </c>
      <c r="I13" s="33">
        <f t="shared" si="0"/>
        <v>15</v>
      </c>
      <c r="J13" s="37">
        <f>G13/F3</f>
        <v>0.30209013716525146</v>
      </c>
      <c r="K13" s="35">
        <v>215000</v>
      </c>
      <c r="L13" s="38">
        <f t="shared" si="1"/>
        <v>8600</v>
      </c>
      <c r="M13" s="38">
        <f t="shared" si="2"/>
        <v>198875</v>
      </c>
      <c r="N13" s="39">
        <f>L13/E3</f>
        <v>69.354838709677423</v>
      </c>
      <c r="O13" s="40">
        <f>M13/F3</f>
        <v>64.949379490529068</v>
      </c>
      <c r="S13" s="1062"/>
    </row>
    <row r="14" spans="1:19" ht="16.5" thickBot="1">
      <c r="A14" s="31">
        <v>7</v>
      </c>
      <c r="B14" s="32" t="s">
        <v>38</v>
      </c>
      <c r="C14" s="33">
        <v>2166</v>
      </c>
      <c r="D14" s="34"/>
      <c r="E14" s="1016"/>
      <c r="F14" s="33">
        <v>40</v>
      </c>
      <c r="G14" s="24">
        <f>'21.08.2026'!G14+'22.08.2026'!F14</f>
        <v>1032</v>
      </c>
      <c r="H14" s="1017">
        <f>F14/E3</f>
        <v>0.32258064516129031</v>
      </c>
      <c r="I14" s="33">
        <f t="shared" si="0"/>
        <v>2126</v>
      </c>
      <c r="J14" s="37">
        <f>G14/F3</f>
        <v>0.3370346178967995</v>
      </c>
      <c r="K14" s="35">
        <v>151000</v>
      </c>
      <c r="L14" s="38">
        <f t="shared" si="1"/>
        <v>6040</v>
      </c>
      <c r="M14" s="38">
        <f t="shared" si="2"/>
        <v>155832</v>
      </c>
      <c r="N14" s="39">
        <f>L14/E3</f>
        <v>48.70967741935484</v>
      </c>
      <c r="O14" s="40">
        <f>M14/F3</f>
        <v>50.892227302416721</v>
      </c>
      <c r="Q14" s="149"/>
    </row>
    <row r="15" spans="1:19" ht="16.5" thickBot="1">
      <c r="A15" s="31">
        <v>8</v>
      </c>
      <c r="B15" s="32" t="s">
        <v>39</v>
      </c>
      <c r="C15" s="33">
        <v>533</v>
      </c>
      <c r="D15" s="33"/>
      <c r="E15" s="33"/>
      <c r="F15" s="1018">
        <v>20</v>
      </c>
      <c r="G15" s="24">
        <f>'21.08.2026'!G15+'22.08.2026'!F15</f>
        <v>385</v>
      </c>
      <c r="H15" s="36">
        <f>F15/E3</f>
        <v>0.16129032258064516</v>
      </c>
      <c r="I15" s="33">
        <f t="shared" si="0"/>
        <v>513</v>
      </c>
      <c r="J15" s="37">
        <f>G15/F3</f>
        <v>0.12573481384715873</v>
      </c>
      <c r="K15" s="35">
        <v>255000</v>
      </c>
      <c r="L15" s="38">
        <f t="shared" si="1"/>
        <v>5100</v>
      </c>
      <c r="M15" s="38">
        <f t="shared" si="2"/>
        <v>98175</v>
      </c>
      <c r="N15" s="39">
        <f>L15/E3</f>
        <v>41.12903225806452</v>
      </c>
      <c r="O15" s="40">
        <f>M15/F3</f>
        <v>32.062377531025476</v>
      </c>
      <c r="Q15" s="149"/>
    </row>
    <row r="16" spans="1:19" ht="16.5" thickBot="1">
      <c r="A16" s="31">
        <v>9</v>
      </c>
      <c r="B16" s="32" t="s">
        <v>40</v>
      </c>
      <c r="C16" s="33">
        <v>12</v>
      </c>
      <c r="D16" s="34"/>
      <c r="E16" s="33"/>
      <c r="F16" s="33">
        <v>0</v>
      </c>
      <c r="G16" s="24">
        <f>'21.08.2026'!G16+'22.08.2026'!F16</f>
        <v>7</v>
      </c>
      <c r="H16" s="36">
        <f>F16/E3</f>
        <v>0</v>
      </c>
      <c r="I16" s="33">
        <f t="shared" si="0"/>
        <v>12</v>
      </c>
      <c r="J16" s="37">
        <f>G16/F3</f>
        <v>2.2860875244937948E-3</v>
      </c>
      <c r="K16" s="35">
        <v>348200</v>
      </c>
      <c r="L16" s="38">
        <f t="shared" si="1"/>
        <v>0</v>
      </c>
      <c r="M16" s="44">
        <f t="shared" si="2"/>
        <v>2437.4</v>
      </c>
      <c r="N16" s="39">
        <f>L16/E3</f>
        <v>0</v>
      </c>
      <c r="O16" s="40">
        <f>M16/F3</f>
        <v>0.79601567602873946</v>
      </c>
      <c r="Q16" s="1063"/>
      <c r="S16" s="1062"/>
    </row>
    <row r="17" spans="1:18" ht="16.5" thickBot="1">
      <c r="A17" s="991">
        <v>10</v>
      </c>
      <c r="B17" s="1078" t="s">
        <v>41</v>
      </c>
      <c r="C17" s="993">
        <v>2975</v>
      </c>
      <c r="D17" s="993"/>
      <c r="E17" s="993">
        <v>475</v>
      </c>
      <c r="F17" s="993">
        <v>0</v>
      </c>
      <c r="G17" s="24">
        <f>'21.08.2026'!G17+'22.08.2026'!F17</f>
        <v>0</v>
      </c>
      <c r="H17" s="995">
        <f>F17/E3</f>
        <v>0</v>
      </c>
      <c r="I17" s="993">
        <f t="shared" si="0"/>
        <v>2975</v>
      </c>
      <c r="J17" s="995">
        <f>G17/F3</f>
        <v>0</v>
      </c>
      <c r="K17" s="994">
        <v>180000</v>
      </c>
      <c r="L17" s="996">
        <f t="shared" si="1"/>
        <v>0</v>
      </c>
      <c r="M17" s="996">
        <f t="shared" si="2"/>
        <v>0</v>
      </c>
      <c r="N17" s="996">
        <f>L17/E3</f>
        <v>0</v>
      </c>
      <c r="O17" s="997">
        <f>M17/F3</f>
        <v>0</v>
      </c>
      <c r="Q17" s="116"/>
    </row>
    <row r="18" spans="1:18" ht="16.5" thickBot="1">
      <c r="A18" s="52">
        <v>11</v>
      </c>
      <c r="B18" s="53" t="s">
        <v>122</v>
      </c>
      <c r="C18" s="54">
        <v>0</v>
      </c>
      <c r="D18" s="54"/>
      <c r="E18" s="54"/>
      <c r="F18" s="54">
        <v>0</v>
      </c>
      <c r="G18" s="24">
        <f>'21.08.2026'!G18+'22.08.2026'!F18</f>
        <v>0</v>
      </c>
      <c r="H18" s="924">
        <f>F18/E3</f>
        <v>0</v>
      </c>
      <c r="I18" s="54">
        <f t="shared" si="0"/>
        <v>0</v>
      </c>
      <c r="J18" s="55">
        <f>G18/F3</f>
        <v>0</v>
      </c>
      <c r="K18" s="54">
        <v>200000</v>
      </c>
      <c r="L18" s="56">
        <f t="shared" si="1"/>
        <v>0</v>
      </c>
      <c r="M18" s="56">
        <f t="shared" si="2"/>
        <v>0</v>
      </c>
      <c r="N18" s="56">
        <f>L18/E3</f>
        <v>0</v>
      </c>
      <c r="O18" s="57">
        <f>M18/F3</f>
        <v>0</v>
      </c>
      <c r="Q18" s="1063"/>
    </row>
    <row r="19" spans="1:18" ht="16.5" thickBot="1">
      <c r="A19" s="58">
        <v>12</v>
      </c>
      <c r="B19" s="59" t="s">
        <v>43</v>
      </c>
      <c r="C19" s="60">
        <v>44.9</v>
      </c>
      <c r="D19" s="61"/>
      <c r="E19" s="61">
        <v>250</v>
      </c>
      <c r="F19" s="62">
        <v>7.3</v>
      </c>
      <c r="G19" s="24">
        <f>'21.08.2026'!G19+'22.08.2026'!F19</f>
        <v>166.80000000000004</v>
      </c>
      <c r="H19" s="64">
        <f>F19/E3</f>
        <v>5.8870967741935482E-2</v>
      </c>
      <c r="I19" s="65">
        <f t="shared" si="0"/>
        <v>37.6</v>
      </c>
      <c r="J19" s="66">
        <f>G19/F3</f>
        <v>5.4474199869366441E-2</v>
      </c>
      <c r="K19" s="60">
        <v>377600</v>
      </c>
      <c r="L19" s="67">
        <f t="shared" si="1"/>
        <v>2756.48</v>
      </c>
      <c r="M19" s="67">
        <f t="shared" si="2"/>
        <v>62983.680000000015</v>
      </c>
      <c r="N19" s="67">
        <f>L19/E3</f>
        <v>22.229677419354839</v>
      </c>
      <c r="O19" s="68">
        <f>M19/F3</f>
        <v>20.569457870672768</v>
      </c>
      <c r="Q19" s="149"/>
      <c r="R19" s="116"/>
    </row>
    <row r="20" spans="1:18" ht="16.5" thickBot="1">
      <c r="A20" s="58">
        <v>13</v>
      </c>
      <c r="B20" s="59" t="s">
        <v>44</v>
      </c>
      <c r="C20" s="60">
        <v>78.362000000000037</v>
      </c>
      <c r="D20" s="61"/>
      <c r="E20" s="61">
        <v>300</v>
      </c>
      <c r="F20" s="62">
        <v>9.1</v>
      </c>
      <c r="G20" s="24">
        <f>'21.08.2026'!G20+'22.08.2026'!F20</f>
        <v>150.29999999999998</v>
      </c>
      <c r="H20" s="66">
        <f>F20/E3</f>
        <v>7.3387096774193541E-2</v>
      </c>
      <c r="I20" s="60">
        <f t="shared" si="0"/>
        <v>69.262000000000043</v>
      </c>
      <c r="J20" s="66">
        <f>G20/F3</f>
        <v>4.9085564990202474E-2</v>
      </c>
      <c r="K20" s="60">
        <v>271400</v>
      </c>
      <c r="L20" s="67">
        <f t="shared" si="1"/>
        <v>2469.7400000000002</v>
      </c>
      <c r="M20" s="67">
        <f t="shared" si="2"/>
        <v>40791.42</v>
      </c>
      <c r="N20" s="67">
        <f>L20/E3</f>
        <v>19.91725806451613</v>
      </c>
      <c r="O20" s="68">
        <f>M20/F3</f>
        <v>13.321822338340953</v>
      </c>
      <c r="Q20" s="1079"/>
    </row>
    <row r="21" spans="1:18" ht="16.5" thickBot="1">
      <c r="A21" s="58">
        <v>14</v>
      </c>
      <c r="B21" s="59" t="s">
        <v>45</v>
      </c>
      <c r="C21" s="60">
        <v>1323.1</v>
      </c>
      <c r="D21" s="61"/>
      <c r="E21" s="61">
        <v>2500</v>
      </c>
      <c r="F21" s="62">
        <v>71.3</v>
      </c>
      <c r="G21" s="1059">
        <f>'21.08.2026'!G21+'22.08.2026'!F21</f>
        <v>1476.7999999999997</v>
      </c>
      <c r="H21" s="66">
        <f>F21/E3</f>
        <v>0.57499999999999996</v>
      </c>
      <c r="I21" s="65">
        <f t="shared" si="0"/>
        <v>1251.8</v>
      </c>
      <c r="J21" s="66">
        <f>G21/F3</f>
        <v>0.48229915088177655</v>
      </c>
      <c r="K21" s="60">
        <v>271400</v>
      </c>
      <c r="L21" s="67">
        <f t="shared" si="1"/>
        <v>19350.82</v>
      </c>
      <c r="M21" s="67">
        <f t="shared" si="2"/>
        <v>400803.5199999999</v>
      </c>
      <c r="N21" s="67">
        <f>L21/E3</f>
        <v>156.05500000000001</v>
      </c>
      <c r="O21" s="68">
        <f>M21/F3</f>
        <v>130.89598954931415</v>
      </c>
    </row>
    <row r="22" spans="1:18" ht="16.5" thickBot="1">
      <c r="A22" s="69">
        <v>15</v>
      </c>
      <c r="B22" s="70" t="s">
        <v>46</v>
      </c>
      <c r="C22" s="71">
        <v>38</v>
      </c>
      <c r="D22" s="72"/>
      <c r="E22" s="72"/>
      <c r="F22" s="34">
        <v>0</v>
      </c>
      <c r="G22" s="24">
        <f>'21.08.2026'!G22+'22.08.2026'!F22</f>
        <v>24</v>
      </c>
      <c r="H22" s="73">
        <f>F22/E3</f>
        <v>0</v>
      </c>
      <c r="I22" s="34">
        <f t="shared" si="0"/>
        <v>38</v>
      </c>
      <c r="J22" s="73">
        <f>G22/F3</f>
        <v>7.8380143696930114E-3</v>
      </c>
      <c r="K22" s="34">
        <v>41000</v>
      </c>
      <c r="L22" s="44">
        <f t="shared" si="1"/>
        <v>0</v>
      </c>
      <c r="M22" s="44">
        <f t="shared" si="2"/>
        <v>984</v>
      </c>
      <c r="N22" s="74">
        <f>L22/E3</f>
        <v>0</v>
      </c>
      <c r="O22" s="75">
        <f>M22/F3</f>
        <v>0.32135858915741344</v>
      </c>
    </row>
    <row r="23" spans="1:18" ht="16.5" thickBot="1">
      <c r="A23" s="69">
        <v>16</v>
      </c>
      <c r="B23" s="70" t="s">
        <v>47</v>
      </c>
      <c r="C23" s="71">
        <v>305.60000000000002</v>
      </c>
      <c r="D23" s="72"/>
      <c r="E23" s="34">
        <v>300</v>
      </c>
      <c r="F23" s="34">
        <v>14.4</v>
      </c>
      <c r="G23" s="24">
        <f>'21.08.2026'!G23+'22.08.2026'!F23</f>
        <v>302.99999999999994</v>
      </c>
      <c r="H23" s="73">
        <f>F23/E3</f>
        <v>0.11612903225806452</v>
      </c>
      <c r="I23" s="34">
        <f t="shared" si="0"/>
        <v>291.20000000000005</v>
      </c>
      <c r="J23" s="73">
        <f>G23/F3</f>
        <v>9.8954931417374242E-2</v>
      </c>
      <c r="K23" s="34">
        <v>24000</v>
      </c>
      <c r="L23" s="44">
        <f t="shared" si="1"/>
        <v>345.59999999999997</v>
      </c>
      <c r="M23" s="44">
        <f t="shared" si="2"/>
        <v>7271.9999999999982</v>
      </c>
      <c r="N23" s="74">
        <f>L23/E3</f>
        <v>2.787096774193548</v>
      </c>
      <c r="O23" s="75">
        <f>M23/F3</f>
        <v>2.3749183540169816</v>
      </c>
    </row>
    <row r="24" spans="1:18" ht="16.5" thickBot="1">
      <c r="A24" s="69">
        <v>17</v>
      </c>
      <c r="B24" s="70" t="s">
        <v>48</v>
      </c>
      <c r="C24" s="71">
        <v>240</v>
      </c>
      <c r="D24" s="72"/>
      <c r="E24" s="72"/>
      <c r="F24" s="34">
        <v>0</v>
      </c>
      <c r="G24" s="24">
        <f>'21.08.2026'!G24+'22.08.2026'!F24</f>
        <v>0</v>
      </c>
      <c r="H24" s="73">
        <f>F24/E3</f>
        <v>0</v>
      </c>
      <c r="I24" s="34">
        <f t="shared" si="0"/>
        <v>240</v>
      </c>
      <c r="J24" s="73">
        <f>G24/F3</f>
        <v>0</v>
      </c>
      <c r="K24" s="34">
        <v>13210</v>
      </c>
      <c r="L24" s="44">
        <f t="shared" si="1"/>
        <v>0</v>
      </c>
      <c r="M24" s="44">
        <f t="shared" si="2"/>
        <v>0</v>
      </c>
      <c r="N24" s="74">
        <f>L24/E3</f>
        <v>0</v>
      </c>
      <c r="O24" s="75">
        <f>M24/F3</f>
        <v>0</v>
      </c>
    </row>
    <row r="25" spans="1:18" ht="16.5" thickBot="1">
      <c r="A25" s="69">
        <v>18</v>
      </c>
      <c r="B25" s="70" t="s">
        <v>49</v>
      </c>
      <c r="C25" s="71">
        <v>250</v>
      </c>
      <c r="D25" s="71"/>
      <c r="E25" s="34">
        <v>300</v>
      </c>
      <c r="F25" s="34">
        <v>5</v>
      </c>
      <c r="G25" s="24">
        <f>'21.08.2026'!G25+'22.08.2026'!F25</f>
        <v>105</v>
      </c>
      <c r="H25" s="73">
        <f>F25/E3</f>
        <v>4.0322580645161289E-2</v>
      </c>
      <c r="I25" s="34">
        <f t="shared" si="0"/>
        <v>245</v>
      </c>
      <c r="J25" s="73">
        <f>G25/F3</f>
        <v>3.4291312867406921E-2</v>
      </c>
      <c r="K25" s="34">
        <v>14400</v>
      </c>
      <c r="L25" s="44">
        <f t="shared" si="1"/>
        <v>72</v>
      </c>
      <c r="M25" s="44">
        <f t="shared" si="2"/>
        <v>1512</v>
      </c>
      <c r="N25" s="74">
        <f>L25/E3</f>
        <v>0.58064516129032262</v>
      </c>
      <c r="O25" s="75">
        <f>M25/F3</f>
        <v>0.49379490529065972</v>
      </c>
    </row>
    <row r="26" spans="1:18" ht="16.5" thickBot="1">
      <c r="A26" s="69">
        <v>19</v>
      </c>
      <c r="B26" s="70" t="s">
        <v>50</v>
      </c>
      <c r="C26" s="71">
        <v>159.5</v>
      </c>
      <c r="D26" s="34"/>
      <c r="E26" s="71">
        <v>150</v>
      </c>
      <c r="F26" s="34">
        <v>3.5</v>
      </c>
      <c r="G26" s="24">
        <f>'21.08.2026'!G26+'22.08.2026'!F26</f>
        <v>74.5</v>
      </c>
      <c r="H26" s="73">
        <f>F26/E3</f>
        <v>2.8225806451612902E-2</v>
      </c>
      <c r="I26" s="34">
        <f t="shared" si="0"/>
        <v>156</v>
      </c>
      <c r="J26" s="73">
        <f>G26/F3</f>
        <v>2.4330502939255389E-2</v>
      </c>
      <c r="K26" s="34">
        <v>102000</v>
      </c>
      <c r="L26" s="44">
        <f t="shared" si="1"/>
        <v>357</v>
      </c>
      <c r="M26" s="44">
        <f t="shared" si="2"/>
        <v>7599</v>
      </c>
      <c r="N26" s="74">
        <f>L26/E3</f>
        <v>2.879032258064516</v>
      </c>
      <c r="O26" s="75">
        <f>M26/F3</f>
        <v>2.4817112998040498</v>
      </c>
    </row>
    <row r="27" spans="1:18" ht="16.5" thickBot="1">
      <c r="A27" s="69">
        <v>20</v>
      </c>
      <c r="B27" s="70" t="s">
        <v>51</v>
      </c>
      <c r="C27" s="71">
        <v>250</v>
      </c>
      <c r="D27" s="71"/>
      <c r="E27" s="71">
        <v>300</v>
      </c>
      <c r="F27" s="34">
        <v>5</v>
      </c>
      <c r="G27" s="24">
        <f>'21.08.2026'!G27+'22.08.2026'!F27</f>
        <v>105</v>
      </c>
      <c r="H27" s="73">
        <f>F27/E3</f>
        <v>4.0322580645161289E-2</v>
      </c>
      <c r="I27" s="34">
        <f t="shared" si="0"/>
        <v>245</v>
      </c>
      <c r="J27" s="73">
        <f>G27/F3</f>
        <v>3.4291312867406921E-2</v>
      </c>
      <c r="K27" s="34">
        <v>107000</v>
      </c>
      <c r="L27" s="44">
        <f t="shared" si="1"/>
        <v>535</v>
      </c>
      <c r="M27" s="44">
        <f t="shared" si="2"/>
        <v>11235</v>
      </c>
      <c r="N27" s="74">
        <f>L27/E3</f>
        <v>4.314516129032258</v>
      </c>
      <c r="O27" s="75">
        <f>M27/F3</f>
        <v>3.6691704768125408</v>
      </c>
    </row>
    <row r="28" spans="1:18" ht="16.5" thickBot="1">
      <c r="A28" s="69">
        <v>21</v>
      </c>
      <c r="B28" s="70" t="s">
        <v>52</v>
      </c>
      <c r="C28" s="71">
        <v>195</v>
      </c>
      <c r="D28" s="71"/>
      <c r="E28" s="71">
        <v>175</v>
      </c>
      <c r="F28" s="34">
        <v>3</v>
      </c>
      <c r="G28" s="24">
        <f>'21.08.2026'!G28+'22.08.2026'!F28</f>
        <v>63</v>
      </c>
      <c r="H28" s="73">
        <f>F28/E3</f>
        <v>2.4193548387096774E-2</v>
      </c>
      <c r="I28" s="34">
        <f t="shared" si="0"/>
        <v>192</v>
      </c>
      <c r="J28" s="73">
        <f>G28/F3</f>
        <v>2.0574787720444153E-2</v>
      </c>
      <c r="K28" s="34">
        <v>100000</v>
      </c>
      <c r="L28" s="44">
        <f t="shared" si="1"/>
        <v>300</v>
      </c>
      <c r="M28" s="44">
        <f t="shared" si="2"/>
        <v>6300</v>
      </c>
      <c r="N28" s="74">
        <f>L28/E3</f>
        <v>2.4193548387096775</v>
      </c>
      <c r="O28" s="75">
        <f>M28/F3</f>
        <v>2.0574787720444152</v>
      </c>
    </row>
    <row r="29" spans="1:18" ht="16.5" thickBot="1">
      <c r="A29" s="69">
        <v>22</v>
      </c>
      <c r="B29" s="70" t="s">
        <v>53</v>
      </c>
      <c r="C29" s="71">
        <v>62</v>
      </c>
      <c r="D29" s="71"/>
      <c r="E29" s="71">
        <v>50</v>
      </c>
      <c r="F29" s="34">
        <v>1</v>
      </c>
      <c r="G29" s="24">
        <f>'21.08.2026'!G29+'22.08.2026'!F29</f>
        <v>21</v>
      </c>
      <c r="H29" s="73">
        <f>F29/E3</f>
        <v>8.0645161290322578E-3</v>
      </c>
      <c r="I29" s="34">
        <f t="shared" si="0"/>
        <v>61</v>
      </c>
      <c r="J29" s="73">
        <f>G29/F3</f>
        <v>6.8582625734813843E-3</v>
      </c>
      <c r="K29" s="34">
        <v>255000</v>
      </c>
      <c r="L29" s="44">
        <f t="shared" si="1"/>
        <v>255</v>
      </c>
      <c r="M29" s="44">
        <f t="shared" si="2"/>
        <v>5355</v>
      </c>
      <c r="N29" s="74">
        <f>L29/E3</f>
        <v>2.056451612903226</v>
      </c>
      <c r="O29" s="1047">
        <f>M29/F3</f>
        <v>1.7488569562377532</v>
      </c>
    </row>
    <row r="30" spans="1:18" ht="16.5" thickBot="1">
      <c r="A30" s="69">
        <v>23</v>
      </c>
      <c r="B30" s="70" t="s">
        <v>54</v>
      </c>
      <c r="C30" s="71">
        <v>250</v>
      </c>
      <c r="D30" s="71"/>
      <c r="E30" s="71"/>
      <c r="F30" s="34">
        <v>0</v>
      </c>
      <c r="G30" s="24">
        <f>'21.08.2026'!G30+'22.08.2026'!F30</f>
        <v>0</v>
      </c>
      <c r="H30" s="73">
        <f>F30/E3</f>
        <v>0</v>
      </c>
      <c r="I30" s="34">
        <f t="shared" si="0"/>
        <v>250</v>
      </c>
      <c r="J30" s="73">
        <f>G30/F3</f>
        <v>0</v>
      </c>
      <c r="K30" s="34">
        <v>56000</v>
      </c>
      <c r="L30" s="44">
        <f t="shared" si="1"/>
        <v>0</v>
      </c>
      <c r="M30" s="44">
        <f t="shared" si="2"/>
        <v>0</v>
      </c>
      <c r="N30" s="981">
        <f>L30/F3</f>
        <v>0</v>
      </c>
      <c r="O30" s="75">
        <f>M30/F3</f>
        <v>0</v>
      </c>
    </row>
    <row r="31" spans="1:18" ht="16.5" thickBot="1">
      <c r="A31" s="78">
        <v>24</v>
      </c>
      <c r="B31" s="79" t="s">
        <v>55</v>
      </c>
      <c r="C31" s="80">
        <v>0</v>
      </c>
      <c r="D31" s="81"/>
      <c r="E31" s="81"/>
      <c r="F31" s="82">
        <v>0</v>
      </c>
      <c r="G31" s="24">
        <f>'21.08.2026'!G31+'22.08.2026'!F31</f>
        <v>0</v>
      </c>
      <c r="H31" s="84">
        <f>F31/E3</f>
        <v>0</v>
      </c>
      <c r="I31" s="85">
        <f t="shared" si="0"/>
        <v>0</v>
      </c>
      <c r="J31" s="84">
        <f>G31/F3</f>
        <v>0</v>
      </c>
      <c r="K31" s="85">
        <v>90000</v>
      </c>
      <c r="L31" s="86">
        <f t="shared" si="1"/>
        <v>0</v>
      </c>
      <c r="M31" s="86">
        <f t="shared" si="2"/>
        <v>0</v>
      </c>
      <c r="N31" s="1048">
        <f>L31/F3</f>
        <v>0</v>
      </c>
      <c r="O31" s="88">
        <f>M31/F3</f>
        <v>0</v>
      </c>
    </row>
    <row r="32" spans="1:18" ht="16.5" thickBot="1">
      <c r="A32" s="1038" t="s">
        <v>56</v>
      </c>
      <c r="B32" s="1081" t="s">
        <v>57</v>
      </c>
      <c r="C32" s="1040" t="s">
        <v>58</v>
      </c>
      <c r="D32" s="1112" t="s">
        <v>59</v>
      </c>
      <c r="E32" s="1113"/>
      <c r="F32" s="1114"/>
      <c r="G32" s="1083" t="s">
        <v>56</v>
      </c>
      <c r="H32" s="1115" t="s">
        <v>57</v>
      </c>
      <c r="I32" s="1116"/>
      <c r="J32" s="1117"/>
      <c r="K32" s="1040" t="s">
        <v>58</v>
      </c>
      <c r="L32" s="1042" t="s">
        <v>133</v>
      </c>
      <c r="M32" s="92" t="s">
        <v>60</v>
      </c>
      <c r="N32" s="984">
        <f>SUM(N8,N9,N10,N11,N12,N13,N14,N15,N16,N17,N18,N19,N20,N21,N22,N23,N24,N25,N26,N27,N28,N29,N30,N31)</f>
        <v>1454.3428629032258</v>
      </c>
      <c r="O32" s="985">
        <f>SUM(O8,O9,O10,O11,O12,O13,O14,O15,O16,O17,O18,O19,O20,O21,O22,O23,O24,O25,O26,O27,O28,O29,O30,O31,)</f>
        <v>1424.6004408883082</v>
      </c>
    </row>
    <row r="33" spans="1:15" ht="16.5" thickBot="1">
      <c r="A33" s="31">
        <v>1</v>
      </c>
      <c r="B33" s="1085" t="s">
        <v>121</v>
      </c>
      <c r="C33" s="1037">
        <v>73</v>
      </c>
      <c r="D33" s="1096"/>
      <c r="E33" s="1096"/>
      <c r="F33" s="1034">
        <v>124</v>
      </c>
      <c r="G33" s="1037"/>
      <c r="H33" s="1097"/>
      <c r="I33" s="1097"/>
      <c r="J33" s="1097"/>
      <c r="K33" s="1018"/>
      <c r="L33" s="1034"/>
      <c r="M33" s="1098"/>
      <c r="N33" s="974" t="s">
        <v>17</v>
      </c>
      <c r="O33" s="998" t="s">
        <v>17</v>
      </c>
    </row>
    <row r="34" spans="1:15">
      <c r="A34" s="31"/>
      <c r="B34" s="1085"/>
      <c r="C34" s="966"/>
      <c r="D34" s="1096"/>
      <c r="E34" s="1096"/>
      <c r="F34" s="1034"/>
      <c r="G34" s="966"/>
      <c r="H34" s="1101"/>
      <c r="I34" s="1101"/>
      <c r="J34" s="1101"/>
      <c r="K34" s="33"/>
      <c r="L34" s="1023"/>
      <c r="M34" s="1099"/>
      <c r="N34" s="1049" t="s">
        <v>25</v>
      </c>
      <c r="O34" s="1050" t="s">
        <v>26</v>
      </c>
    </row>
    <row r="35" spans="1:15" ht="16.5" thickBot="1">
      <c r="A35" s="1035"/>
      <c r="B35" s="1085"/>
      <c r="C35" s="1037"/>
      <c r="D35" s="1096"/>
      <c r="E35" s="1096"/>
      <c r="F35" s="1034"/>
      <c r="G35" s="966"/>
      <c r="H35" s="1101"/>
      <c r="I35" s="1101"/>
      <c r="J35" s="1101"/>
      <c r="K35" s="34"/>
      <c r="L35" s="1024"/>
      <c r="M35" s="1100"/>
      <c r="N35" s="976" t="s">
        <v>118</v>
      </c>
      <c r="O35" s="979" t="s">
        <v>118</v>
      </c>
    </row>
    <row r="36" spans="1:15" ht="20.25" thickBot="1">
      <c r="A36" s="31"/>
      <c r="B36" s="1085"/>
      <c r="C36" s="966"/>
      <c r="D36" s="1096"/>
      <c r="E36" s="1096"/>
      <c r="F36" s="1034"/>
      <c r="G36" s="1027"/>
      <c r="H36" s="1102"/>
      <c r="I36" s="1102"/>
      <c r="J36" s="1102"/>
      <c r="K36" s="85"/>
      <c r="L36" s="1026"/>
      <c r="M36" s="107" t="s">
        <v>60</v>
      </c>
      <c r="N36" s="986">
        <f>N32/1000</f>
        <v>1.4543428629032258</v>
      </c>
      <c r="O36" s="980">
        <f>O32/1000</f>
        <v>1.4246004408883082</v>
      </c>
    </row>
    <row r="37" spans="1:15" ht="19.5">
      <c r="A37" s="104"/>
      <c r="B37" s="1085"/>
      <c r="C37" s="1064"/>
      <c r="D37" s="1096"/>
      <c r="E37" s="1096"/>
      <c r="F37" s="1034"/>
      <c r="G37" s="149"/>
      <c r="H37" s="149"/>
      <c r="I37" s="149"/>
      <c r="J37" s="149"/>
      <c r="K37" s="116"/>
      <c r="L37" s="1065"/>
      <c r="M37" s="1066"/>
      <c r="N37" s="1067"/>
      <c r="O37" s="1068"/>
    </row>
    <row r="38" spans="1:15" ht="20.25" thickBot="1">
      <c r="A38" s="104"/>
      <c r="B38" s="1085"/>
      <c r="C38" s="1029"/>
      <c r="D38" s="1096"/>
      <c r="E38" s="1096"/>
      <c r="F38" s="1034"/>
      <c r="G38" s="1022"/>
      <c r="H38" s="1103"/>
      <c r="I38" s="1103"/>
      <c r="J38" s="1103"/>
      <c r="K38" s="1022"/>
      <c r="L38" s="1025"/>
    </row>
    <row r="39" spans="1:15" ht="20.25" thickBot="1">
      <c r="A39" s="1031">
        <v>2</v>
      </c>
      <c r="B39" s="1032" t="s">
        <v>60</v>
      </c>
      <c r="C39" s="1033">
        <f>SUM(C33:C38,K33:K38)</f>
        <v>73</v>
      </c>
      <c r="D39" s="1093">
        <f>SUM(F33:F38,L33:L38)</f>
        <v>124</v>
      </c>
      <c r="E39" s="1094"/>
      <c r="F39" s="1095"/>
    </row>
  </sheetData>
  <mergeCells count="22">
    <mergeCell ref="A1:O1"/>
    <mergeCell ref="A2:O2"/>
    <mergeCell ref="A3:D3"/>
    <mergeCell ref="G3:H3"/>
    <mergeCell ref="I3:O4"/>
    <mergeCell ref="A4:B4"/>
    <mergeCell ref="C4:D4"/>
    <mergeCell ref="G4:H4"/>
    <mergeCell ref="D5:E5"/>
    <mergeCell ref="F5:G5"/>
    <mergeCell ref="L5:M5"/>
    <mergeCell ref="N5:O5"/>
    <mergeCell ref="D32:F32"/>
    <mergeCell ref="H32:J32"/>
    <mergeCell ref="D39:F39"/>
    <mergeCell ref="D33:E38"/>
    <mergeCell ref="H33:J33"/>
    <mergeCell ref="M33:M35"/>
    <mergeCell ref="H34:J34"/>
    <mergeCell ref="H35:J35"/>
    <mergeCell ref="H36:J36"/>
    <mergeCell ref="H38:J38"/>
  </mergeCells>
  <pageMargins left="0.12" right="0.12" top="1.0900000000000001" bottom="0.21" header="0.31496062992125984" footer="0.17"/>
  <pageSetup scale="7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1</vt:i4>
      </vt:variant>
    </vt:vector>
  </HeadingPairs>
  <TitlesOfParts>
    <vt:vector size="50" baseType="lpstr">
      <vt:lpstr>01-07-26</vt:lpstr>
      <vt:lpstr>02-07-26</vt:lpstr>
      <vt:lpstr>03-07-26</vt:lpstr>
      <vt:lpstr>04-07-26</vt:lpstr>
      <vt:lpstr>05-7-26</vt:lpstr>
      <vt:lpstr>06-07-26</vt:lpstr>
      <vt:lpstr>07-07-26</vt:lpstr>
      <vt:lpstr>08-07-26</vt:lpstr>
      <vt:lpstr>09-07-26</vt:lpstr>
      <vt:lpstr>10-07-26</vt:lpstr>
      <vt:lpstr>11-07-26</vt:lpstr>
      <vt:lpstr>12-7-26</vt:lpstr>
      <vt:lpstr>13-7-26</vt:lpstr>
      <vt:lpstr>14-7-26</vt:lpstr>
      <vt:lpstr>15-07-26</vt:lpstr>
      <vt:lpstr>16-07-26</vt:lpstr>
      <vt:lpstr>17-07-26</vt:lpstr>
      <vt:lpstr>22-07-26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01-08-2026</vt:lpstr>
      <vt:lpstr>02-08-2026</vt:lpstr>
      <vt:lpstr>03-08-2026</vt:lpstr>
      <vt:lpstr>04-08-2026</vt:lpstr>
      <vt:lpstr>05-08-2026</vt:lpstr>
      <vt:lpstr>06-08-2026</vt:lpstr>
      <vt:lpstr>7-08-2026</vt:lpstr>
      <vt:lpstr>08-08-2026</vt:lpstr>
      <vt:lpstr>09-08-2026</vt:lpstr>
      <vt:lpstr>10-08-2026</vt:lpstr>
      <vt:lpstr>11-08-2026</vt:lpstr>
      <vt:lpstr>12-08-2026</vt:lpstr>
      <vt:lpstr>13-08-2026</vt:lpstr>
      <vt:lpstr>14-08-2026</vt:lpstr>
      <vt:lpstr>15-08-2026</vt:lpstr>
      <vt:lpstr>16.08.2026</vt:lpstr>
      <vt:lpstr>17-08-2026</vt:lpstr>
      <vt:lpstr>18-08-2026</vt:lpstr>
      <vt:lpstr>19.08.2026</vt:lpstr>
      <vt:lpstr>20.08.2026</vt:lpstr>
      <vt:lpstr>21.08.2026</vt:lpstr>
      <vt:lpstr>22.08.2026</vt:lpstr>
      <vt:lpstr>'17-07-26'!Print_Area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abdul mannan</cp:lastModifiedBy>
  <cp:lastPrinted>2026-08-23T06:53:07Z</cp:lastPrinted>
  <dcterms:created xsi:type="dcterms:W3CDTF">2006-04-17T23:30:00Z</dcterms:created>
  <dcterms:modified xsi:type="dcterms:W3CDTF">2026-08-25T04:36:19Z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88323c78c5cd4aacb93395a0fab908d2</vt:lpwstr>
  </property>
  <property fmtid="{D5CDD505-2E9C-101B-9397-08002B2CF9AE}" pid="4" name="KSOProductBuildVer">
    <vt:lpwstr>1033-12.1.0.27458</vt:lpwstr>
  </property>
  <property fmtid="{D5CDD505-2E9C-101B-9397-08002B2CF9AE}" pid="5" name="CalculationRule">
    <vt:i4>0</vt:i4>
  </property>
</Properties>
</file>