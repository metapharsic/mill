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HEMICAL" sheetId="1" r:id="rId1"/>
  </sheets>
  <calcPr calcId="124519"/>
</workbook>
</file>

<file path=xl/calcChain.xml><?xml version="1.0" encoding="utf-8"?>
<calcChain xmlns="http://schemas.openxmlformats.org/spreadsheetml/2006/main">
  <c r="J5" i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4"/>
</calcChain>
</file>

<file path=xl/sharedStrings.xml><?xml version="1.0" encoding="utf-8"?>
<sst xmlns="http://schemas.openxmlformats.org/spreadsheetml/2006/main" count="78" uniqueCount="70">
  <si>
    <t>CHEMICAL STOCK ON AUGUST-2026</t>
  </si>
  <si>
    <t>SR.</t>
  </si>
  <si>
    <t>ITEM CODE</t>
  </si>
  <si>
    <t>PARTUCULERS</t>
  </si>
  <si>
    <t>HSN CODE</t>
  </si>
  <si>
    <t>RATE PER KG</t>
  </si>
  <si>
    <t>OPENING BALANCE (KGS)</t>
  </si>
  <si>
    <t>RECEIVED MATERIAL (KGS)</t>
  </si>
  <si>
    <t>TOTAL BALANCE (KGS)</t>
  </si>
  <si>
    <t>CONSUMED MATERIAL (KGS)</t>
  </si>
  <si>
    <t>CLOSING BALANCE (KGS)</t>
  </si>
  <si>
    <t>CHSTP001</t>
  </si>
  <si>
    <t>STARCH</t>
  </si>
  <si>
    <t>CHPAS003</t>
  </si>
  <si>
    <t>POLY ALUMINIUM CHLORIDE ( SOLID)</t>
  </si>
  <si>
    <t>2827 3200</t>
  </si>
  <si>
    <t>CHSFS002</t>
  </si>
  <si>
    <t>SURFACE SIZE (700C)</t>
  </si>
  <si>
    <t>CHENL004</t>
  </si>
  <si>
    <t>ENZYME (L)</t>
  </si>
  <si>
    <t>3507 9062</t>
  </si>
  <si>
    <t>CHSRA005</t>
  </si>
  <si>
    <t>RETENTION AID (2024)</t>
  </si>
  <si>
    <t>3906 9090</t>
  </si>
  <si>
    <t>CHDEL007</t>
  </si>
  <si>
    <t>DEFOAMER (SE 100)</t>
  </si>
  <si>
    <t>3402 9099</t>
  </si>
  <si>
    <t>CHCOA004</t>
  </si>
  <si>
    <t>COAGULANT (CL 200)</t>
  </si>
  <si>
    <t>CHSKR006</t>
  </si>
  <si>
    <t>KROFTA (303)</t>
  </si>
  <si>
    <t>CHBSU012</t>
  </si>
  <si>
    <t>BELT PRESS (SUCHEM - 638 )</t>
  </si>
  <si>
    <t>CHGYD008</t>
  </si>
  <si>
    <t>GOLDEN YELLOW DYE</t>
  </si>
  <si>
    <t>4804 3900</t>
  </si>
  <si>
    <t>CHSBC013</t>
  </si>
  <si>
    <t>SE-BOND 102(CRACKING AGENT)</t>
  </si>
  <si>
    <t>3809 9200</t>
  </si>
  <si>
    <t>CHPML010</t>
  </si>
  <si>
    <t>PROMASK 192</t>
  </si>
  <si>
    <t>3824 9022</t>
  </si>
  <si>
    <t>CHPSL011</t>
  </si>
  <si>
    <t>PROSOLVE 126</t>
  </si>
  <si>
    <t>CHPDL009</t>
  </si>
  <si>
    <t>PROSOLVE ADVANCE</t>
  </si>
  <si>
    <t>CHBPS014</t>
  </si>
  <si>
    <t>BLEACHING POWDER (S)</t>
  </si>
  <si>
    <t>2828 1010</t>
  </si>
  <si>
    <t>CHHYP015</t>
  </si>
  <si>
    <t>SODIUM HYPO CHLORIDE [HYPO] (L)</t>
  </si>
  <si>
    <t>2828 9019</t>
  </si>
  <si>
    <t>CHHCA016</t>
  </si>
  <si>
    <t>HCL [PULP MILL]</t>
  </si>
  <si>
    <t>2806 1000</t>
  </si>
  <si>
    <t>HCL [BOILER]</t>
  </si>
  <si>
    <t>CHPHB017</t>
  </si>
  <si>
    <t>PH BOOSTER [3230] (L)</t>
  </si>
  <si>
    <t>3824 9900</t>
  </si>
  <si>
    <t>CHASL018</t>
  </si>
  <si>
    <t>ANTI SCALEN [3220] (L)</t>
  </si>
  <si>
    <t>CHOXL019</t>
  </si>
  <si>
    <t>OXYGEN SCAVANGER [3210] (L)</t>
  </si>
  <si>
    <t>CHROL020</t>
  </si>
  <si>
    <t>RO ANTI SCALEN [3291 (L)</t>
  </si>
  <si>
    <t>CHCSF021</t>
  </si>
  <si>
    <t>CAUSTIC SODA FLAKES</t>
  </si>
  <si>
    <t>2815 1110</t>
  </si>
  <si>
    <t>CHDEL022</t>
  </si>
  <si>
    <t>DESCALING [3250] (L)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</si>
</sst>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zoomScale="70" zoomScaleNormal="70" workbookViewId="0">
      <selection activeCell="F4" sqref="F4"/>
    </sheetView>
  </sheetViews>
  <sheetFormatPr defaultRowHeight="15"/>
  <cols>
    <col min="1" max="1" width="4.5703125" bestFit="1" customWidth="1"/>
    <col min="2" max="2" width="14.140625" bestFit="1" customWidth="1"/>
    <col min="3" max="3" width="42.5703125" bestFit="1" customWidth="1"/>
    <col min="4" max="4" width="12.7109375" bestFit="1" customWidth="1"/>
    <col min="5" max="5" width="16.28515625" bestFit="1" customWidth="1"/>
    <col min="6" max="6" width="18.140625" customWidth="1"/>
    <col min="7" max="7" width="21.85546875" customWidth="1"/>
    <col min="8" max="8" width="20.28515625" customWidth="1"/>
    <col min="9" max="9" width="24.28515625" customWidth="1"/>
    <col min="10" max="10" width="20.7109375" customWidth="1"/>
    <col min="11" max="11" width="10.28515625" customWidth="1"/>
    <col min="12" max="12" width="61.28515625" customWidth="1"/>
    <col min="16" max="16" width="20.5703125" bestFit="1" customWidth="1"/>
  </cols>
  <sheetData>
    <row r="1" spans="1:11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1"/>
    </row>
    <row r="2" spans="1:11" ht="15.75">
      <c r="A2" s="2"/>
      <c r="B2" s="2"/>
      <c r="C2" s="2"/>
      <c r="D2" s="2"/>
      <c r="E2" s="2"/>
      <c r="F2" s="2"/>
      <c r="G2" s="3"/>
      <c r="H2" s="3"/>
      <c r="I2" s="3"/>
      <c r="J2" s="3"/>
    </row>
    <row r="3" spans="1:11" ht="31.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16" t="s">
        <v>6</v>
      </c>
      <c r="G3" s="17" t="s">
        <v>7</v>
      </c>
      <c r="H3" s="17" t="s">
        <v>8</v>
      </c>
      <c r="I3" s="17" t="s">
        <v>9</v>
      </c>
      <c r="J3" s="17" t="s">
        <v>10</v>
      </c>
    </row>
    <row r="4" spans="1:11" ht="15.75">
      <c r="A4" s="5">
        <v>1</v>
      </c>
      <c r="B4" s="5" t="s">
        <v>11</v>
      </c>
      <c r="C4" s="6" t="s">
        <v>12</v>
      </c>
      <c r="D4" s="7">
        <v>3824</v>
      </c>
      <c r="E4" s="7">
        <v>36</v>
      </c>
      <c r="F4" s="15">
        <v>12350</v>
      </c>
      <c r="G4" s="8">
        <v>20000</v>
      </c>
      <c r="H4" s="8">
        <f>F4+G4</f>
        <v>32350</v>
      </c>
      <c r="I4" s="8">
        <v>5100</v>
      </c>
      <c r="J4" s="8">
        <f>SUM(H4-I4)</f>
        <v>27250</v>
      </c>
    </row>
    <row r="5" spans="1:11" ht="15.75">
      <c r="A5" s="5">
        <v>2</v>
      </c>
      <c r="B5" s="5" t="s">
        <v>13</v>
      </c>
      <c r="C5" s="6" t="s">
        <v>14</v>
      </c>
      <c r="D5" s="7" t="s">
        <v>15</v>
      </c>
      <c r="E5" s="7">
        <v>31.5</v>
      </c>
      <c r="F5" s="8">
        <v>15001</v>
      </c>
      <c r="G5" s="8"/>
      <c r="H5" s="8">
        <f t="shared" ref="H5:H27" si="0">F5+G5</f>
        <v>15001</v>
      </c>
      <c r="I5" s="8">
        <v>228</v>
      </c>
      <c r="J5" s="8">
        <f t="shared" ref="J5:J27" si="1">SUM(H5-I5)</f>
        <v>14773</v>
      </c>
    </row>
    <row r="6" spans="1:11" ht="15.75">
      <c r="A6" s="5">
        <v>3</v>
      </c>
      <c r="B6" s="5" t="s">
        <v>16</v>
      </c>
      <c r="C6" s="6" t="s">
        <v>17</v>
      </c>
      <c r="D6" s="7">
        <v>4811</v>
      </c>
      <c r="E6" s="7">
        <v>98</v>
      </c>
      <c r="F6" s="8">
        <v>3462</v>
      </c>
      <c r="G6" s="8"/>
      <c r="H6" s="8">
        <f t="shared" si="0"/>
        <v>3462</v>
      </c>
      <c r="I6" s="8">
        <v>86</v>
      </c>
      <c r="J6" s="8">
        <f t="shared" si="1"/>
        <v>3376</v>
      </c>
    </row>
    <row r="7" spans="1:11" ht="15.75">
      <c r="A7" s="5">
        <v>4</v>
      </c>
      <c r="B7" s="5" t="s">
        <v>18</v>
      </c>
      <c r="C7" s="6" t="s">
        <v>19</v>
      </c>
      <c r="D7" s="7" t="s">
        <v>20</v>
      </c>
      <c r="E7" s="7">
        <v>625</v>
      </c>
      <c r="F7" s="8">
        <v>16.72</v>
      </c>
      <c r="G7" s="8"/>
      <c r="H7" s="8">
        <f t="shared" si="0"/>
        <v>16.72</v>
      </c>
      <c r="I7" s="8">
        <v>0.12620000000000001</v>
      </c>
      <c r="J7" s="8">
        <f t="shared" si="1"/>
        <v>16.593799999999998</v>
      </c>
    </row>
    <row r="8" spans="1:11" ht="15.75">
      <c r="A8" s="5">
        <v>5</v>
      </c>
      <c r="B8" s="5" t="s">
        <v>21</v>
      </c>
      <c r="C8" s="6" t="s">
        <v>22</v>
      </c>
      <c r="D8" s="7" t="s">
        <v>23</v>
      </c>
      <c r="E8" s="7">
        <v>350</v>
      </c>
      <c r="F8" s="8">
        <v>768.7</v>
      </c>
      <c r="G8" s="8"/>
      <c r="H8" s="8">
        <f t="shared" si="0"/>
        <v>768.7</v>
      </c>
      <c r="I8" s="8">
        <v>17</v>
      </c>
      <c r="J8" s="8">
        <f t="shared" si="1"/>
        <v>751.7</v>
      </c>
    </row>
    <row r="9" spans="1:11" ht="15.75">
      <c r="A9" s="5">
        <v>6</v>
      </c>
      <c r="B9" s="5" t="s">
        <v>24</v>
      </c>
      <c r="C9" s="6" t="s">
        <v>25</v>
      </c>
      <c r="D9" s="7" t="s">
        <v>26</v>
      </c>
      <c r="E9" s="7">
        <v>215</v>
      </c>
      <c r="F9" s="8">
        <v>405</v>
      </c>
      <c r="G9" s="8"/>
      <c r="H9" s="8">
        <f t="shared" si="0"/>
        <v>405</v>
      </c>
      <c r="I9" s="8">
        <v>50</v>
      </c>
      <c r="J9" s="8">
        <f t="shared" si="1"/>
        <v>355</v>
      </c>
    </row>
    <row r="10" spans="1:11" ht="15.75">
      <c r="A10" s="5">
        <v>7</v>
      </c>
      <c r="B10" s="5" t="s">
        <v>27</v>
      </c>
      <c r="C10" s="6" t="s">
        <v>28</v>
      </c>
      <c r="D10" s="7">
        <v>3824</v>
      </c>
      <c r="E10" s="7">
        <v>151</v>
      </c>
      <c r="F10" s="8">
        <v>2558</v>
      </c>
      <c r="G10" s="8"/>
      <c r="H10" s="8">
        <f t="shared" si="0"/>
        <v>2558</v>
      </c>
      <c r="I10" s="8">
        <v>54</v>
      </c>
      <c r="J10" s="8">
        <f t="shared" si="1"/>
        <v>2504</v>
      </c>
    </row>
    <row r="11" spans="1:11" ht="15.75">
      <c r="A11" s="5">
        <v>8</v>
      </c>
      <c r="B11" s="5" t="s">
        <v>29</v>
      </c>
      <c r="C11" s="6" t="s">
        <v>30</v>
      </c>
      <c r="D11" s="7" t="s">
        <v>23</v>
      </c>
      <c r="E11" s="7">
        <v>255</v>
      </c>
      <c r="F11" s="8">
        <v>693</v>
      </c>
      <c r="G11" s="8"/>
      <c r="H11" s="8">
        <f t="shared" si="0"/>
        <v>693</v>
      </c>
      <c r="I11" s="8">
        <v>20</v>
      </c>
      <c r="J11" s="8">
        <f t="shared" si="1"/>
        <v>673</v>
      </c>
    </row>
    <row r="12" spans="1:11" ht="15.75">
      <c r="A12" s="5">
        <v>9</v>
      </c>
      <c r="B12" s="5" t="s">
        <v>31</v>
      </c>
      <c r="C12" s="6" t="s">
        <v>32</v>
      </c>
      <c r="D12" s="7">
        <v>3906</v>
      </c>
      <c r="E12" s="7">
        <v>290</v>
      </c>
      <c r="F12" s="8">
        <v>18</v>
      </c>
      <c r="G12" s="8"/>
      <c r="H12" s="8">
        <f t="shared" si="0"/>
        <v>18</v>
      </c>
      <c r="I12" s="8">
        <v>5</v>
      </c>
      <c r="J12" s="8">
        <f t="shared" si="1"/>
        <v>13</v>
      </c>
    </row>
    <row r="13" spans="1:11" ht="15.75">
      <c r="A13" s="5">
        <v>10</v>
      </c>
      <c r="B13" s="5" t="s">
        <v>33</v>
      </c>
      <c r="C13" s="6" t="s">
        <v>34</v>
      </c>
      <c r="D13" s="7" t="s">
        <v>35</v>
      </c>
      <c r="E13" s="7">
        <v>180</v>
      </c>
      <c r="F13" s="8">
        <v>2975</v>
      </c>
      <c r="G13" s="8"/>
      <c r="H13" s="8">
        <f t="shared" si="0"/>
        <v>2975</v>
      </c>
      <c r="I13" s="8">
        <v>0</v>
      </c>
      <c r="J13" s="8">
        <f t="shared" si="1"/>
        <v>2975</v>
      </c>
    </row>
    <row r="14" spans="1:11" ht="15.75">
      <c r="A14" s="5">
        <v>11</v>
      </c>
      <c r="B14" s="5" t="s">
        <v>36</v>
      </c>
      <c r="C14" s="6" t="s">
        <v>37</v>
      </c>
      <c r="D14" s="7" t="s">
        <v>38</v>
      </c>
      <c r="E14" s="7">
        <v>170</v>
      </c>
      <c r="F14" s="8">
        <v>0</v>
      </c>
      <c r="G14" s="8"/>
      <c r="H14" s="8">
        <f t="shared" si="0"/>
        <v>0</v>
      </c>
      <c r="I14" s="8">
        <v>0</v>
      </c>
      <c r="J14" s="8">
        <f t="shared" si="1"/>
        <v>0</v>
      </c>
    </row>
    <row r="15" spans="1:11" ht="15.75">
      <c r="A15" s="5">
        <v>12</v>
      </c>
      <c r="B15" s="5" t="s">
        <v>39</v>
      </c>
      <c r="C15" s="6" t="s">
        <v>40</v>
      </c>
      <c r="D15" s="7" t="s">
        <v>41</v>
      </c>
      <c r="E15" s="7">
        <v>320</v>
      </c>
      <c r="F15" s="8">
        <v>112.8</v>
      </c>
      <c r="G15" s="8"/>
      <c r="H15" s="8">
        <f t="shared" si="0"/>
        <v>112.8</v>
      </c>
      <c r="I15" s="8">
        <v>8.6</v>
      </c>
      <c r="J15" s="8">
        <f t="shared" si="1"/>
        <v>104.2</v>
      </c>
    </row>
    <row r="16" spans="1:11" ht="15.75">
      <c r="A16" s="5">
        <v>13</v>
      </c>
      <c r="B16" s="5" t="s">
        <v>42</v>
      </c>
      <c r="C16" s="6" t="s">
        <v>43</v>
      </c>
      <c r="D16" s="7" t="s">
        <v>41</v>
      </c>
      <c r="E16" s="7">
        <v>230</v>
      </c>
      <c r="F16" s="8">
        <v>154.96199999999999</v>
      </c>
      <c r="G16" s="8"/>
      <c r="H16" s="8">
        <f t="shared" si="0"/>
        <v>154.96199999999999</v>
      </c>
      <c r="I16" s="8">
        <v>9.6</v>
      </c>
      <c r="J16" s="8">
        <f t="shared" si="1"/>
        <v>145.36199999999999</v>
      </c>
    </row>
    <row r="17" spans="1:10" ht="15.75">
      <c r="A17" s="5">
        <v>14</v>
      </c>
      <c r="B17" s="5" t="s">
        <v>44</v>
      </c>
      <c r="C17" s="6" t="s">
        <v>45</v>
      </c>
      <c r="D17" s="7" t="s">
        <v>41</v>
      </c>
      <c r="E17" s="7">
        <v>230</v>
      </c>
      <c r="F17" s="8">
        <v>1941.4</v>
      </c>
      <c r="G17" s="8"/>
      <c r="H17" s="8">
        <f t="shared" si="0"/>
        <v>1941.4</v>
      </c>
      <c r="I17" s="8">
        <v>76.2</v>
      </c>
      <c r="J17" s="8">
        <f t="shared" si="1"/>
        <v>1865.2</v>
      </c>
    </row>
    <row r="18" spans="1:10" ht="15.75">
      <c r="A18" s="5">
        <v>15</v>
      </c>
      <c r="B18" s="5" t="s">
        <v>46</v>
      </c>
      <c r="C18" s="6" t="s">
        <v>47</v>
      </c>
      <c r="D18" s="7" t="s">
        <v>48</v>
      </c>
      <c r="E18" s="7">
        <v>38</v>
      </c>
      <c r="F18" s="8">
        <v>47</v>
      </c>
      <c r="G18" s="8"/>
      <c r="H18" s="8">
        <f t="shared" si="0"/>
        <v>47</v>
      </c>
      <c r="I18" s="8">
        <v>3</v>
      </c>
      <c r="J18" s="8">
        <f t="shared" si="1"/>
        <v>44</v>
      </c>
    </row>
    <row r="19" spans="1:10" ht="15.75">
      <c r="A19" s="5">
        <v>16</v>
      </c>
      <c r="B19" s="5" t="s">
        <v>49</v>
      </c>
      <c r="C19" s="6" t="s">
        <v>50</v>
      </c>
      <c r="D19" s="7" t="s">
        <v>51</v>
      </c>
      <c r="E19" s="7">
        <v>18</v>
      </c>
      <c r="F19" s="8">
        <v>87.8</v>
      </c>
      <c r="G19" s="8"/>
      <c r="H19" s="8">
        <f t="shared" si="0"/>
        <v>87.8</v>
      </c>
      <c r="I19" s="8">
        <v>14.4</v>
      </c>
      <c r="J19" s="8">
        <f t="shared" si="1"/>
        <v>73.399999999999991</v>
      </c>
    </row>
    <row r="20" spans="1:10" ht="15.75">
      <c r="A20" s="5">
        <v>17</v>
      </c>
      <c r="B20" s="5" t="s">
        <v>52</v>
      </c>
      <c r="C20" s="6" t="s">
        <v>53</v>
      </c>
      <c r="D20" s="7" t="s">
        <v>54</v>
      </c>
      <c r="E20" s="7">
        <v>10</v>
      </c>
      <c r="F20" s="8">
        <v>240</v>
      </c>
      <c r="G20" s="8"/>
      <c r="H20" s="8">
        <f t="shared" si="0"/>
        <v>240</v>
      </c>
      <c r="I20" s="8">
        <v>0</v>
      </c>
      <c r="J20" s="8">
        <f t="shared" si="1"/>
        <v>240</v>
      </c>
    </row>
    <row r="21" spans="1:10" ht="15.75">
      <c r="A21" s="5">
        <v>18</v>
      </c>
      <c r="B21" s="5" t="s">
        <v>52</v>
      </c>
      <c r="C21" s="6" t="s">
        <v>55</v>
      </c>
      <c r="D21" s="7" t="s">
        <v>54</v>
      </c>
      <c r="E21" s="7">
        <v>10</v>
      </c>
      <c r="F21" s="8">
        <v>290</v>
      </c>
      <c r="G21" s="8"/>
      <c r="H21" s="8">
        <f t="shared" si="0"/>
        <v>290</v>
      </c>
      <c r="I21" s="8">
        <v>5</v>
      </c>
      <c r="J21" s="8">
        <f t="shared" si="1"/>
        <v>285</v>
      </c>
    </row>
    <row r="22" spans="1:10" ht="15.75">
      <c r="A22" s="5">
        <v>19</v>
      </c>
      <c r="B22" s="5" t="s">
        <v>56</v>
      </c>
      <c r="C22" s="6" t="s">
        <v>57</v>
      </c>
      <c r="D22" s="7" t="s">
        <v>58</v>
      </c>
      <c r="E22" s="7">
        <v>87</v>
      </c>
      <c r="F22" s="8">
        <v>187.5</v>
      </c>
      <c r="G22" s="8"/>
      <c r="H22" s="8">
        <f t="shared" si="0"/>
        <v>187.5</v>
      </c>
      <c r="I22" s="8">
        <v>3.5</v>
      </c>
      <c r="J22" s="8">
        <f t="shared" si="1"/>
        <v>184</v>
      </c>
    </row>
    <row r="23" spans="1:10" s="14" customFormat="1" ht="15.75">
      <c r="A23" s="10">
        <v>20</v>
      </c>
      <c r="B23" s="10" t="s">
        <v>59</v>
      </c>
      <c r="C23" s="11" t="s">
        <v>60</v>
      </c>
      <c r="D23" s="12" t="s">
        <v>58</v>
      </c>
      <c r="E23" s="12">
        <v>92</v>
      </c>
      <c r="F23" s="13">
        <v>290</v>
      </c>
      <c r="G23" s="13"/>
      <c r="H23" s="8">
        <f t="shared" si="0"/>
        <v>290</v>
      </c>
      <c r="I23" s="13">
        <v>5</v>
      </c>
      <c r="J23" s="8">
        <f t="shared" si="1"/>
        <v>285</v>
      </c>
    </row>
    <row r="24" spans="1:10" ht="15.75">
      <c r="A24" s="5">
        <v>21</v>
      </c>
      <c r="B24" s="5" t="s">
        <v>61</v>
      </c>
      <c r="C24" s="6" t="s">
        <v>62</v>
      </c>
      <c r="D24" s="7" t="s">
        <v>41</v>
      </c>
      <c r="E24" s="7">
        <v>85</v>
      </c>
      <c r="F24" s="8">
        <v>219</v>
      </c>
      <c r="G24" s="8"/>
      <c r="H24" s="8">
        <f t="shared" si="0"/>
        <v>219</v>
      </c>
      <c r="I24" s="8">
        <v>3</v>
      </c>
      <c r="J24" s="8">
        <f t="shared" si="1"/>
        <v>216</v>
      </c>
    </row>
    <row r="25" spans="1:10" ht="15.75">
      <c r="A25" s="5">
        <v>22</v>
      </c>
      <c r="B25" s="5" t="s">
        <v>63</v>
      </c>
      <c r="C25" s="6" t="s">
        <v>64</v>
      </c>
      <c r="D25" s="7" t="s">
        <v>41</v>
      </c>
      <c r="E25" s="7">
        <v>240</v>
      </c>
      <c r="F25" s="8">
        <v>70</v>
      </c>
      <c r="G25" s="8"/>
      <c r="H25" s="8">
        <f t="shared" si="0"/>
        <v>70</v>
      </c>
      <c r="I25" s="8">
        <v>1</v>
      </c>
      <c r="J25" s="8">
        <f t="shared" si="1"/>
        <v>69</v>
      </c>
    </row>
    <row r="26" spans="1:10" ht="15.75">
      <c r="A26" s="5">
        <v>23</v>
      </c>
      <c r="B26" s="5" t="s">
        <v>65</v>
      </c>
      <c r="C26" s="6" t="s">
        <v>66</v>
      </c>
      <c r="D26" s="7" t="s">
        <v>67</v>
      </c>
      <c r="E26" s="7">
        <v>45</v>
      </c>
      <c r="F26" s="8">
        <v>250</v>
      </c>
      <c r="G26" s="8"/>
      <c r="H26" s="8">
        <f t="shared" si="0"/>
        <v>250</v>
      </c>
      <c r="I26" s="8">
        <v>0</v>
      </c>
      <c r="J26" s="8">
        <f t="shared" si="1"/>
        <v>250</v>
      </c>
    </row>
    <row r="27" spans="1:10" ht="15.75">
      <c r="A27" s="5">
        <v>24</v>
      </c>
      <c r="B27" s="5" t="s">
        <v>68</v>
      </c>
      <c r="C27" s="6" t="s">
        <v>69</v>
      </c>
      <c r="D27" s="7">
        <v>3824</v>
      </c>
      <c r="E27" s="7">
        <v>0</v>
      </c>
      <c r="F27" s="8">
        <v>0</v>
      </c>
      <c r="G27" s="8">
        <v>0</v>
      </c>
      <c r="H27" s="8">
        <f t="shared" si="0"/>
        <v>0</v>
      </c>
      <c r="I27" s="8">
        <v>0</v>
      </c>
      <c r="J27" s="8">
        <f t="shared" si="1"/>
        <v>0</v>
      </c>
    </row>
  </sheetData>
  <mergeCells count="1">
    <mergeCell ref="A1:J1"/>
  </mergeCells>
  <pageMargins left="0.23622047244094491" right="0.15748031496062992" top="0.23622047244094491" bottom="0.19685039370078741" header="0.19685039370078741" footer="0.19685039370078741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2026-08-15T12:38:59Z</dcterms:modified>
</cp:coreProperties>
</file>