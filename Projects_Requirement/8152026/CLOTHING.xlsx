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CLOTHING" sheetId="1" r:id="rId1"/>
  </sheets>
  <calcPr calcId="124519"/>
</workbook>
</file>

<file path=xl/calcChain.xml><?xml version="1.0" encoding="utf-8"?>
<calcChain xmlns="http://schemas.openxmlformats.org/spreadsheetml/2006/main">
  <c r="K10" i="1"/>
  <c r="G10"/>
  <c r="F10"/>
  <c r="K9"/>
  <c r="F9"/>
  <c r="G9" s="1"/>
  <c r="K8"/>
  <c r="G8"/>
  <c r="F8"/>
  <c r="K7"/>
  <c r="G7"/>
  <c r="F7"/>
  <c r="K6"/>
  <c r="F6"/>
  <c r="G6" s="1"/>
  <c r="K5"/>
  <c r="F5"/>
  <c r="G5" s="1"/>
  <c r="K4"/>
  <c r="F4"/>
  <c r="G4" s="1"/>
  <c r="K3"/>
  <c r="F3"/>
  <c r="G3" s="1"/>
</calcChain>
</file>

<file path=xl/sharedStrings.xml><?xml version="1.0" encoding="utf-8"?>
<sst xmlns="http://schemas.openxmlformats.org/spreadsheetml/2006/main" count="36" uniqueCount="30">
  <si>
    <t>ITEM CODE</t>
  </si>
  <si>
    <t>ITEM NAME</t>
  </si>
  <si>
    <t>HSN CODE</t>
  </si>
  <si>
    <t>PHY QTY</t>
  </si>
  <si>
    <t>RATE</t>
  </si>
  <si>
    <t>IGST 5%</t>
  </si>
  <si>
    <t>TOTAL AMOUNT</t>
  </si>
  <si>
    <t>TW0001</t>
  </si>
  <si>
    <t>5911-2000</t>
  </si>
  <si>
    <t>BW0001</t>
  </si>
  <si>
    <t>PF0001</t>
  </si>
  <si>
    <t>5911-9010</t>
  </si>
  <si>
    <t>DS0001</t>
  </si>
  <si>
    <t>DS0002</t>
  </si>
  <si>
    <t>URG001</t>
  </si>
  <si>
    <t>PF0003</t>
  </si>
  <si>
    <t>PF0004</t>
  </si>
  <si>
    <t>CLOTHING STOCKS AS ON AUGUST-2026</t>
  </si>
  <si>
    <t>S.No</t>
  </si>
  <si>
    <t>RECIVED</t>
  </si>
  <si>
    <t>ISSUE</t>
  </si>
  <si>
    <t>BALANCE</t>
  </si>
  <si>
    <t xml:space="preserve">TOP WIRE (20.250 X 3.65 M) SHALIMAR -48497, W&amp;F - </t>
  </si>
  <si>
    <t>BOTTOM WIRE (44.953 X 3.65)- (1.5 LAYER),W&amp;F -60216</t>
  </si>
  <si>
    <t>PRESS FELTS (14.1 X 3.5 M) 1650 GSM V3 (81.43 KGS) ,12579028</t>
  </si>
  <si>
    <t>DRYER SCREEN (29 X 3.5 M) -SHALIMAR-18164</t>
  </si>
  <si>
    <t>DRYER SCREEN (32 X 3.5 M) SHALIMAR-18163 ,18165</t>
  </si>
  <si>
    <t>1 ST UNIRUN GROUP VOITH  41 X 3.5 (12595227)</t>
  </si>
  <si>
    <t>NEW PRESS FELTS TOP ( 15.1 X 3.5 M) 1450 , WT: 79.28 (12559803, 9026)</t>
  </si>
  <si>
    <t>NEW PRESS FELTS BOTTOM( 15.1 X 3.5 M) 1650 ,voith 12507946, (89.55) 12759027</t>
  </si>
</sst>
</file>

<file path=xl/styles.xml><?xml version="1.0" encoding="utf-8"?>
<styleSheet xmlns="http://schemas.openxmlformats.org/spreadsheetml/2006/main">
  <numFmts count="1">
    <numFmt numFmtId="43" formatCode="_ * #,##0.00_ ;_ * \-#,##0.00_ ;_ * &quot;-&quot;??_ ;_ @_ "/>
  </numFmts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43" fontId="2" fillId="0" borderId="1" xfId="1" applyFont="1" applyBorder="1" applyAlignment="1">
      <alignment vertical="center"/>
    </xf>
    <xf numFmtId="2" fontId="2" fillId="0" borderId="1" xfId="0" applyNumberFormat="1" applyFont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Alignmen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tabSelected="1" workbookViewId="0">
      <selection activeCell="C13" sqref="C13"/>
    </sheetView>
  </sheetViews>
  <sheetFormatPr defaultRowHeight="15"/>
  <cols>
    <col min="1" max="1" width="6.28515625" bestFit="1" customWidth="1"/>
    <col min="3" max="3" width="85" bestFit="1" customWidth="1"/>
    <col min="4" max="4" width="12.28515625" bestFit="1" customWidth="1"/>
    <col min="5" max="5" width="9.5703125" hidden="1" customWidth="1"/>
    <col min="6" max="6" width="11" hidden="1" customWidth="1"/>
    <col min="7" max="7" width="11.5703125" hidden="1" customWidth="1"/>
  </cols>
  <sheetData>
    <row r="1" spans="1:11">
      <c r="A1" s="6" t="s">
        <v>17</v>
      </c>
      <c r="B1" s="6"/>
      <c r="C1" s="6"/>
      <c r="D1" s="6"/>
      <c r="E1" s="7"/>
      <c r="F1" s="7"/>
      <c r="G1" s="7"/>
      <c r="H1" s="8"/>
      <c r="I1" s="8"/>
      <c r="J1" s="8"/>
      <c r="K1" s="8"/>
    </row>
    <row r="2" spans="1:11" ht="25.5">
      <c r="A2" s="9" t="s">
        <v>18</v>
      </c>
      <c r="B2" s="10" t="s">
        <v>0</v>
      </c>
      <c r="C2" s="9" t="s">
        <v>1</v>
      </c>
      <c r="D2" s="9" t="s">
        <v>2</v>
      </c>
      <c r="E2" s="11" t="s">
        <v>4</v>
      </c>
      <c r="F2" s="11" t="s">
        <v>5</v>
      </c>
      <c r="G2" s="12" t="s">
        <v>6</v>
      </c>
      <c r="H2" s="10" t="s">
        <v>3</v>
      </c>
      <c r="I2" s="9" t="s">
        <v>19</v>
      </c>
      <c r="J2" s="9" t="s">
        <v>20</v>
      </c>
      <c r="K2" s="9" t="s">
        <v>21</v>
      </c>
    </row>
    <row r="3" spans="1:11" ht="15.75">
      <c r="A3" s="1">
        <v>1</v>
      </c>
      <c r="B3" s="13" t="s">
        <v>7</v>
      </c>
      <c r="C3" s="2" t="s">
        <v>22</v>
      </c>
      <c r="D3" s="2" t="s">
        <v>8</v>
      </c>
      <c r="E3" s="3">
        <v>235171</v>
      </c>
      <c r="F3" s="3">
        <f>E3*5%</f>
        <v>11758.550000000001</v>
      </c>
      <c r="G3" s="4">
        <f>+E3+F3</f>
        <v>246929.55</v>
      </c>
      <c r="H3" s="1">
        <v>1</v>
      </c>
      <c r="I3" s="3"/>
      <c r="J3" s="3"/>
      <c r="K3" s="14">
        <f>SUM(H3+I3)-J3</f>
        <v>1</v>
      </c>
    </row>
    <row r="4" spans="1:11" ht="15.75">
      <c r="A4" s="1">
        <v>2</v>
      </c>
      <c r="B4" s="13" t="s">
        <v>9</v>
      </c>
      <c r="C4" s="2" t="s">
        <v>23</v>
      </c>
      <c r="D4" s="2" t="s">
        <v>8</v>
      </c>
      <c r="E4" s="3">
        <v>507516</v>
      </c>
      <c r="F4" s="3">
        <f>E4*5%</f>
        <v>25375.800000000003</v>
      </c>
      <c r="G4" s="4">
        <f>+E4+F4</f>
        <v>532891.80000000005</v>
      </c>
      <c r="H4" s="1">
        <v>1</v>
      </c>
      <c r="I4" s="3"/>
      <c r="J4" s="3"/>
      <c r="K4" s="14">
        <f>SUM(H4+I4)-J4</f>
        <v>1</v>
      </c>
    </row>
    <row r="5" spans="1:11" ht="15.75">
      <c r="A5" s="1">
        <v>3</v>
      </c>
      <c r="B5" s="13" t="s">
        <v>10</v>
      </c>
      <c r="C5" s="2" t="s">
        <v>24</v>
      </c>
      <c r="D5" s="2" t="s">
        <v>11</v>
      </c>
      <c r="E5" s="3">
        <v>243858.71</v>
      </c>
      <c r="F5" s="3">
        <f>E5*5%</f>
        <v>12192.9355</v>
      </c>
      <c r="G5" s="5">
        <f>+E5+F5</f>
        <v>256051.64549999998</v>
      </c>
      <c r="H5" s="1">
        <v>1</v>
      </c>
      <c r="I5" s="3"/>
      <c r="J5" s="3"/>
      <c r="K5" s="14">
        <f>SUM(H5+I5)-J5</f>
        <v>1</v>
      </c>
    </row>
    <row r="6" spans="1:11" ht="15.75">
      <c r="A6" s="1">
        <v>4</v>
      </c>
      <c r="B6" s="13" t="s">
        <v>12</v>
      </c>
      <c r="C6" s="2" t="s">
        <v>25</v>
      </c>
      <c r="D6" s="2" t="s">
        <v>8</v>
      </c>
      <c r="E6" s="3">
        <v>158847</v>
      </c>
      <c r="F6" s="3">
        <f>E6*5%</f>
        <v>7942.35</v>
      </c>
      <c r="G6" s="5">
        <f>+E6+F6</f>
        <v>166789.35</v>
      </c>
      <c r="H6" s="1">
        <v>1</v>
      </c>
      <c r="I6" s="3"/>
      <c r="J6" s="3"/>
      <c r="K6" s="14">
        <f>SUM(H6+I6)-J6</f>
        <v>1</v>
      </c>
    </row>
    <row r="7" spans="1:11" ht="15.75">
      <c r="A7" s="1">
        <v>5</v>
      </c>
      <c r="B7" s="13" t="s">
        <v>13</v>
      </c>
      <c r="C7" s="2" t="s">
        <v>26</v>
      </c>
      <c r="D7" s="2" t="s">
        <v>8</v>
      </c>
      <c r="E7" s="3">
        <v>175280</v>
      </c>
      <c r="F7" s="3">
        <f>E7*5%</f>
        <v>8764</v>
      </c>
      <c r="G7" s="5">
        <f>+E7+F7</f>
        <v>184044</v>
      </c>
      <c r="H7" s="1">
        <v>2</v>
      </c>
      <c r="I7" s="3"/>
      <c r="J7" s="3"/>
      <c r="K7" s="14">
        <f>SUM(H7+I7)-J7</f>
        <v>2</v>
      </c>
    </row>
    <row r="8" spans="1:11" ht="15.75">
      <c r="A8" s="1">
        <v>6</v>
      </c>
      <c r="B8" s="13" t="s">
        <v>14</v>
      </c>
      <c r="C8" s="2" t="s">
        <v>27</v>
      </c>
      <c r="D8" s="2" t="s">
        <v>11</v>
      </c>
      <c r="E8" s="5">
        <v>273543.21999999997</v>
      </c>
      <c r="F8" s="3">
        <f>E8*5%</f>
        <v>13677.161</v>
      </c>
      <c r="G8" s="5">
        <f>+E8+F8</f>
        <v>287220.38099999999</v>
      </c>
      <c r="H8" s="1">
        <v>1</v>
      </c>
      <c r="I8" s="3"/>
      <c r="J8" s="3"/>
      <c r="K8" s="14">
        <f>SUM(H8+I8)-J8</f>
        <v>1</v>
      </c>
    </row>
    <row r="9" spans="1:11" ht="15.75">
      <c r="A9" s="1">
        <v>7</v>
      </c>
      <c r="B9" s="13" t="s">
        <v>15</v>
      </c>
      <c r="C9" s="2" t="s">
        <v>28</v>
      </c>
      <c r="D9" s="2" t="s">
        <v>11</v>
      </c>
      <c r="E9" s="3">
        <v>230430.49</v>
      </c>
      <c r="F9" s="3">
        <f>+E9*5%</f>
        <v>11521.5245</v>
      </c>
      <c r="G9" s="5">
        <f>+E9+F9</f>
        <v>241952.01449999999</v>
      </c>
      <c r="H9" s="1">
        <v>2</v>
      </c>
      <c r="I9" s="3"/>
      <c r="J9" s="3"/>
      <c r="K9" s="14">
        <f>SUM(H9+I9)-J9</f>
        <v>2</v>
      </c>
    </row>
    <row r="10" spans="1:11" ht="15.75">
      <c r="A10" s="1">
        <v>8</v>
      </c>
      <c r="B10" s="13" t="s">
        <v>16</v>
      </c>
      <c r="C10" s="2" t="s">
        <v>29</v>
      </c>
      <c r="D10" s="2" t="s">
        <v>11</v>
      </c>
      <c r="E10" s="3">
        <v>261152.62</v>
      </c>
      <c r="F10" s="3">
        <f>+E10*5%</f>
        <v>13057.631000000001</v>
      </c>
      <c r="G10" s="5">
        <f>+E10+F10</f>
        <v>274210.25099999999</v>
      </c>
      <c r="H10" s="1">
        <v>2</v>
      </c>
      <c r="I10" s="3"/>
      <c r="J10" s="3"/>
      <c r="K10" s="14">
        <f>SUM(H10+I10)-J10</f>
        <v>2</v>
      </c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CLOTHING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2026-08-13T06:19:11Z</dcterms:modified>
</cp:coreProperties>
</file>