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6.xml" ContentType="application/vnd.openxmlformats-officedocument.spreadsheetml.comments+xml"/>
  <Override PartName="/xl/comments7.xml" ContentType="application/vnd.openxmlformats-officedocument.spreadsheetml.comment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7980" firstSheet="4" activeTab="5"/>
  </bookViews>
  <sheets>
    <sheet name="Bearing" sheetId="1" state="hidden" r:id="rId1"/>
    <sheet name="OIl Seal" sheetId="2" state="hidden" r:id="rId2"/>
    <sheet name="Sheet3" sheetId="3" state="hidden" r:id="rId3"/>
    <sheet name="Sheet1" sheetId="4" state="hidden" r:id="rId4"/>
    <sheet name="OIL SEAL " sheetId="5" r:id="rId5"/>
    <sheet name="Bearing " sheetId="6" r:id="rId6"/>
    <sheet name="TYRE COUPLING, PIN BUSH" sheetId="8" r:id="rId7"/>
    <sheet name="PUMP SLEEVE" sheetId="10" r:id="rId8"/>
    <sheet name="V-BELT" sheetId="11" r:id="rId9"/>
    <sheet name="WELDING RODS" sheetId="13" r:id="rId10"/>
    <sheet name="BLADE, CUTTING WHEEL &amp; GRINDING" sheetId="14" r:id="rId11"/>
    <sheet name="VALVE" sheetId="18" r:id="rId12"/>
    <sheet name="CHECK NUT &amp; WASHER" sheetId="19" r:id="rId13"/>
    <sheet name="GUAGES" sheetId="20" r:id="rId14"/>
    <sheet name="SHAFT &amp; IMPELLER" sheetId="21" r:id="rId15"/>
    <sheet name="SS,MS PIPE FITTING" sheetId="22" r:id="rId16"/>
    <sheet name="NOZZLES" sheetId="23" r:id="rId17"/>
    <sheet name="LUBRICANTS" sheetId="24" r:id="rId18"/>
    <sheet name="COMPRESSOR" sheetId="25" r:id="rId19"/>
    <sheet name="PULLEY" sheetId="26" r:id="rId20"/>
    <sheet name="BOLTS &amp; NUTS, WASHERS" sheetId="27" r:id="rId21"/>
  </sheets>
  <definedNames>
    <definedName name="_xlnm._FilterDatabase" localSheetId="5" hidden="1">'Bearing '!$D$3:$D$173</definedName>
    <definedName name="_xlnm._FilterDatabase" localSheetId="1" hidden="1">'OIl Seal'!$A$1:$D$75</definedName>
    <definedName name="_xlnm.Print_Area" localSheetId="3">Sheet1!$A$1:$F$21</definedName>
  </definedNames>
  <calcPr calcId="124519"/>
</workbook>
</file>

<file path=xl/calcChain.xml><?xml version="1.0" encoding="utf-8"?>
<calcChain xmlns="http://schemas.openxmlformats.org/spreadsheetml/2006/main">
  <c r="G40" i="27"/>
  <c r="H75" l="1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G57" i="18" l="1"/>
  <c r="G4" i="26" l="1"/>
  <c r="G5"/>
  <c r="G6"/>
  <c r="G7"/>
  <c r="G8"/>
  <c r="G3"/>
  <c r="G181" i="6"/>
  <c r="G180"/>
  <c r="G179"/>
  <c r="H4" i="25" l="1"/>
  <c r="H5"/>
  <c r="H6"/>
  <c r="H7"/>
  <c r="H8"/>
  <c r="H9"/>
  <c r="H10"/>
  <c r="H11"/>
  <c r="H3"/>
  <c r="G8" i="23" l="1"/>
  <c r="G6" i="19" l="1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5"/>
  <c r="G12" i="14" l="1"/>
  <c r="G13"/>
  <c r="G14"/>
  <c r="G15"/>
  <c r="G16"/>
  <c r="G17"/>
  <c r="G18"/>
  <c r="G19"/>
  <c r="G20"/>
  <c r="G11"/>
  <c r="G6"/>
  <c r="G7"/>
  <c r="G5"/>
  <c r="G5" i="13"/>
  <c r="G6"/>
  <c r="G7"/>
  <c r="G8"/>
  <c r="G9"/>
  <c r="G10"/>
  <c r="G4"/>
  <c r="G5" i="11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4"/>
  <c r="G5" i="10" l="1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4"/>
  <c r="H18" i="8"/>
  <c r="H19"/>
  <c r="H20"/>
  <c r="H21"/>
  <c r="H22"/>
  <c r="H23"/>
  <c r="H17"/>
  <c r="H27"/>
  <c r="H28"/>
  <c r="H29"/>
  <c r="H26"/>
  <c r="H5"/>
  <c r="H6"/>
  <c r="H7"/>
  <c r="H8"/>
  <c r="H9"/>
  <c r="H10"/>
  <c r="H11"/>
  <c r="H12"/>
  <c r="H13"/>
  <c r="H4"/>
  <c r="G5" i="6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4"/>
  <c r="I5" i="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4"/>
  <c r="G4" i="24"/>
  <c r="G5"/>
  <c r="G6"/>
  <c r="G7"/>
  <c r="G3"/>
  <c r="G73" i="22"/>
  <c r="G58"/>
  <c r="G71"/>
  <c r="G66"/>
  <c r="G70"/>
  <c r="G76"/>
  <c r="G75"/>
  <c r="G74"/>
  <c r="G72"/>
  <c r="G69"/>
  <c r="G68"/>
  <c r="G67"/>
  <c r="G65"/>
  <c r="G25"/>
  <c r="G26"/>
  <c r="G27"/>
  <c r="G40"/>
  <c r="G5" i="23" l="1"/>
  <c r="G6"/>
  <c r="G4"/>
  <c r="G7"/>
  <c r="G3"/>
  <c r="G33" i="21"/>
  <c r="G34"/>
  <c r="G35"/>
  <c r="G36"/>
  <c r="G37"/>
  <c r="G38"/>
  <c r="G39"/>
  <c r="G40"/>
  <c r="G41"/>
  <c r="G42"/>
  <c r="G43"/>
  <c r="G44"/>
  <c r="G45"/>
  <c r="G46"/>
  <c r="G47"/>
  <c r="G48"/>
  <c r="G32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4"/>
  <c r="G57" i="22" l="1"/>
  <c r="G59"/>
  <c r="G60"/>
  <c r="G61"/>
  <c r="G62"/>
  <c r="G63"/>
  <c r="G64"/>
  <c r="G6" i="18" l="1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"/>
  <c r="G4" i="22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8"/>
  <c r="G29"/>
  <c r="G30"/>
  <c r="G31"/>
  <c r="G32"/>
  <c r="G33"/>
  <c r="G34"/>
  <c r="G35"/>
  <c r="G36"/>
  <c r="G37"/>
  <c r="G38"/>
  <c r="G39"/>
  <c r="G41"/>
  <c r="G42"/>
  <c r="G44"/>
  <c r="G45"/>
  <c r="G46"/>
  <c r="G47"/>
  <c r="G48"/>
  <c r="G49"/>
  <c r="G50"/>
  <c r="G51"/>
  <c r="G52"/>
  <c r="G53"/>
  <c r="G54"/>
  <c r="G55"/>
  <c r="G56"/>
  <c r="G3"/>
  <c r="G4" i="20"/>
  <c r="G5"/>
  <c r="G6"/>
  <c r="G7"/>
  <c r="G8"/>
  <c r="G9"/>
  <c r="G10"/>
  <c r="G11"/>
  <c r="G12"/>
  <c r="G13"/>
  <c r="G14"/>
  <c r="G15"/>
  <c r="G16"/>
  <c r="G3"/>
  <c r="G43" i="22" l="1"/>
</calcChain>
</file>

<file path=xl/comments1.xml><?xml version="1.0" encoding="utf-8"?>
<comments xmlns="http://schemas.openxmlformats.org/spreadsheetml/2006/main">
  <authors>
    <author>Author</author>
  </authors>
  <commentList>
    <comment ref="H21" authorId="0">
      <text>
        <r>
          <rPr>
            <sz val="9"/>
            <color indexed="81"/>
            <rFont val="Tahoma"/>
            <family val="2"/>
          </rPr>
          <t>33-ISSUED ON 01/08/26 FRO SIZE KITCHAN SPARE PUMP-2 NO</t>
        </r>
      </text>
    </comment>
    <comment ref="H23" authorId="0">
      <text>
        <r>
          <rPr>
            <sz val="9"/>
            <color indexed="81"/>
            <rFont val="Tahoma"/>
            <family val="2"/>
          </rPr>
          <t>38-ISSUED ON 03/08/26 FOR CUTICHPIT PUMP-1 NO</t>
        </r>
      </text>
    </comment>
    <comment ref="H25" authorId="0">
      <text>
        <r>
          <rPr>
            <sz val="9"/>
            <color indexed="81"/>
            <rFont val="Tahoma"/>
            <family val="2"/>
          </rPr>
          <t xml:space="preserve">38-ISSUED ON 03/08/26 FOR CUTCHPIT PUMP-1 NO
</t>
        </r>
      </text>
    </comment>
    <comment ref="H32" authorId="0">
      <text>
        <r>
          <rPr>
            <sz val="9"/>
            <color indexed="81"/>
            <rFont val="Tahoma"/>
            <family val="2"/>
          </rPr>
          <t xml:space="preserve">47-ISSUED ON 08/08/26 FOR ETP 6NO PUMP-3 NOS
</t>
        </r>
      </text>
    </comment>
    <comment ref="H34" authorId="0">
      <text>
        <r>
          <rPr>
            <sz val="9"/>
            <color indexed="81"/>
            <rFont val="Tahoma"/>
            <family val="2"/>
          </rPr>
          <t xml:space="preserve">54-ISSUED ON 12/08/26 FOR PULLP MILL 01 PUMP-1 NO
</t>
        </r>
      </text>
    </comment>
    <comment ref="H37" authorId="0">
      <text>
        <r>
          <rPr>
            <sz val="9"/>
            <color indexed="81"/>
            <rFont val="Tahoma"/>
            <family val="2"/>
          </rPr>
          <t>33-ISSUED ON 01/08/26 FOR PULL MILL 06 PUMP-1
33-ISSUED ON 12/08/26 FOR PULL MILL 01PUMP-1</t>
        </r>
      </text>
    </comment>
    <comment ref="H64" authorId="0">
      <text>
        <r>
          <rPr>
            <sz val="9"/>
            <color indexed="81"/>
            <rFont val="Tahoma"/>
            <family val="2"/>
          </rPr>
          <t>33-ISSUED ON 01/08/26 FOR PULLP MILL 06 PUMP-01 NO</t>
        </r>
      </text>
    </comment>
    <comment ref="H76" authorId="0">
      <text>
        <r>
          <rPr>
            <sz val="9"/>
            <color indexed="81"/>
            <rFont val="Tahoma"/>
            <family val="2"/>
          </rPr>
          <t>43-ISSUED ON 05/08/26 FOR HOLY ROLL-1 NO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41-ISSUED ON 05/08/26 FOR HOLY ROLL-1</t>
        </r>
      </text>
    </comment>
    <comment ref="F6" authorId="0">
      <text>
        <r>
          <rPr>
            <sz val="9"/>
            <color indexed="81"/>
            <rFont val="Tahoma"/>
            <family val="2"/>
          </rPr>
          <t>38-ISSUED ON 03/08/26 FOR CUTCH PIT PUMP-1
41-ISSUED ON 05/08/26 FOR HOLY ROLL-1 NO</t>
        </r>
      </text>
    </comment>
    <comment ref="E19" authorId="0">
      <text>
        <r>
          <rPr>
            <sz val="9"/>
            <color indexed="81"/>
            <rFont val="Tahoma"/>
            <family val="2"/>
          </rPr>
          <t xml:space="preserve">RECIVED ON 08/08/26 FORM SUN RISE
</t>
        </r>
      </text>
    </comment>
    <comment ref="E20" authorId="0">
      <text>
        <r>
          <rPr>
            <sz val="9"/>
            <color indexed="81"/>
            <rFont val="Tahoma"/>
            <family val="2"/>
          </rPr>
          <t>RECIVED ON 08/08/26 FORM SUN RISE</t>
        </r>
      </text>
    </comment>
    <comment ref="F20" authorId="0">
      <text>
        <r>
          <rPr>
            <sz val="9"/>
            <color indexed="81"/>
            <rFont val="Tahoma"/>
            <family val="2"/>
          </rPr>
          <t>47-ISSUED ON 08/08/26 FOR 5 HP SPARE MOTER-1 NO</t>
        </r>
      </text>
    </comment>
    <comment ref="F24" authorId="0">
      <text>
        <r>
          <rPr>
            <sz val="9"/>
            <color indexed="81"/>
            <rFont val="Tahoma"/>
            <family val="2"/>
          </rPr>
          <t>45-ISSUED ON 07/08/26
FOR 7.5 HP SPARE MOTER-1 NO
55-ISSUED ON 13/08/26 FOR 7.5 HP SAPRE MOTER-1 NO</t>
        </r>
      </text>
    </comment>
    <comment ref="F37" authorId="0">
      <text>
        <r>
          <rPr>
            <sz val="9"/>
            <color indexed="81"/>
            <rFont val="Tahoma"/>
            <family val="2"/>
          </rPr>
          <t xml:space="preserve">47-ISSUED ON 08/08/26 FOR 5 HP SPARE MOTER-1 NO
</t>
        </r>
      </text>
    </comment>
    <comment ref="F39" authorId="0">
      <text>
        <r>
          <rPr>
            <sz val="9"/>
            <color indexed="81"/>
            <rFont val="Tahoma"/>
            <family val="2"/>
          </rPr>
          <t>33-ISSUED ON 01/08/26 FRO SIZE KITCHAN SPARE PUMP-2 NO
45-ISSUED ON 07/08/26 FRO 7.5 HP SPARE MOTER-1 NO
55-ISSUED ON 13/08/26 FRO 7.5 HP SPARE MOTER-1 NO
56-ISSUED ON 13/08/26 FRO SIZE KITCHAN-2 NO</t>
        </r>
      </text>
    </comment>
    <comment ref="F41" authorId="0">
      <text>
        <r>
          <rPr>
            <sz val="9"/>
            <color indexed="81"/>
            <rFont val="Tahoma"/>
            <family val="2"/>
          </rPr>
          <t>39-ISSUED ON 04/08/26 FOR 30HP KUTPIT MOTER-1 NO
47-ISSUED ON 08/08/26 FOR ETP 6 NO PUMP-2 NO</t>
        </r>
      </text>
    </comment>
    <comment ref="F50" authorId="0">
      <text>
        <r>
          <rPr>
            <sz val="9"/>
            <color indexed="81"/>
            <rFont val="Tahoma"/>
            <family val="2"/>
          </rPr>
          <t>51-ISSUED ON 10/08/26 FOR 75HP SPARE MOTER-1 NO</t>
        </r>
      </text>
    </comment>
    <comment ref="F75" authorId="0">
      <text>
        <r>
          <rPr>
            <sz val="9"/>
            <color indexed="81"/>
            <rFont val="Tahoma"/>
            <family val="2"/>
          </rPr>
          <t>47-ISSUED ON 08/08/26 FOR SPARE FELT ROLL-1 NO</t>
        </r>
      </text>
    </comment>
    <comment ref="E78" authorId="0">
      <text>
        <r>
          <rPr>
            <sz val="9"/>
            <color indexed="81"/>
            <rFont val="Tahoma"/>
            <family val="2"/>
          </rPr>
          <t>RECIVED ON 11/08/2026 FROM SUNRISE BEARING CORPORATION-4 NOS</t>
        </r>
      </text>
    </comment>
    <comment ref="E79" authorId="0">
      <text>
        <r>
          <rPr>
            <sz val="9"/>
            <color indexed="81"/>
            <rFont val="Tahoma"/>
            <family val="2"/>
          </rPr>
          <t>RECIVED ON 11/08/26 FORM SUNRISE BEARING CORPORATION-1 NO</t>
        </r>
      </text>
    </comment>
    <comment ref="F99" authorId="0">
      <text>
        <r>
          <rPr>
            <sz val="9"/>
            <color indexed="81"/>
            <rFont val="Tahoma"/>
            <family val="2"/>
          </rPr>
          <t xml:space="preserve">43-ISSUED ON 05/08/26 FOR NEW TOP ROLL BACK SIDE
</t>
        </r>
      </text>
    </comment>
    <comment ref="F109" authorId="0">
      <text>
        <r>
          <rPr>
            <sz val="9"/>
            <color indexed="81"/>
            <rFont val="Tahoma"/>
            <family val="2"/>
          </rPr>
          <t>33-ISSUED ON 01/08/26 FOR PULLP MILL 06 PUMP-02 NOS</t>
        </r>
        <r>
          <rPr>
            <b/>
            <sz val="9"/>
            <color indexed="81"/>
            <rFont val="Tahoma"/>
            <family val="2"/>
          </rPr>
          <t xml:space="preserve"> 
54</t>
        </r>
        <r>
          <rPr>
            <sz val="9"/>
            <color indexed="81"/>
            <rFont val="Tahoma"/>
            <family val="2"/>
          </rPr>
          <t>-ISSUED ON 12/08/26 FOR PULLP MILL 01 PUMP-02 NOS</t>
        </r>
      </text>
    </comment>
    <comment ref="E133" authorId="0">
      <text>
        <r>
          <rPr>
            <sz val="9"/>
            <color indexed="81"/>
            <rFont val="Tahoma"/>
            <family val="2"/>
          </rPr>
          <t xml:space="preserve">REIVED ON 11/08/2026 FROM SUNRISE BEARING CORPORATION- 2 NOS
</t>
        </r>
      </text>
    </comment>
    <comment ref="F141" authorId="0">
      <text>
        <r>
          <rPr>
            <sz val="9"/>
            <color indexed="81"/>
            <rFont val="Tahoma"/>
            <family val="2"/>
          </rPr>
          <t>38-ISSUED ON 03/08/26 FOR CUTCH PIT PIMP-1 NO</t>
        </r>
      </text>
    </comment>
    <comment ref="F164" authorId="0">
      <text>
        <r>
          <rPr>
            <sz val="9"/>
            <color indexed="81"/>
            <rFont val="Tahoma"/>
            <family val="2"/>
          </rPr>
          <t>36-ISSUED ON 02/0/26 FOR ETP MEGHASEL -2 NO</t>
        </r>
      </text>
    </comment>
    <comment ref="F168" authorId="0">
      <text>
        <r>
          <rPr>
            <sz val="9"/>
            <color indexed="81"/>
            <rFont val="Tahoma"/>
            <family val="2"/>
          </rPr>
          <t>35-ISSUED ON 02/08/26 FOR MEGHA CELL - 2 NOS</t>
        </r>
      </text>
    </comment>
    <comment ref="E172" authorId="0">
      <text>
        <r>
          <rPr>
            <sz val="9"/>
            <color indexed="81"/>
            <rFont val="Tahoma"/>
            <family val="2"/>
          </rPr>
          <t>RECIVED ON 08/08/26 FROM SUN RISE-5 NO</t>
        </r>
      </text>
    </comment>
    <comment ref="F172" authorId="0">
      <text>
        <r>
          <rPr>
            <sz val="9"/>
            <color indexed="81"/>
            <rFont val="Tahoma"/>
            <family val="2"/>
          </rPr>
          <t>40-ISSUED ON 04/08/26 FOR CONVEAR BELT AT PULP MILL-1NO
41-ISSUED ON 05/08/26 FOR CONVEAR BELT AT PULP MILL-1NO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G10" authorId="0">
      <text>
        <r>
          <rPr>
            <sz val="9"/>
            <color indexed="81"/>
            <rFont val="Tahoma"/>
            <family val="2"/>
          </rPr>
          <t xml:space="preserve">44-ISSUED ON 06/08/26 FOR POST DRYER DRIVE ROLL GRARE BOX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F13" authorId="0">
      <text>
        <r>
          <rPr>
            <sz val="9"/>
            <color indexed="81"/>
            <rFont val="Tahoma"/>
            <family val="2"/>
          </rPr>
          <t xml:space="preserve">34-ISSUED ON 01/08/2026 FOR PULP MILL PUMP NO:6:-1 NO
54-ISSUED ON 12/08/2026 FOR PULP MILL 01 PUMP-1 NO  
</t>
        </r>
      </text>
    </comment>
    <comment ref="F19" authorId="0">
      <text>
        <r>
          <rPr>
            <sz val="9"/>
            <color indexed="81"/>
            <rFont val="Tahoma"/>
            <family val="2"/>
          </rPr>
          <t xml:space="preserve">38-ISSUED ON 03/08/26 CUTCH PIT PUMP- 1 NO </t>
        </r>
      </text>
    </comment>
    <comment ref="F30" authorId="0">
      <text>
        <r>
          <rPr>
            <sz val="9"/>
            <color indexed="81"/>
            <rFont val="Tahoma"/>
            <family val="2"/>
          </rPr>
          <t>41-ISSUED ON 05/08/26 FOR HOLLY ROLL-1NO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E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RECIVED ON 03/08/2026 FROM SHREE GOKUL COMMERCIAL CORPORATION-6 NOS
</t>
        </r>
      </text>
    </comment>
    <comment ref="F5" authorId="0">
      <text>
        <r>
          <rPr>
            <sz val="9"/>
            <color indexed="81"/>
            <rFont val="Tahoma"/>
            <family val="2"/>
          </rPr>
          <t>37-ISSUED ON 03/08/26 FOR AFT PRESSER NO-2
52-ISSUED ON 11/08/26 FOR PILP MILL PRESSER SCREN-5 NOS</t>
        </r>
      </text>
    </comment>
    <comment ref="E11" authorId="0">
      <text>
        <r>
          <rPr>
            <sz val="9"/>
            <color indexed="81"/>
            <rFont val="Tahoma"/>
            <family val="2"/>
          </rPr>
          <t>RECIVED ON 03/08/2026 FORM SHREE GOKUL COMMERCIAL CORPORATION-8 NOS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44-ISSUED ON 06/08/26 FOR PRESSER SCREEN-4 NOS
</t>
        </r>
      </text>
    </comment>
    <comment ref="F26" authorId="0">
      <text>
        <r>
          <rPr>
            <sz val="9"/>
            <color indexed="81"/>
            <rFont val="Tahoma"/>
            <family val="2"/>
          </rPr>
          <t>40-ISSUED ON 04/08/26 FOR COUCHPIT PUMP-2
NOS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F7" authorId="0">
      <text>
        <r>
          <rPr>
            <sz val="9"/>
            <color indexed="81"/>
            <rFont val="Tahoma"/>
            <family val="2"/>
          </rPr>
          <t>49-ISSUED ON 09/08/26 FOR WORK SHOP WELDING 1 PKT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F5" authorId="0">
      <text>
        <r>
          <rPr>
            <sz val="9"/>
            <color indexed="81"/>
            <rFont val="Tahoma"/>
            <family val="2"/>
          </rPr>
          <t>47-ISSUED ON 08/08/26 FOR MCN 12 NO POPREEL-3
NOS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42-ISSED ON 05/08/26 FOR WORK SHOP-10 NO
43-ISSED ON 05/08/26 FOR WORK SHOP-16 NO</t>
        </r>
      </text>
    </comment>
    <comment ref="F12" authorId="0">
      <text>
        <r>
          <rPr>
            <sz val="9"/>
            <color indexed="81"/>
            <rFont val="Tahoma"/>
            <family val="2"/>
          </rPr>
          <t>43-ISSED ON 05/08/26 FOR BEARING 24184K JUMBO PRESS ROLL-05 NO</t>
        </r>
      </text>
    </comment>
    <comment ref="F13" authorId="0">
      <text>
        <r>
          <rPr>
            <sz val="9"/>
            <color indexed="81"/>
            <rFont val="Tahoma"/>
            <family val="2"/>
          </rPr>
          <t>36-ISSUED ON 02/08/26 FOR WORK SHOP CUTTING WORK-10 NO
44-ISSUED ON 07/08/26 FOR WORK SHOP CUTTING WORK-22 NO</t>
        </r>
      </text>
    </comment>
    <comment ref="F15" authorId="0">
      <text>
        <r>
          <rPr>
            <sz val="9"/>
            <color indexed="81"/>
            <rFont val="Tahoma"/>
            <family val="2"/>
          </rPr>
          <t>45-ISSUED ON 07/08/26 FOR WORK SHOP CUTTING PURPOSE-6 NOS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F33" authorId="0">
      <text>
        <r>
          <rPr>
            <sz val="9"/>
            <color indexed="81"/>
            <rFont val="Tahoma"/>
            <family val="2"/>
          </rPr>
          <t xml:space="preserve">ISSUED ON 05/08/26 FOR TOP PRESSOR SCREN-1
</t>
        </r>
      </text>
    </comment>
    <comment ref="F34" authorId="0">
      <text>
        <r>
          <rPr>
            <b/>
            <sz val="9"/>
            <color indexed="81"/>
            <rFont val="Tahoma"/>
            <family val="2"/>
          </rPr>
          <t xml:space="preserve">ISSUED ON 29/07/26 FOR BACK WATER BOTTEM-1
</t>
        </r>
      </text>
    </comment>
    <comment ref="F50" authorId="0">
      <text>
        <r>
          <rPr>
            <sz val="9"/>
            <color indexed="81"/>
            <rFont val="Tahoma"/>
            <family val="2"/>
          </rPr>
          <t>37-ISSUED ON 03/08/26 FOR ETP PUMP NO:-6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F23" authorId="0">
      <text>
        <r>
          <rPr>
            <sz val="9"/>
            <color indexed="81"/>
            <rFont val="Tahoma"/>
            <family val="2"/>
          </rPr>
          <t>51-ISSUED ON 10/08/26 FOR MECH DEPT PRASANRT-1 NO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F16" authorId="0">
      <text>
        <r>
          <rPr>
            <sz val="9"/>
            <color indexed="81"/>
            <rFont val="Tahoma"/>
            <family val="2"/>
          </rPr>
          <t>34-ISSUED ON 01/08/26 FOR MCN DEPT VACUME WIRE WESURING-1 NO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F34" authorId="0">
      <text>
        <r>
          <rPr>
            <sz val="9"/>
            <color indexed="81"/>
            <rFont val="Tahoma"/>
            <family val="2"/>
          </rPr>
          <t>34-ISSUED ON 01/08/26 FOR PULLP MILL PUMP NO-6:-1 NO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F11" authorId="0">
      <text>
        <r>
          <rPr>
            <sz val="9"/>
            <color indexed="81"/>
            <rFont val="Tahoma"/>
            <family val="2"/>
          </rPr>
          <t xml:space="preserve">36-ISSUED ON 02/08/26 FOR VACUME LINE - 1 NO
</t>
        </r>
      </text>
    </comment>
    <comment ref="F12" authorId="0">
      <text>
        <r>
          <rPr>
            <sz val="9"/>
            <color indexed="81"/>
            <rFont val="Tahoma"/>
            <family val="2"/>
          </rPr>
          <t>52-ISSUED ON 11/08/26 FOR PULP MILL NO1 INLET &amp; OUT LET LINE-4 NOS</t>
        </r>
      </text>
    </comment>
    <comment ref="F38" authorId="0">
      <text>
        <r>
          <rPr>
            <sz val="9"/>
            <color indexed="81"/>
            <rFont val="Tahoma"/>
            <family val="2"/>
          </rPr>
          <t>52-ISSUED ON 11/0/26 FOR PULP MILL NO1 INLET &amp; OUT LET LINE-2 NO</t>
        </r>
      </text>
    </comment>
    <comment ref="F50" authorId="0">
      <text>
        <r>
          <rPr>
            <sz val="9"/>
            <color indexed="81"/>
            <rFont val="Tahoma"/>
            <family val="2"/>
          </rPr>
          <t>35-ISSUED ON 02/08/26 FOR WORK SHOP-1 NO
52-ISSUED ON 11/08/26FOR PULP MILL NO1 INLET &amp; OUT LET LINE-2 NOS</t>
        </r>
      </text>
    </comment>
    <comment ref="F67" authorId="0">
      <text>
        <r>
          <rPr>
            <sz val="9"/>
            <color indexed="81"/>
            <rFont val="Tahoma"/>
            <family val="2"/>
          </rPr>
          <t>57-ISSUED ON 14/08/26 FOR PULP MILL 1ST PRESSER SCREN-1 NO</t>
        </r>
      </text>
    </comment>
    <comment ref="F74" authorId="0">
      <text>
        <r>
          <rPr>
            <sz val="9"/>
            <color indexed="81"/>
            <rFont val="Tahoma"/>
            <family val="2"/>
          </rPr>
          <t>57-ISSUED ON 14/08/26 FOR PULP MILL 1ST PRESSER SCREN-1 NO</t>
        </r>
      </text>
    </comment>
    <comment ref="F75" authorId="0">
      <text>
        <r>
          <rPr>
            <sz val="9"/>
            <color indexed="81"/>
            <rFont val="Tahoma"/>
            <family val="2"/>
          </rPr>
          <t xml:space="preserve">44-ISSUED ON 06/08/26 FOR MCN-1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F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34-ISSUED ON 01/08/26 FOR MCN SHAVER LINE-1 NO</t>
        </r>
      </text>
    </comment>
    <comment ref="F6" authorId="0">
      <text>
        <r>
          <rPr>
            <sz val="9"/>
            <color indexed="81"/>
            <rFont val="Tahoma"/>
            <family val="2"/>
          </rPr>
          <t>42-ISSUED ON 05/08/26 FOR GAS CUTTING-1 NO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F4" authorId="0">
      <text>
        <r>
          <rPr>
            <sz val="9"/>
            <color indexed="81"/>
            <rFont val="Tahoma"/>
            <family val="2"/>
          </rPr>
          <t xml:space="preserve">53-ISSUED ON 11/08/26 FOR MCN -20KG
</t>
        </r>
      </text>
    </comment>
    <comment ref="F6" authorId="0">
      <text>
        <r>
          <rPr>
            <sz val="9"/>
            <color indexed="81"/>
            <rFont val="Tahoma"/>
            <family val="2"/>
          </rPr>
          <t>40-ISSUED ON 04/08/26 FOR BIOLER TRACTOR-10LTR.
49-ISSUED ON 09/08/26 FOR PHATLA TRACTOR-40LTR.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C3" authorId="0">
      <text>
        <r>
          <rPr>
            <b/>
            <sz val="9"/>
            <color indexed="81"/>
            <rFont val="Tahoma"/>
            <family val="2"/>
          </rPr>
          <t>0.070 gr</t>
        </r>
      </text>
    </comment>
    <comment ref="G3" authorId="0">
      <text>
        <r>
          <rPr>
            <sz val="9"/>
            <color indexed="81"/>
            <rFont val="Tahoma"/>
            <family val="2"/>
          </rPr>
          <t>42-ISSUED ON 05/08/26 FOR MCN -4 NOS
54-ISSUED ON 12/08/26 FOR BORE WELL FOR COLONY -4 NOS</t>
        </r>
      </text>
    </comment>
    <comment ref="C4" authorId="0">
      <text>
        <r>
          <rPr>
            <b/>
            <sz val="9"/>
            <color indexed="81"/>
            <rFont val="Tahoma"/>
            <family val="2"/>
          </rPr>
          <t>0.105 gr</t>
        </r>
      </text>
    </comment>
    <comment ref="G4" authorId="0">
      <text>
        <r>
          <rPr>
            <sz val="9"/>
            <color indexed="81"/>
            <rFont val="Tahoma"/>
            <family val="2"/>
          </rPr>
          <t xml:space="preserve">35-ISSUED ON 02/8/26 FOR VACCUME LINE-1
</t>
        </r>
      </text>
    </comment>
    <comment ref="C5" authorId="0">
      <text>
        <r>
          <rPr>
            <b/>
            <sz val="9"/>
            <color indexed="81"/>
            <rFont val="Tahoma"/>
            <family val="2"/>
          </rPr>
          <t>0.085 gr</t>
        </r>
      </text>
    </comment>
    <comment ref="G5" authorId="0">
      <text>
        <r>
          <rPr>
            <sz val="9"/>
            <color indexed="81"/>
            <rFont val="Tahoma"/>
            <family val="2"/>
          </rPr>
          <t>44-ISSUED ON 06/08/26 FOR REWINDING</t>
        </r>
      </text>
    </comment>
    <comment ref="C6" authorId="0">
      <text>
        <r>
          <rPr>
            <b/>
            <sz val="9"/>
            <color indexed="81"/>
            <rFont val="Tahoma"/>
            <family val="2"/>
          </rPr>
          <t>0.130 gr</t>
        </r>
      </text>
    </comment>
    <comment ref="C7" authorId="0">
      <text>
        <r>
          <rPr>
            <b/>
            <sz val="9"/>
            <color indexed="81"/>
            <rFont val="Tahoma"/>
            <family val="2"/>
          </rPr>
          <t>0.070 gr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>0.055 gr</t>
        </r>
      </text>
    </comment>
    <comment ref="C9" authorId="0">
      <text>
        <r>
          <rPr>
            <b/>
            <sz val="9"/>
            <color indexed="81"/>
            <rFont val="Tahoma"/>
            <family val="2"/>
          </rPr>
          <t>0.050 gr</t>
        </r>
      </text>
    </comment>
    <comment ref="C10" authorId="0">
      <text>
        <r>
          <rPr>
            <b/>
            <sz val="9"/>
            <color indexed="81"/>
            <rFont val="Tahoma"/>
            <family val="2"/>
          </rPr>
          <t>0.160 gr</t>
        </r>
      </text>
    </comment>
    <comment ref="G10" authorId="0">
      <text>
        <r>
          <rPr>
            <sz val="9"/>
            <color indexed="81"/>
            <rFont val="Tahoma"/>
            <family val="2"/>
          </rPr>
          <t>37-ISSUED ON 03/08/26  FOR WORK SHOP -2 NO
43-ISSUED ON 05/08/26  FOR PRESS 1ST ROLL -4 NO
44-ISSUED ON 06/08/26 FOR MECH DEPT-2 NO
57-ISSUED ON 14/08/26 FOR PULP MILL 1 ST PRESSER SCRESN -8 NO</t>
        </r>
      </text>
    </comment>
    <comment ref="C11" authorId="0">
      <text>
        <r>
          <rPr>
            <b/>
            <sz val="9"/>
            <color indexed="81"/>
            <rFont val="Tahoma"/>
            <family val="2"/>
          </rPr>
          <t>0.300 gr</t>
        </r>
      </text>
    </comment>
    <comment ref="G11" authorId="0">
      <text>
        <r>
          <rPr>
            <sz val="9"/>
            <color indexed="81"/>
            <rFont val="Tahoma"/>
            <family val="2"/>
          </rPr>
          <t>49-ISSUED ON 09/08/26 FOR SIZE PRESS-1 NO</t>
        </r>
      </text>
    </comment>
    <comment ref="C12" authorId="0">
      <text>
        <r>
          <rPr>
            <b/>
            <sz val="9"/>
            <color indexed="81"/>
            <rFont val="Tahoma"/>
            <family val="2"/>
          </rPr>
          <t>0.100 gr</t>
        </r>
      </text>
    </comment>
    <comment ref="G12" authorId="0">
      <text>
        <r>
          <rPr>
            <sz val="9"/>
            <color indexed="81"/>
            <rFont val="Tahoma"/>
            <family val="2"/>
          </rPr>
          <t>35-ISSUED ON 02/08/26 FOR VACCUME LINE-8 NOS
57-ISSUED ON 14/08/26 FOR PULP MILL 1 ST PRESSER SCREAN 8 NOS</t>
        </r>
      </text>
    </comment>
    <comment ref="C13" authorId="0">
      <text>
        <r>
          <rPr>
            <b/>
            <sz val="9"/>
            <color indexed="81"/>
            <rFont val="Tahoma"/>
            <family val="2"/>
          </rPr>
          <t>0.130 gr</t>
        </r>
      </text>
    </comment>
    <comment ref="G13" authorId="0">
      <text>
        <r>
          <rPr>
            <sz val="9"/>
            <color indexed="81"/>
            <rFont val="Tahoma"/>
            <family val="2"/>
          </rPr>
          <t>37-ISSUED ON 03/08/26 FOR WORK SHOP-4 NO
43-ISSUED ON 05/08/26 FOR PRESS 1ST ROLL-3NOS
47-ISSUED ON 08/08/26 FOR COLD STOREAGE-4 NOS</t>
        </r>
      </text>
    </comment>
    <comment ref="C14" authorId="0">
      <text>
        <r>
          <rPr>
            <b/>
            <sz val="9"/>
            <color indexed="81"/>
            <rFont val="Tahoma"/>
            <family val="2"/>
          </rPr>
          <t>0.340 gr</t>
        </r>
      </text>
    </comment>
    <comment ref="C15" authorId="0">
      <text>
        <r>
          <rPr>
            <b/>
            <sz val="9"/>
            <color indexed="81"/>
            <rFont val="Tahoma"/>
            <family val="2"/>
          </rPr>
          <t>0.360 gr</t>
        </r>
      </text>
    </comment>
    <comment ref="C16" authorId="0">
      <text>
        <r>
          <rPr>
            <b/>
            <sz val="9"/>
            <color indexed="81"/>
            <rFont val="Tahoma"/>
            <family val="2"/>
          </rPr>
          <t>0.380 gr</t>
        </r>
      </text>
    </comment>
    <comment ref="C17" authorId="0">
      <text>
        <r>
          <rPr>
            <b/>
            <sz val="9"/>
            <color indexed="81"/>
            <rFont val="Tahoma"/>
            <family val="2"/>
          </rPr>
          <t>0.390 gr</t>
        </r>
      </text>
    </comment>
    <comment ref="C18" authorId="0">
      <text>
        <r>
          <rPr>
            <b/>
            <sz val="9"/>
            <color indexed="81"/>
            <rFont val="Tahoma"/>
            <family val="2"/>
          </rPr>
          <t>0.60 gr</t>
        </r>
      </text>
    </comment>
    <comment ref="C19" authorId="0">
      <text>
        <r>
          <rPr>
            <b/>
            <sz val="9"/>
            <color indexed="81"/>
            <rFont val="Tahoma"/>
            <family val="2"/>
          </rPr>
          <t>0.075 gr</t>
        </r>
      </text>
    </comment>
    <comment ref="G34" authorId="0">
      <text>
        <r>
          <rPr>
            <sz val="9"/>
            <color indexed="81"/>
            <rFont val="Tahoma"/>
            <family val="2"/>
          </rPr>
          <t>RETURN TO THE PARTY-150 NOS MEHTA FASTENERS ON 12/08/2026.</t>
        </r>
      </text>
    </comment>
    <comment ref="F40" authorId="0">
      <text>
        <r>
          <rPr>
            <sz val="9"/>
            <color indexed="81"/>
            <rFont val="Tahoma"/>
            <family val="2"/>
          </rPr>
          <t>RECIVED ON 12/08/2026 FROM IMPERIAL ENGINEERINGS-150 NOS</t>
        </r>
      </text>
    </comment>
    <comment ref="G40" authorId="0">
      <text>
        <r>
          <rPr>
            <sz val="9"/>
            <color indexed="81"/>
            <rFont val="Tahoma"/>
            <family val="2"/>
          </rPr>
          <t xml:space="preserve">45-ISSUED ON 07/08/26 FOR VACUME BOX-26 NOS
55-ISSUED ON 13/08/26 FOR VACUME BOX-83 NOS
</t>
        </r>
      </text>
    </comment>
    <comment ref="F42" authorId="0">
      <text>
        <r>
          <rPr>
            <sz val="9"/>
            <color indexed="81"/>
            <rFont val="Tahoma"/>
            <family val="2"/>
          </rPr>
          <t>RECIVED ON 05/08/26 FRO VICCUME BOX</t>
        </r>
      </text>
    </comment>
    <comment ref="G42" authorId="0">
      <text>
        <r>
          <rPr>
            <sz val="9"/>
            <color indexed="81"/>
            <rFont val="Tahoma"/>
            <family val="2"/>
          </rPr>
          <t xml:space="preserve">42-ISSUED ON 05/08/26 FOR VACCUME BOX - 32 NOS </t>
        </r>
      </text>
    </comment>
    <comment ref="G43" authorId="0">
      <text>
        <r>
          <rPr>
            <sz val="9"/>
            <color indexed="81"/>
            <rFont val="Tahoma"/>
            <family val="2"/>
          </rPr>
          <t>42-ISSUED ON 05/08/26 FOR ELE DEPT GAJANAND-4 NOS</t>
        </r>
      </text>
    </comment>
    <comment ref="G45" authorId="0">
      <text>
        <r>
          <rPr>
            <sz val="9"/>
            <color indexed="81"/>
            <rFont val="Tahoma"/>
            <family val="2"/>
          </rPr>
          <t xml:space="preserve">52-ISSUED ON 11/08/26 FOR 5TON CREAN-4 NOS
</t>
        </r>
      </text>
    </comment>
    <comment ref="G48" authorId="0">
      <text>
        <r>
          <rPr>
            <sz val="9"/>
            <color indexed="81"/>
            <rFont val="Tahoma"/>
            <family val="2"/>
          </rPr>
          <t>38-ISSUED ON 03/08/26 FOR CUTCHPIT PUMP-6 NOS</t>
        </r>
      </text>
    </comment>
    <comment ref="G49" authorId="0">
      <text>
        <r>
          <rPr>
            <sz val="9"/>
            <color indexed="81"/>
            <rFont val="Tahoma"/>
            <family val="2"/>
          </rPr>
          <t xml:space="preserve">34-ISSUED ON 01/08/26 FOR MECH DEPT-8 NO
</t>
        </r>
      </text>
    </comment>
    <comment ref="G55" authorId="0">
      <text>
        <r>
          <rPr>
            <sz val="9"/>
            <color indexed="81"/>
            <rFont val="Tahoma"/>
            <family val="2"/>
          </rPr>
          <t xml:space="preserve">48-ISSUED ON 08/08/26 FOR WIRE ROLL SAPARATER-1
</t>
        </r>
      </text>
    </comment>
    <comment ref="G62" authorId="0">
      <text>
        <r>
          <rPr>
            <sz val="9"/>
            <color indexed="81"/>
            <rFont val="Tahoma"/>
            <family val="2"/>
          </rPr>
          <t xml:space="preserve">36-ISSUED ON 02/08/26 FOR ETP SLUGE TANK-24 NO
</t>
        </r>
      </text>
    </comment>
    <comment ref="G63" authorId="0">
      <text>
        <r>
          <rPr>
            <sz val="9"/>
            <color indexed="81"/>
            <rFont val="Tahoma"/>
            <family val="2"/>
          </rPr>
          <t xml:space="preserve">49-ISSUED ON 09/08/26 FOR STRACHER ROLL-18 NO
</t>
        </r>
      </text>
    </comment>
    <comment ref="G64" authorId="0">
      <text>
        <r>
          <rPr>
            <sz val="9"/>
            <color indexed="81"/>
            <rFont val="Tahoma"/>
            <family val="2"/>
          </rPr>
          <t>47-ISSUED ON 08/08/26 FOR COLD STORSGE-2 NOS</t>
        </r>
      </text>
    </comment>
  </commentList>
</comments>
</file>

<file path=xl/sharedStrings.xml><?xml version="1.0" encoding="utf-8"?>
<sst xmlns="http://schemas.openxmlformats.org/spreadsheetml/2006/main" count="2278" uniqueCount="1488">
  <si>
    <t>S NO.</t>
  </si>
  <si>
    <t>ITEM WITH DETAIL</t>
  </si>
  <si>
    <t>Phy Stock</t>
  </si>
  <si>
    <t>6003 -2z</t>
  </si>
  <si>
    <t>6004-2z</t>
  </si>
  <si>
    <t>6011-2rs</t>
  </si>
  <si>
    <t>6201-2Z</t>
  </si>
  <si>
    <t>6202-2Z-C3</t>
  </si>
  <si>
    <t>6203-C-HRS 2Z</t>
  </si>
  <si>
    <t>6204-zz /6204- 2RS</t>
  </si>
  <si>
    <t>6205-zz /2RS</t>
  </si>
  <si>
    <t>6206-2z</t>
  </si>
  <si>
    <t>6207-2z</t>
  </si>
  <si>
    <t>6210- 2z</t>
  </si>
  <si>
    <t>6215-c3</t>
  </si>
  <si>
    <t>6215-2rs/2z</t>
  </si>
  <si>
    <t>6302-2z</t>
  </si>
  <si>
    <t>6303-2z</t>
  </si>
  <si>
    <t>6305-2Z</t>
  </si>
  <si>
    <t>6308-zz</t>
  </si>
  <si>
    <t>6309-zz</t>
  </si>
  <si>
    <t>6209-zz</t>
  </si>
  <si>
    <t>6310-2z -C3/6310-2Z/R</t>
  </si>
  <si>
    <t>6311-2z</t>
  </si>
  <si>
    <t>6312- H-SN-C3</t>
  </si>
  <si>
    <t>6312-2z -L140 /6310-2Z-C3</t>
  </si>
  <si>
    <t>6404-A</t>
  </si>
  <si>
    <t>UC 215</t>
  </si>
  <si>
    <t>UCP215</t>
  </si>
  <si>
    <t>UCFC 210</t>
  </si>
  <si>
    <t>FC 210</t>
  </si>
  <si>
    <t>UCF 210 (mm) /UCF 210 -K</t>
  </si>
  <si>
    <t>UCP 210</t>
  </si>
  <si>
    <t>6009-2RSR/LLU/ZZ</t>
  </si>
  <si>
    <t>30204 -A</t>
  </si>
  <si>
    <t>30206 -A</t>
  </si>
  <si>
    <t>30216-A</t>
  </si>
  <si>
    <t>30312 A</t>
  </si>
  <si>
    <t>30305 CYC</t>
  </si>
  <si>
    <t>30306 -A</t>
  </si>
  <si>
    <t>30310 A</t>
  </si>
  <si>
    <t>32212- A J2 /Q</t>
  </si>
  <si>
    <t>32213-A</t>
  </si>
  <si>
    <t>32214-AM</t>
  </si>
  <si>
    <t>NJ205</t>
  </si>
  <si>
    <t>NU310 E-XL</t>
  </si>
  <si>
    <t>NUP 313 E TVP2</t>
  </si>
  <si>
    <t>NJ 303 E- XL -TVP2</t>
  </si>
  <si>
    <t>NJ313 -E-XL-M1-QP-C3</t>
  </si>
  <si>
    <t>NU313 -E-XL M1 -QP-C3</t>
  </si>
  <si>
    <t>7314 BEP</t>
  </si>
  <si>
    <t>29418 -E1-XL-C3</t>
  </si>
  <si>
    <t>22319 -E</t>
  </si>
  <si>
    <t>NU2217 -E-XL-M1-QP</t>
  </si>
  <si>
    <t>7313 BEP -XL TVP</t>
  </si>
  <si>
    <t>NU307</t>
  </si>
  <si>
    <t>3307 -BD-XL</t>
  </si>
  <si>
    <t>NU309-XL -C3</t>
  </si>
  <si>
    <t>6212-C3</t>
  </si>
  <si>
    <t>UCFC-208 -J7</t>
  </si>
  <si>
    <t>UCP 206- J7 -NTN</t>
  </si>
  <si>
    <t>UC206</t>
  </si>
  <si>
    <t>UCF-206</t>
  </si>
  <si>
    <t>UCP 207</t>
  </si>
  <si>
    <t>UC208</t>
  </si>
  <si>
    <t>UCFL 208</t>
  </si>
  <si>
    <t>6208-2Z- C3</t>
  </si>
  <si>
    <t>2312 TVH C3</t>
  </si>
  <si>
    <t>NU 2320 INNER</t>
  </si>
  <si>
    <t>UCP 209</t>
  </si>
  <si>
    <t>HB 209</t>
  </si>
  <si>
    <t>UCF 209 -J7</t>
  </si>
  <si>
    <t>UC 211 -23</t>
  </si>
  <si>
    <t>UC 211 -32</t>
  </si>
  <si>
    <t>UCF 211 D1</t>
  </si>
  <si>
    <t>UCF 211 J7-32</t>
  </si>
  <si>
    <t>UCP 211</t>
  </si>
  <si>
    <t>UCP 212 D1</t>
  </si>
  <si>
    <t>UCP 213</t>
  </si>
  <si>
    <t>UC 210</t>
  </si>
  <si>
    <t>22311 CW 33C3</t>
  </si>
  <si>
    <t>22312 MBW33 C3</t>
  </si>
  <si>
    <t>NU 2322 E1-XL</t>
  </si>
  <si>
    <t>3210 -BD-XL</t>
  </si>
  <si>
    <t>6213 -2Z -L140 -C3</t>
  </si>
  <si>
    <t>6313-2Z -L140- C3</t>
  </si>
  <si>
    <t>6313-c3</t>
  </si>
  <si>
    <t>GEM 020</t>
  </si>
  <si>
    <t>N 407 EM</t>
  </si>
  <si>
    <t>32305 J2 /Q</t>
  </si>
  <si>
    <t>7206-B-XL -TVP</t>
  </si>
  <si>
    <t>SYJ 513</t>
  </si>
  <si>
    <t>SYJ 517</t>
  </si>
  <si>
    <t>NU2220 E1 -AM-C3</t>
  </si>
  <si>
    <t>22316 E1-XL</t>
  </si>
  <si>
    <t>32216- A-AM</t>
  </si>
  <si>
    <t>22215-E-XL-C3</t>
  </si>
  <si>
    <t>22216 E1-XL</t>
  </si>
  <si>
    <t>22314 -E1-XL</t>
  </si>
  <si>
    <t>22314 KW33 M</t>
  </si>
  <si>
    <t>22218 E1-XL-C3</t>
  </si>
  <si>
    <t>6314-H-SN /6314-C3</t>
  </si>
  <si>
    <t>22320 E1-XL-K</t>
  </si>
  <si>
    <t>22320- E1-XL-C3</t>
  </si>
  <si>
    <t>NU 2320 E-XL -M1QP-C3</t>
  </si>
  <si>
    <t>NU319 E-XL -M1-QP -C3</t>
  </si>
  <si>
    <t>NU320 E-XL-M1-QP-C3 -2 old side</t>
  </si>
  <si>
    <t>24032-C3</t>
  </si>
  <si>
    <t>22324-E1-XL</t>
  </si>
  <si>
    <t>F-573288.24032 -S-K30-C3</t>
  </si>
  <si>
    <t>F-573288.24032 -S-</t>
  </si>
  <si>
    <t>NU 317 -M1QP -C3</t>
  </si>
  <si>
    <t>QJ 317 -N2-MPA-C3</t>
  </si>
  <si>
    <t>22228 E1-C3</t>
  </si>
  <si>
    <t>6316-C3</t>
  </si>
  <si>
    <t>NU 315 E-XL -M1QP-C3</t>
  </si>
  <si>
    <t>22315-E1-XL-K-C3</t>
  </si>
  <si>
    <t>23124 E1AM</t>
  </si>
  <si>
    <t>22220 E1-XL</t>
  </si>
  <si>
    <t>22224 E1-XL</t>
  </si>
  <si>
    <t>23222 E1 A-XL-K-M-C3</t>
  </si>
  <si>
    <t>22222 E1-XL-K</t>
  </si>
  <si>
    <t>22222 e1 AM C3</t>
  </si>
  <si>
    <t>NU 322 E1-XL M1QP -C3</t>
  </si>
  <si>
    <t>22322 E1-XL - K C3</t>
  </si>
  <si>
    <t>7319 B-XL-MP</t>
  </si>
  <si>
    <t>6319-C3</t>
  </si>
  <si>
    <t>6321-C3</t>
  </si>
  <si>
    <t>6322-C3</t>
  </si>
  <si>
    <t>22219 -E1-XL</t>
  </si>
  <si>
    <t>23220 E1 AM</t>
  </si>
  <si>
    <t>23226 E1 AM</t>
  </si>
  <si>
    <t>22222 E1 XL</t>
  </si>
  <si>
    <t>32313-H</t>
  </si>
  <si>
    <t>32310-H</t>
  </si>
  <si>
    <t>NU 2322 EM ZVL</t>
  </si>
  <si>
    <t>29420 E1-XL</t>
  </si>
  <si>
    <t>22322 E1-XL --C3</t>
  </si>
  <si>
    <t>ZVL 23044 KW33MC3</t>
  </si>
  <si>
    <t>23044 BE-XL-K</t>
  </si>
  <si>
    <t>23244 -BE-XL-K</t>
  </si>
  <si>
    <t>23234 BS-K -MB-C3</t>
  </si>
  <si>
    <t>23234 E1 A-K-M</t>
  </si>
  <si>
    <t>29240 E MB</t>
  </si>
  <si>
    <t>6315-C3</t>
  </si>
  <si>
    <t>6318-C3</t>
  </si>
  <si>
    <t>23264 -BEA-XL-K- MB1-C3</t>
  </si>
  <si>
    <t>22318-E1-XL-K-C3</t>
  </si>
  <si>
    <t>24184 cck/w33</t>
  </si>
  <si>
    <t>10-22-7</t>
  </si>
  <si>
    <t>20-32-7</t>
  </si>
  <si>
    <t>20-35-7</t>
  </si>
  <si>
    <t>20-52-7</t>
  </si>
  <si>
    <t>25-40-8</t>
  </si>
  <si>
    <t>25-42-7</t>
  </si>
  <si>
    <t>25-42-10</t>
  </si>
  <si>
    <t>25-45-10</t>
  </si>
  <si>
    <t>25-52-7</t>
  </si>
  <si>
    <t>25-62-7</t>
  </si>
  <si>
    <t>28-38-7/2</t>
  </si>
  <si>
    <t>30-47-7/10</t>
  </si>
  <si>
    <t>30-62-10</t>
  </si>
  <si>
    <t>32-45-7</t>
  </si>
  <si>
    <t>32-52-10</t>
  </si>
  <si>
    <t>32-60-10</t>
  </si>
  <si>
    <t>35-47-7</t>
  </si>
  <si>
    <t>35-52-10</t>
  </si>
  <si>
    <t>35-55-10</t>
  </si>
  <si>
    <t>40-55-8</t>
  </si>
  <si>
    <t>40-60-10</t>
  </si>
  <si>
    <t>42-55-10</t>
  </si>
  <si>
    <t>45-55-8</t>
  </si>
  <si>
    <t>45-60-10</t>
  </si>
  <si>
    <t>45-65-10/12</t>
  </si>
  <si>
    <t>45-75-10</t>
  </si>
  <si>
    <t>48-62-10</t>
  </si>
  <si>
    <t>50-65-8</t>
  </si>
  <si>
    <t>50-70-10</t>
  </si>
  <si>
    <t>50-72-8/10</t>
  </si>
  <si>
    <t>50-75-12/10</t>
  </si>
  <si>
    <t>50-80-10</t>
  </si>
  <si>
    <t>55-70-10</t>
  </si>
  <si>
    <t>55-72-10/8</t>
  </si>
  <si>
    <t>55-75-10</t>
  </si>
  <si>
    <t>55-80-10</t>
  </si>
  <si>
    <t>60-80-10</t>
  </si>
  <si>
    <t>60-90-10</t>
  </si>
  <si>
    <t>65-75-10</t>
  </si>
  <si>
    <t>65-80-10</t>
  </si>
  <si>
    <t>65-85-10</t>
  </si>
  <si>
    <t>65-90-10/12</t>
  </si>
  <si>
    <t>65-95-10</t>
  </si>
  <si>
    <t>70-80-10</t>
  </si>
  <si>
    <t>70-90-10</t>
  </si>
  <si>
    <t>75-95-10</t>
  </si>
  <si>
    <t>75-100-10</t>
  </si>
  <si>
    <t>80-100-10</t>
  </si>
  <si>
    <t>80-105-10/12</t>
  </si>
  <si>
    <t>85-100-10/12</t>
  </si>
  <si>
    <t>85-105-10</t>
  </si>
  <si>
    <t>85-110-10</t>
  </si>
  <si>
    <t>85-115-10</t>
  </si>
  <si>
    <t>90-110-10/12</t>
  </si>
  <si>
    <t>90-115-10</t>
  </si>
  <si>
    <t>90-120-12</t>
  </si>
  <si>
    <t>95-120-10</t>
  </si>
  <si>
    <t>107-135.5-10</t>
  </si>
  <si>
    <t>110-130-12</t>
  </si>
  <si>
    <t>115-140-15</t>
  </si>
  <si>
    <t>140-170-15</t>
  </si>
  <si>
    <t>145-165-13</t>
  </si>
  <si>
    <t>155-180-15</t>
  </si>
  <si>
    <t>185*215*15</t>
  </si>
  <si>
    <t xml:space="preserve"> OIL SEAL</t>
  </si>
  <si>
    <t>6304-2Z /2RS1</t>
  </si>
  <si>
    <t>6306-2z /L207-C3</t>
  </si>
  <si>
    <t>55-72-12</t>
  </si>
  <si>
    <t>1B</t>
  </si>
  <si>
    <t>RECIVED</t>
  </si>
  <si>
    <t>BALANCE</t>
  </si>
  <si>
    <t>OS0020</t>
  </si>
  <si>
    <t>OS0028</t>
  </si>
  <si>
    <t>OS0029</t>
  </si>
  <si>
    <t>OS0030</t>
  </si>
  <si>
    <t>OS0031</t>
  </si>
  <si>
    <t>OS0033</t>
  </si>
  <si>
    <t>OS0034</t>
  </si>
  <si>
    <t>OS0035</t>
  </si>
  <si>
    <t>OS0036</t>
  </si>
  <si>
    <t>OS0041</t>
  </si>
  <si>
    <t>OS0045</t>
  </si>
  <si>
    <t>OS0065</t>
  </si>
  <si>
    <t>ITEM CODE</t>
  </si>
  <si>
    <t>PHY STOCK</t>
  </si>
  <si>
    <t>55-60-8</t>
  </si>
  <si>
    <t>22-40-10</t>
  </si>
  <si>
    <t>20-52-8</t>
  </si>
  <si>
    <t>2B</t>
  </si>
  <si>
    <t>OS0005</t>
  </si>
  <si>
    <t>OS0001</t>
  </si>
  <si>
    <t>OS0002</t>
  </si>
  <si>
    <t>OS0004</t>
  </si>
  <si>
    <t>OS0007</t>
  </si>
  <si>
    <t>OS0008</t>
  </si>
  <si>
    <t>OS0010</t>
  </si>
  <si>
    <t>OS0011</t>
  </si>
  <si>
    <t>OS0012</t>
  </si>
  <si>
    <t>OS0013</t>
  </si>
  <si>
    <t>OS0015</t>
  </si>
  <si>
    <t>OS0016</t>
  </si>
  <si>
    <t>OS0017</t>
  </si>
  <si>
    <t>OS0018</t>
  </si>
  <si>
    <t>OS0022</t>
  </si>
  <si>
    <t>OS0024</t>
  </si>
  <si>
    <t>OS0026</t>
  </si>
  <si>
    <t>OS0066</t>
  </si>
  <si>
    <t>OS0067</t>
  </si>
  <si>
    <t>OS0068</t>
  </si>
  <si>
    <t>SRI M.K. PAPER MILLS PVT LTD</t>
  </si>
  <si>
    <t>S.NO</t>
  </si>
  <si>
    <t>MODAL NO</t>
  </si>
  <si>
    <t>CAPACITY</t>
  </si>
  <si>
    <t>LOCATION</t>
  </si>
  <si>
    <t>CHEMICAL NAME</t>
  </si>
  <si>
    <t>202505090783</t>
  </si>
  <si>
    <t>202611100172</t>
  </si>
  <si>
    <t>202604150197</t>
  </si>
  <si>
    <t>202604150181</t>
  </si>
  <si>
    <t>202604150251</t>
  </si>
  <si>
    <t>202611100105</t>
  </si>
  <si>
    <t>202505090808</t>
  </si>
  <si>
    <t>202311020261</t>
  </si>
  <si>
    <t>202511100165</t>
  </si>
  <si>
    <t>202511100166</t>
  </si>
  <si>
    <t>202102030555</t>
  </si>
  <si>
    <t>202102030554</t>
  </si>
  <si>
    <t>UC-11 PP</t>
  </si>
  <si>
    <t>ED 010604</t>
  </si>
  <si>
    <t>GB-404SS316</t>
  </si>
  <si>
    <t>B145-4PP</t>
  </si>
  <si>
    <t>4.0/5.5</t>
  </si>
  <si>
    <t>0-6 LPH</t>
  </si>
  <si>
    <t>400LPH</t>
  </si>
  <si>
    <t>1050LPH</t>
  </si>
  <si>
    <t>SIZE KITCHEN</t>
  </si>
  <si>
    <t>SIOL AREA</t>
  </si>
  <si>
    <t>PRESS SECTION</t>
  </si>
  <si>
    <t>BIOLER SECTION</t>
  </si>
  <si>
    <t>ETP SECTION</t>
  </si>
  <si>
    <t>PRO MASK-192</t>
  </si>
  <si>
    <t xml:space="preserve">ADVANCE </t>
  </si>
  <si>
    <t>DEFORMAR</t>
  </si>
  <si>
    <t>PRO SOLVE 126</t>
  </si>
  <si>
    <t>PULPER SECTION</t>
  </si>
  <si>
    <t>HCL 3210</t>
  </si>
  <si>
    <t>HCL 3230</t>
  </si>
  <si>
    <t>HCL 11</t>
  </si>
  <si>
    <t>SUCHEM 638</t>
  </si>
  <si>
    <t>SIGMA EXOR 303</t>
  </si>
  <si>
    <t>COCAGULANDNT 200</t>
  </si>
  <si>
    <t>PUMP DETAILS</t>
  </si>
  <si>
    <t xml:space="preserve"> NEW PUMPS</t>
  </si>
  <si>
    <t>ED010604</t>
  </si>
  <si>
    <t>0-6LPH</t>
  </si>
  <si>
    <t>SR.NO</t>
  </si>
  <si>
    <t>40-65-10</t>
  </si>
  <si>
    <t>45-55-10</t>
  </si>
  <si>
    <t>3B</t>
  </si>
  <si>
    <t>OS0014</t>
  </si>
  <si>
    <t>OS0019</t>
  </si>
  <si>
    <t>OS0023</t>
  </si>
  <si>
    <t>OS0025</t>
  </si>
  <si>
    <t>OS0027</t>
  </si>
  <si>
    <t>OS0057</t>
  </si>
  <si>
    <t>OS0069</t>
  </si>
  <si>
    <t>OS0070</t>
  </si>
  <si>
    <t>4B</t>
  </si>
  <si>
    <t>OS0044</t>
  </si>
  <si>
    <t>OS0047</t>
  </si>
  <si>
    <t>OS0059</t>
  </si>
  <si>
    <t>OS0060</t>
  </si>
  <si>
    <t>BOX NO:04</t>
  </si>
  <si>
    <t>BOX NO:03</t>
  </si>
  <si>
    <t>BOX NO:02</t>
  </si>
  <si>
    <t>BOX NO:01</t>
  </si>
  <si>
    <t>5B</t>
  </si>
  <si>
    <t>BOX NO:05</t>
  </si>
  <si>
    <t>OS0037</t>
  </si>
  <si>
    <t>OS0039</t>
  </si>
  <si>
    <t>OS0040</t>
  </si>
  <si>
    <t>OS0042</t>
  </si>
  <si>
    <t>OS0043</t>
  </si>
  <si>
    <t>6B</t>
  </si>
  <si>
    <t>OS0048</t>
  </si>
  <si>
    <t>OS0049</t>
  </si>
  <si>
    <t>OS0050</t>
  </si>
  <si>
    <t>OS0051</t>
  </si>
  <si>
    <t>OS0052</t>
  </si>
  <si>
    <t>BOX NO:06</t>
  </si>
  <si>
    <t>78-100-10</t>
  </si>
  <si>
    <t>60-85-10</t>
  </si>
  <si>
    <t>OS0071</t>
  </si>
  <si>
    <t>OS0072</t>
  </si>
  <si>
    <t>8B</t>
  </si>
  <si>
    <t>7B</t>
  </si>
  <si>
    <t>150-180-15</t>
  </si>
  <si>
    <t>65-100-1</t>
  </si>
  <si>
    <t>OS0021</t>
  </si>
  <si>
    <t>OS0053</t>
  </si>
  <si>
    <t>OS0054</t>
  </si>
  <si>
    <t>OS0055</t>
  </si>
  <si>
    <t>OS0056</t>
  </si>
  <si>
    <t>OS0058</t>
  </si>
  <si>
    <t>OS0074</t>
  </si>
  <si>
    <t>BOX NO:07</t>
  </si>
  <si>
    <t>BOX NO:08</t>
  </si>
  <si>
    <t>OS0061</t>
  </si>
  <si>
    <t>OS0062</t>
  </si>
  <si>
    <t>OS0063</t>
  </si>
  <si>
    <t>OS0064</t>
  </si>
  <si>
    <t>OS0073</t>
  </si>
  <si>
    <t>HSN CODE</t>
  </si>
  <si>
    <t>4016 9330</t>
  </si>
  <si>
    <t>RACK / BOX NO</t>
  </si>
  <si>
    <t>OS0009</t>
  </si>
  <si>
    <t>OS0075</t>
  </si>
  <si>
    <t>OS0076</t>
  </si>
  <si>
    <t>OS0077</t>
  </si>
  <si>
    <t>OS0078</t>
  </si>
  <si>
    <t>6307 -zz/ 2Z C3</t>
  </si>
  <si>
    <t>TYRE PH-140</t>
  </si>
  <si>
    <t>TYRE PH-160</t>
  </si>
  <si>
    <t>TYRE PH-178</t>
  </si>
  <si>
    <t>TYRE PH-190</t>
  </si>
  <si>
    <t>TYRE PH-250</t>
  </si>
  <si>
    <t>TYRE F-70</t>
  </si>
  <si>
    <t>TYRE F-160</t>
  </si>
  <si>
    <t>TYRE PH-126</t>
  </si>
  <si>
    <t>TF0001</t>
  </si>
  <si>
    <t>TF0002</t>
  </si>
  <si>
    <t>TF0003</t>
  </si>
  <si>
    <t>TF0004</t>
  </si>
  <si>
    <t>TP0001</t>
  </si>
  <si>
    <t>TP0002</t>
  </si>
  <si>
    <t>TP0003</t>
  </si>
  <si>
    <t>TP0004</t>
  </si>
  <si>
    <t>TP0005</t>
  </si>
  <si>
    <t>TP0006</t>
  </si>
  <si>
    <t>S NO</t>
  </si>
  <si>
    <t>TYRE F-45</t>
  </si>
  <si>
    <t>TYRE F-90</t>
  </si>
  <si>
    <t>4012-9010</t>
  </si>
  <si>
    <t>2213-K-TVH-C3</t>
  </si>
  <si>
    <t>NA 4905</t>
  </si>
  <si>
    <t>22316-E1-XL</t>
  </si>
  <si>
    <t>6001-c-2hrs /2z/C3</t>
  </si>
  <si>
    <t>6212-2z-L140</t>
  </si>
  <si>
    <t>UCP 208-J5</t>
  </si>
  <si>
    <t>22322 E1-XL - C3</t>
  </si>
  <si>
    <t>6204 -C HRS</t>
  </si>
  <si>
    <t>6008- 2Z</t>
  </si>
  <si>
    <t>BE0001</t>
  </si>
  <si>
    <t>BE0002</t>
  </si>
  <si>
    <t>BE0004</t>
  </si>
  <si>
    <t>BE0005</t>
  </si>
  <si>
    <t>BE0006</t>
  </si>
  <si>
    <t>BE0007</t>
  </si>
  <si>
    <t>BE0008</t>
  </si>
  <si>
    <t>BE0009</t>
  </si>
  <si>
    <t>BE0010</t>
  </si>
  <si>
    <t>BE0011</t>
  </si>
  <si>
    <t>BE0012</t>
  </si>
  <si>
    <t>BE0013</t>
  </si>
  <si>
    <t>BE0014</t>
  </si>
  <si>
    <t>BE0015</t>
  </si>
  <si>
    <t>BE0016</t>
  </si>
  <si>
    <t>BE0017</t>
  </si>
  <si>
    <t>BE0018</t>
  </si>
  <si>
    <t>BE0019</t>
  </si>
  <si>
    <t>BE0020</t>
  </si>
  <si>
    <t>BE0021</t>
  </si>
  <si>
    <t>BE0022</t>
  </si>
  <si>
    <t>BE0023</t>
  </si>
  <si>
    <t>BE0024</t>
  </si>
  <si>
    <t>BE0025</t>
  </si>
  <si>
    <t>BE0026</t>
  </si>
  <si>
    <t>BE0027</t>
  </si>
  <si>
    <t>BE0028</t>
  </si>
  <si>
    <t>BE0029</t>
  </si>
  <si>
    <t>BE0030</t>
  </si>
  <si>
    <t>BE0031</t>
  </si>
  <si>
    <t>BE0032</t>
  </si>
  <si>
    <t>BE0033</t>
  </si>
  <si>
    <t>BE0034</t>
  </si>
  <si>
    <t>BE0035</t>
  </si>
  <si>
    <t>BE0036</t>
  </si>
  <si>
    <t>BE0037</t>
  </si>
  <si>
    <t>BE0038</t>
  </si>
  <si>
    <t>BE0039</t>
  </si>
  <si>
    <t>BE0040</t>
  </si>
  <si>
    <t>BE0041</t>
  </si>
  <si>
    <t>BE0042</t>
  </si>
  <si>
    <t>BE0043</t>
  </si>
  <si>
    <t>BE0044</t>
  </si>
  <si>
    <t>BE0045</t>
  </si>
  <si>
    <t>BE0046</t>
  </si>
  <si>
    <t>BE0047</t>
  </si>
  <si>
    <t>BE0048</t>
  </si>
  <si>
    <t>BE0049</t>
  </si>
  <si>
    <t>BE0050</t>
  </si>
  <si>
    <t>BE0051</t>
  </si>
  <si>
    <t>BE0052</t>
  </si>
  <si>
    <t>BE0053</t>
  </si>
  <si>
    <t>BE0054</t>
  </si>
  <si>
    <t>BE0055</t>
  </si>
  <si>
    <t>BE0056</t>
  </si>
  <si>
    <t>BE0057</t>
  </si>
  <si>
    <t>BE0058</t>
  </si>
  <si>
    <t>BE0059</t>
  </si>
  <si>
    <t>BE0060</t>
  </si>
  <si>
    <t>BE0061</t>
  </si>
  <si>
    <t>BE0062</t>
  </si>
  <si>
    <t>BE0063</t>
  </si>
  <si>
    <t>BE0064</t>
  </si>
  <si>
    <t>BE0065</t>
  </si>
  <si>
    <t>BE0066</t>
  </si>
  <si>
    <t>BE0067</t>
  </si>
  <si>
    <t>BE0068</t>
  </si>
  <si>
    <t>BE0069</t>
  </si>
  <si>
    <t>BE0070</t>
  </si>
  <si>
    <t>BE0071</t>
  </si>
  <si>
    <t>BE0072</t>
  </si>
  <si>
    <t>BE0073</t>
  </si>
  <si>
    <t>BE0074</t>
  </si>
  <si>
    <t>BE0075</t>
  </si>
  <si>
    <t>BE0076</t>
  </si>
  <si>
    <t>BE0077</t>
  </si>
  <si>
    <t>BE0078</t>
  </si>
  <si>
    <t>BE0079</t>
  </si>
  <si>
    <t>BE0080</t>
  </si>
  <si>
    <t>BE0081</t>
  </si>
  <si>
    <t>BE0082</t>
  </si>
  <si>
    <t>BE0083</t>
  </si>
  <si>
    <t>BE0084</t>
  </si>
  <si>
    <t>BE0085</t>
  </si>
  <si>
    <t>BE0086</t>
  </si>
  <si>
    <t>BE0087</t>
  </si>
  <si>
    <t>BE0088</t>
  </si>
  <si>
    <t>BE0089</t>
  </si>
  <si>
    <t>BE0090</t>
  </si>
  <si>
    <t>BE0091</t>
  </si>
  <si>
    <t>BE0092</t>
  </si>
  <si>
    <t>BE0093</t>
  </si>
  <si>
    <t>BE0094</t>
  </si>
  <si>
    <t>BE0095</t>
  </si>
  <si>
    <t>BE0096</t>
  </si>
  <si>
    <t>BE0097</t>
  </si>
  <si>
    <t>BE0098</t>
  </si>
  <si>
    <t>BE0099</t>
  </si>
  <si>
    <t>BE0100</t>
  </si>
  <si>
    <t>BE0101</t>
  </si>
  <si>
    <t>BE0102</t>
  </si>
  <si>
    <t>BE0103</t>
  </si>
  <si>
    <t>BE0104</t>
  </si>
  <si>
    <t>BE0105</t>
  </si>
  <si>
    <t>BE0106</t>
  </si>
  <si>
    <t>BE0107</t>
  </si>
  <si>
    <t>BE0108</t>
  </si>
  <si>
    <t>BE0109</t>
  </si>
  <si>
    <t>BE0110</t>
  </si>
  <si>
    <t>BE0111</t>
  </si>
  <si>
    <t>BE0112</t>
  </si>
  <si>
    <t>BE0113</t>
  </si>
  <si>
    <t>BE0114</t>
  </si>
  <si>
    <t>BE0115</t>
  </si>
  <si>
    <t>BE0116</t>
  </si>
  <si>
    <t>BE0117</t>
  </si>
  <si>
    <t>BE0118</t>
  </si>
  <si>
    <t>BE0119</t>
  </si>
  <si>
    <t>BE0120</t>
  </si>
  <si>
    <t>BE0121</t>
  </si>
  <si>
    <t>BE0122</t>
  </si>
  <si>
    <t>BE0123</t>
  </si>
  <si>
    <t>BE0124</t>
  </si>
  <si>
    <t>BE0125</t>
  </si>
  <si>
    <t>BE0126</t>
  </si>
  <si>
    <t>BE0127</t>
  </si>
  <si>
    <t>BE0128</t>
  </si>
  <si>
    <t>BE0129</t>
  </si>
  <si>
    <t>BE0130</t>
  </si>
  <si>
    <t>BE0131</t>
  </si>
  <si>
    <t>BE0132</t>
  </si>
  <si>
    <t>BE0133</t>
  </si>
  <si>
    <t>BE0134</t>
  </si>
  <si>
    <t>BE0135</t>
  </si>
  <si>
    <t>BE0136</t>
  </si>
  <si>
    <t>BE0137</t>
  </si>
  <si>
    <t>BE0138</t>
  </si>
  <si>
    <t>BE0139</t>
  </si>
  <si>
    <t>BE0140</t>
  </si>
  <si>
    <t>BE0141</t>
  </si>
  <si>
    <t>BE0142</t>
  </si>
  <si>
    <t>BE0143</t>
  </si>
  <si>
    <t>BE0144</t>
  </si>
  <si>
    <t>BE0145</t>
  </si>
  <si>
    <t>BE0146</t>
  </si>
  <si>
    <t>BE0147</t>
  </si>
  <si>
    <t>BE0148</t>
  </si>
  <si>
    <t>BE0149</t>
  </si>
  <si>
    <t>BE0150</t>
  </si>
  <si>
    <t>BE0151</t>
  </si>
  <si>
    <t>BE0152</t>
  </si>
  <si>
    <t>BE0153</t>
  </si>
  <si>
    <t>BE0154</t>
  </si>
  <si>
    <t>BE0155</t>
  </si>
  <si>
    <t>BE0156</t>
  </si>
  <si>
    <t>BE0157</t>
  </si>
  <si>
    <t>BE0158</t>
  </si>
  <si>
    <t>BE0159</t>
  </si>
  <si>
    <t>BE0160</t>
  </si>
  <si>
    <t>BE0161</t>
  </si>
  <si>
    <t>BE0162</t>
  </si>
  <si>
    <t>BE0163</t>
  </si>
  <si>
    <t>BE0164</t>
  </si>
  <si>
    <t>BE0165</t>
  </si>
  <si>
    <t>BE0166</t>
  </si>
  <si>
    <t>BE0167</t>
  </si>
  <si>
    <t>BE0168</t>
  </si>
  <si>
    <t>BE0169</t>
  </si>
  <si>
    <t>BE0170</t>
  </si>
  <si>
    <t>TYRE COUPLING F-70</t>
  </si>
  <si>
    <t>TYRE COUPLING PH-106</t>
  </si>
  <si>
    <t>TYRE COUPLING PH-140</t>
  </si>
  <si>
    <t>TYRE COUPLING PH-160</t>
  </si>
  <si>
    <t>TYRE COUPLING PH-178</t>
  </si>
  <si>
    <t>TYRE COUPLING PH-190</t>
  </si>
  <si>
    <t>TCF0001</t>
  </si>
  <si>
    <t>TCP0002</t>
  </si>
  <si>
    <t>TCP0003</t>
  </si>
  <si>
    <t>TCP0004</t>
  </si>
  <si>
    <t>TCP0005</t>
  </si>
  <si>
    <t>TCP0006</t>
  </si>
  <si>
    <t>TCP0007</t>
  </si>
  <si>
    <t>TYRE COUPLING PH-250</t>
  </si>
  <si>
    <t>MECHANICAL COUPLING ( PIN BUSH)</t>
  </si>
  <si>
    <t>CPB0001</t>
  </si>
  <si>
    <t>CPB0002</t>
  </si>
  <si>
    <t>CPB0003</t>
  </si>
  <si>
    <t>FBC-5L (6 HOLES)</t>
  </si>
  <si>
    <t>FBC-6A4 (OD-254, 10 HPLES)</t>
  </si>
  <si>
    <t>CPB0004</t>
  </si>
  <si>
    <t>FGC2-0.5L GARE COUPALING PART(OD-185, 6 HOLES)</t>
  </si>
  <si>
    <t xml:space="preserve">S.NO </t>
  </si>
  <si>
    <t>ITEM DETAILS</t>
  </si>
  <si>
    <t>SWP 80/260</t>
  </si>
  <si>
    <t>MEGA A 40</t>
  </si>
  <si>
    <t>CPC 65/260</t>
  </si>
  <si>
    <t>CPC 150/320</t>
  </si>
  <si>
    <t>ETP SLEEVE</t>
  </si>
  <si>
    <t>VSL 04 SLEEVE</t>
  </si>
  <si>
    <t>TURBO 900 SLEEVE</t>
  </si>
  <si>
    <t>TPR 125/400+C (3VO)</t>
  </si>
  <si>
    <t>TPR 80 /320</t>
  </si>
  <si>
    <t>TPR 250+400+C</t>
  </si>
  <si>
    <t>AAPGC 42/150</t>
  </si>
  <si>
    <t>TURBO SLEEVE 400</t>
  </si>
  <si>
    <t>TPR 150/320</t>
  </si>
  <si>
    <t>SPR + T125/260</t>
  </si>
  <si>
    <t>SPR + T125 /330</t>
  </si>
  <si>
    <t>CPC 50 /320</t>
  </si>
  <si>
    <t>VSL -08 SLEEVE</t>
  </si>
  <si>
    <t>AGITATOR SLEEVES</t>
  </si>
  <si>
    <t>PULPER SLEEVE</t>
  </si>
  <si>
    <t>MECHANICAL PUMP SLEEVE STOCKS AS ON 14/07/2026</t>
  </si>
  <si>
    <t>MPS0001</t>
  </si>
  <si>
    <t>MPS0002</t>
  </si>
  <si>
    <t>MPS0003</t>
  </si>
  <si>
    <t>MPS0004</t>
  </si>
  <si>
    <t>MPS0005</t>
  </si>
  <si>
    <t>MPS0006</t>
  </si>
  <si>
    <t>MPS0007</t>
  </si>
  <si>
    <t>MPS0008</t>
  </si>
  <si>
    <t>MPS0009</t>
  </si>
  <si>
    <t>MPS0010</t>
  </si>
  <si>
    <t>MPS0011</t>
  </si>
  <si>
    <t>MPS0012</t>
  </si>
  <si>
    <t>MPS0013</t>
  </si>
  <si>
    <t>MPS0014</t>
  </si>
  <si>
    <t>MPS0015</t>
  </si>
  <si>
    <t>MPS0016</t>
  </si>
  <si>
    <t>MPS0017</t>
  </si>
  <si>
    <t>MPS0018</t>
  </si>
  <si>
    <t>MPS0019</t>
  </si>
  <si>
    <t>MPS0020</t>
  </si>
  <si>
    <t>MPS0021</t>
  </si>
  <si>
    <t>MPS0022</t>
  </si>
  <si>
    <t>MPS0023</t>
  </si>
  <si>
    <t>MPS0024</t>
  </si>
  <si>
    <t>MPS0025</t>
  </si>
  <si>
    <t>MPS0026</t>
  </si>
  <si>
    <t>MPS0027</t>
  </si>
  <si>
    <t>BOTTOM FAN PUMP SLEEVE</t>
  </si>
  <si>
    <t>HOLY ROLL SLEEVE</t>
  </si>
  <si>
    <t>OD-38 mm -108 LENGTH</t>
  </si>
  <si>
    <t>FGC1-0.5L GEAR COUPALING PART(OD-170, 6 HOLES)</t>
  </si>
  <si>
    <t>AFT PRESSURE SCREEN SLEEVE (OD90XID70XLE229/230)</t>
  </si>
  <si>
    <t>GREEN SPC -PT 4500</t>
  </si>
  <si>
    <t>GREEN SPC 5300</t>
  </si>
  <si>
    <t>GREEN SPC -PT 6000 /BLACK SPC-PT 6000</t>
  </si>
  <si>
    <t>BLACK SPC 8500/ GREEN SPC -8500</t>
  </si>
  <si>
    <t>BLACK XPA 1120</t>
  </si>
  <si>
    <t>BLACK XPA 1450</t>
  </si>
  <si>
    <t>BLACK B 47</t>
  </si>
  <si>
    <t>BLACK C48</t>
  </si>
  <si>
    <t>BLACK A 49</t>
  </si>
  <si>
    <t>BLACK B50</t>
  </si>
  <si>
    <t>BLACK B 58</t>
  </si>
  <si>
    <t>BLACK B 62</t>
  </si>
  <si>
    <t>BLACK C 73</t>
  </si>
  <si>
    <t>GREEN SPA -PT 1220</t>
  </si>
  <si>
    <t>BLACK SPB 1600</t>
  </si>
  <si>
    <t>BLACK B 68</t>
  </si>
  <si>
    <t>BLACK C 103</t>
  </si>
  <si>
    <t>MVB0001</t>
  </si>
  <si>
    <t>MVB0002</t>
  </si>
  <si>
    <t>MVB0003</t>
  </si>
  <si>
    <t>MVB0004</t>
  </si>
  <si>
    <t>MVB0005</t>
  </si>
  <si>
    <t>MVB0006</t>
  </si>
  <si>
    <t>MVB0007</t>
  </si>
  <si>
    <t>MVB0008</t>
  </si>
  <si>
    <t>MVB0009</t>
  </si>
  <si>
    <t>MVB0010</t>
  </si>
  <si>
    <t>MVB0011</t>
  </si>
  <si>
    <t>MVB0012</t>
  </si>
  <si>
    <t>MVB0013</t>
  </si>
  <si>
    <t>MVB0014</t>
  </si>
  <si>
    <t>MVB0015</t>
  </si>
  <si>
    <t>MVB0016</t>
  </si>
  <si>
    <t>MVB0017</t>
  </si>
  <si>
    <t>MVB0018</t>
  </si>
  <si>
    <t>MVB0019</t>
  </si>
  <si>
    <t>MVB0020</t>
  </si>
  <si>
    <t>MVB0021</t>
  </si>
  <si>
    <t>MVB0022</t>
  </si>
  <si>
    <t>MVB0023</t>
  </si>
  <si>
    <t>MVB0024</t>
  </si>
  <si>
    <t>MVB0025</t>
  </si>
  <si>
    <t>MVB0026</t>
  </si>
  <si>
    <t>BLACK C 114/C2952</t>
  </si>
  <si>
    <t>BLACK C 107/C 2774</t>
  </si>
  <si>
    <t>MATERIAL DETAILS</t>
  </si>
  <si>
    <t>SSR0001</t>
  </si>
  <si>
    <t>SSR0002</t>
  </si>
  <si>
    <t>MSR0001</t>
  </si>
  <si>
    <t>MSR0002</t>
  </si>
  <si>
    <t>MSR0003</t>
  </si>
  <si>
    <t>DB0001</t>
  </si>
  <si>
    <t>DB0002</t>
  </si>
  <si>
    <t>DB0003</t>
  </si>
  <si>
    <t>4" BUFFIN WHEEL</t>
  </si>
  <si>
    <t>4" GRINDING WHEEL</t>
  </si>
  <si>
    <t>4" CUTT OFF WHEEL</t>
  </si>
  <si>
    <t>7" CUTT OFF WHEEL</t>
  </si>
  <si>
    <t>7" GRINDING WHEEL</t>
  </si>
  <si>
    <t>14 "CUTT OFF WHEEL</t>
  </si>
  <si>
    <t>EMERY PAPER 36 GRIT -75 MM</t>
  </si>
  <si>
    <t>REWINDER KNIVES</t>
  </si>
  <si>
    <t>REWINDER CUTTER</t>
  </si>
  <si>
    <t>SPR +T 125/320 SLEEVE/SWP</t>
  </si>
  <si>
    <t>V-BELT SPB 1850</t>
  </si>
  <si>
    <t>V-BELT BLACK SP 3300</t>
  </si>
  <si>
    <t>V-BELT GREEN SPB -PT 3150</t>
  </si>
  <si>
    <t>V- BELT GREEN SPC-PT 3750 /BLACK SPC 3750</t>
  </si>
  <si>
    <t>V-BELTBLACK SPB 4250 /GREEN SPB-PT 4250</t>
  </si>
  <si>
    <t>V-BELTBLACK SPC 4300</t>
  </si>
  <si>
    <t>MVB0027</t>
  </si>
  <si>
    <t>BLACK C 104</t>
  </si>
  <si>
    <t>EMERY PAPER 60 GRIT -75 MM</t>
  </si>
  <si>
    <t>ISSUE</t>
  </si>
  <si>
    <t>SUPERON S.S (2.5X350 MM) PKT</t>
  </si>
  <si>
    <t>MANGLAM M.S (2.50X350 MM) PKT</t>
  </si>
  <si>
    <t>MANGLAM M.S (3.15X350 MM) PKT</t>
  </si>
  <si>
    <t>MANDLAM M.S (4.00X450 MM) PKT</t>
  </si>
  <si>
    <t>S.S BALL VALVE 15MM</t>
  </si>
  <si>
    <t>S.S BALL VALVE 20MM (3/4)</t>
  </si>
  <si>
    <t>S.S BALL VALVE 25MM / C.I BALL VALVE</t>
  </si>
  <si>
    <t>S.S BALL VALVE 32MM</t>
  </si>
  <si>
    <t>S.S BALL VALVE 40MM</t>
  </si>
  <si>
    <t>2 1/2" PISTON VALVE</t>
  </si>
  <si>
    <t>S.S DISC CHECK VALVE 1 1/2"</t>
  </si>
  <si>
    <t>C.I WAFER CHECK VALVE -4"</t>
  </si>
  <si>
    <t>4" FOOT VALVE</t>
  </si>
  <si>
    <t>MV0001</t>
  </si>
  <si>
    <t>MV0002</t>
  </si>
  <si>
    <t>MV0003</t>
  </si>
  <si>
    <t>MV0004</t>
  </si>
  <si>
    <t>MV0005</t>
  </si>
  <si>
    <t>MV0006</t>
  </si>
  <si>
    <t>MV0007</t>
  </si>
  <si>
    <t>MV0008</t>
  </si>
  <si>
    <t>MV0009</t>
  </si>
  <si>
    <t>MV0010</t>
  </si>
  <si>
    <t>MV0011</t>
  </si>
  <si>
    <t>MV0012</t>
  </si>
  <si>
    <t>MV0013</t>
  </si>
  <si>
    <t>MV0014</t>
  </si>
  <si>
    <t>MV0015</t>
  </si>
  <si>
    <t>MV0016</t>
  </si>
  <si>
    <t>MV0017</t>
  </si>
  <si>
    <t>MV0018</t>
  </si>
  <si>
    <t>MV0019</t>
  </si>
  <si>
    <t>MV0020</t>
  </si>
  <si>
    <t>MV0021</t>
  </si>
  <si>
    <t>MV0022</t>
  </si>
  <si>
    <t>MV0023</t>
  </si>
  <si>
    <t>MV0024</t>
  </si>
  <si>
    <t>MV0025</t>
  </si>
  <si>
    <t>MV0026</t>
  </si>
  <si>
    <t>MV0027</t>
  </si>
  <si>
    <t>MV0028</t>
  </si>
  <si>
    <t>MV0029</t>
  </si>
  <si>
    <t>MV0030</t>
  </si>
  <si>
    <t>MV0031</t>
  </si>
  <si>
    <t>MV0032</t>
  </si>
  <si>
    <t>MV0033</t>
  </si>
  <si>
    <t>MV0034</t>
  </si>
  <si>
    <t>MV0035</t>
  </si>
  <si>
    <t>1.5 " GLOBE VALVE</t>
  </si>
  <si>
    <t>C.I BODY S.S DISC BUTTERFLY VALVE 2"</t>
  </si>
  <si>
    <t>C.I BODY S.S DISC BUTTERFLY VALVE 2.5"</t>
  </si>
  <si>
    <t>C.I BODY S.S DISC BUTTERFLY VALVE 3"</t>
  </si>
  <si>
    <t>C.I BODY S.S DISC BUTTERFLY VALVE 4"</t>
  </si>
  <si>
    <t>C.I BODY S.S DISC BUTTERFLY VALVE 6"</t>
  </si>
  <si>
    <t>C.I BODY S.S DISC BUTTERFLY VALVE 8"</t>
  </si>
  <si>
    <t>S.S BALL VALVE WITH 4" (100MM)</t>
  </si>
  <si>
    <t>1" BLOW DOWN VALVE</t>
  </si>
  <si>
    <t>1.5" BLOW DOWN VALVE</t>
  </si>
  <si>
    <t>PLATE VALVE 3" (KNIFE GATE VALVE)</t>
  </si>
  <si>
    <t>PLATE VALVE 4" (KNIFE GATE VALVE)</t>
  </si>
  <si>
    <t>PLATE VALVE 5" (KNIFE GATE VALVE)</t>
  </si>
  <si>
    <t>PLATE VALVE 6" (KNIFE GATE VALVE)</t>
  </si>
  <si>
    <t>PLATE VALVE 8" (KNIFE GATE VALVE)</t>
  </si>
  <si>
    <t>S.S 304 BALL VALVE WITH FLANGE 1' 1/2" (40 MM)</t>
  </si>
  <si>
    <t>S.S BALL VALVE 3/8"</t>
  </si>
  <si>
    <t>S.S BALL VALVE 50MM</t>
  </si>
  <si>
    <t>CPC 100/320</t>
  </si>
  <si>
    <t>GUN METAL(OD50XID75XLE210 MM)/S.S 316 (ID63XID70XLE130 MM)</t>
  </si>
  <si>
    <t>SEPRATOR SLEEVE 25X32X75 MM</t>
  </si>
  <si>
    <t>MV0036</t>
  </si>
  <si>
    <t>22220 E1-XL-K</t>
  </si>
  <si>
    <t>22222 E1 AM C3</t>
  </si>
  <si>
    <t>CHECKNUT WASHER MB 09</t>
  </si>
  <si>
    <t>CHECKNUT WASHER MB 12</t>
  </si>
  <si>
    <t>CHECKNUT WASHER MB 13</t>
  </si>
  <si>
    <t>CHECKNUT WASHER MB 14</t>
  </si>
  <si>
    <t>CHECKNUT WASHER MB 18</t>
  </si>
  <si>
    <t>CHECKNUT WASHER MB 19</t>
  </si>
  <si>
    <t>CHECKNUT WASHER MB 20</t>
  </si>
  <si>
    <t>CHECKNUT WASHER MB 21</t>
  </si>
  <si>
    <t>CHECKNUT WASHER MB 22</t>
  </si>
  <si>
    <t>CHECKNUT WASHER MB 24</t>
  </si>
  <si>
    <t>CHECKNUT WASHER MB 40</t>
  </si>
  <si>
    <t>CHECKNUT LOCK KM -09</t>
  </si>
  <si>
    <t>CHECKNUT LOCK KM -12</t>
  </si>
  <si>
    <t>CHECKNUT LOCK KM -13</t>
  </si>
  <si>
    <t>CHECKNUT LOCK KM -14</t>
  </si>
  <si>
    <t>CHECKNUT LOCK KM -16</t>
  </si>
  <si>
    <t>CHECKNUT LOCK KM -18</t>
  </si>
  <si>
    <t>CHECKNUT LOCK KM -19</t>
  </si>
  <si>
    <t>CHECKNUT LOCK KM -20</t>
  </si>
  <si>
    <t>CHECKNUT LOCK KM -21</t>
  </si>
  <si>
    <t>CHECKNUT LOCK KM -22</t>
  </si>
  <si>
    <t>CHECKNUT LOCK KM -24</t>
  </si>
  <si>
    <t>MCNW0001</t>
  </si>
  <si>
    <t>MCNW0002</t>
  </si>
  <si>
    <t>MCNW0003</t>
  </si>
  <si>
    <t>MCNW0004</t>
  </si>
  <si>
    <t>MCNW0005</t>
  </si>
  <si>
    <t>MCNW0006</t>
  </si>
  <si>
    <t>MCNW0007</t>
  </si>
  <si>
    <t>MCNW0008</t>
  </si>
  <si>
    <t>MCNW0009</t>
  </si>
  <si>
    <t>MCNW0010</t>
  </si>
  <si>
    <t>MCNW0011</t>
  </si>
  <si>
    <t>MCNW0012</t>
  </si>
  <si>
    <t>MCNW0013</t>
  </si>
  <si>
    <t>MCNW0014</t>
  </si>
  <si>
    <t>MCNW0015</t>
  </si>
  <si>
    <t>MCNW0016</t>
  </si>
  <si>
    <t>MCNW0017</t>
  </si>
  <si>
    <t>MCNW0018</t>
  </si>
  <si>
    <t>MCNW0019</t>
  </si>
  <si>
    <t>MCNW0020</t>
  </si>
  <si>
    <t>MCNW0021</t>
  </si>
  <si>
    <t>MCNW0022</t>
  </si>
  <si>
    <t>MCNW0023</t>
  </si>
  <si>
    <t>CHECKNUT LOCK KM -32</t>
  </si>
  <si>
    <t>CHECKNUT LOCK KM -315</t>
  </si>
  <si>
    <t>CHECKNUT WASHER MB 16</t>
  </si>
  <si>
    <t>CHECKNUT WASHER MB 44</t>
  </si>
  <si>
    <t>MCNW0024</t>
  </si>
  <si>
    <t>MCNW0025</t>
  </si>
  <si>
    <t>MCNW0026</t>
  </si>
  <si>
    <t xml:space="preserve">S.S 304 BALL VALVE WITH FLANGE 1' </t>
  </si>
  <si>
    <t>C.I BODY S.S DISC BUTTERFLY VALVE 12"</t>
  </si>
  <si>
    <t>S.S 304 BALL VALVE WITH FLANGE 2'</t>
  </si>
  <si>
    <t>S.S 304 BALL VALVE WITH FLANGE 2' 1/2"</t>
  </si>
  <si>
    <t>S.S BALL VALVE 8/10MM</t>
  </si>
  <si>
    <t xml:space="preserve">S.S BALL VALVE 6MM </t>
  </si>
  <si>
    <t>S.S NEEDLE VALVE 1/2"</t>
  </si>
  <si>
    <t>MV0037</t>
  </si>
  <si>
    <t>3' GLOBE VALVE / NRV (BOILER)</t>
  </si>
  <si>
    <t>6309-zz / L140</t>
  </si>
  <si>
    <t xml:space="preserve">22322 E1-XL </t>
  </si>
  <si>
    <t>MNRV001</t>
  </si>
  <si>
    <t>MNRV002</t>
  </si>
  <si>
    <t>MNRV003</t>
  </si>
  <si>
    <t>SS PLATE NRV 50 MM</t>
  </si>
  <si>
    <t>SS PLATE NRV 25 MM</t>
  </si>
  <si>
    <t>SS PLATE NRV 40 MM</t>
  </si>
  <si>
    <t>MNRV004</t>
  </si>
  <si>
    <t>SS PLATE NRV 80 MM</t>
  </si>
  <si>
    <t>MNRV005</t>
  </si>
  <si>
    <t>SS PLATE NRV 100 MM</t>
  </si>
  <si>
    <t>MNRV006</t>
  </si>
  <si>
    <t>SS PLATE NRV 150 MM</t>
  </si>
  <si>
    <t>MNRV007</t>
  </si>
  <si>
    <t>CI PLATE NRV 65 MM</t>
  </si>
  <si>
    <t>MNRV008</t>
  </si>
  <si>
    <t>CI PLATE NRV 80 MM</t>
  </si>
  <si>
    <t>MNRV009</t>
  </si>
  <si>
    <t>CI PLATE NRV 100 MM</t>
  </si>
  <si>
    <t>MV0038</t>
  </si>
  <si>
    <t>S.S DISC CHECK VALVE 25 MM</t>
  </si>
  <si>
    <t>MV0039</t>
  </si>
  <si>
    <t>S.S DISC CHECK VALVE 40 MM</t>
  </si>
  <si>
    <t>MV0040</t>
  </si>
  <si>
    <t>S.S DISC CHECK VALVE 50 MM</t>
  </si>
  <si>
    <t>MV0041</t>
  </si>
  <si>
    <t>S.S DISC CHECK VALVE 80 MM</t>
  </si>
  <si>
    <t>MV0042</t>
  </si>
  <si>
    <t>S.S DISC CHECK VALVE 100 MM</t>
  </si>
  <si>
    <t>MV0043</t>
  </si>
  <si>
    <t>3" PLATE VALVE</t>
  </si>
  <si>
    <t>24184 CCK/W33/K M HD</t>
  </si>
  <si>
    <t>Messuring Guage 150mmx1/2" mm bar/mm wc -100/1000</t>
  </si>
  <si>
    <r>
      <t>Messuring Guage 0 to 40 kg 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PSI (100mmx1/2" BSP)</t>
    </r>
  </si>
  <si>
    <r>
      <t>Messuring Guage 0 to 10 kg 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PSI (100mmx1/2" NPT)</t>
    </r>
  </si>
  <si>
    <r>
      <t>Messuring Guage 0 to 7 kg 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PSI (80mmx3/8" BSP)</t>
    </r>
  </si>
  <si>
    <t>3309B-TVH-C3</t>
  </si>
  <si>
    <r>
      <t>Messuring Guage 0 to 140 kg 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(25MMX1/4 )</t>
    </r>
    <r>
      <rPr>
        <vertAlign val="superscript"/>
        <sz val="11"/>
        <color theme="1"/>
        <rFont val="Calibri"/>
        <family val="2"/>
        <scheme val="minor"/>
      </rPr>
      <t xml:space="preserve">   </t>
    </r>
  </si>
  <si>
    <r>
      <t>Messuring Guage 0 to 10 kg 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(25MMX1/4 BSP)</t>
    </r>
    <r>
      <rPr>
        <vertAlign val="superscript"/>
        <sz val="11"/>
        <color theme="1"/>
        <rFont val="Calibri"/>
        <family val="2"/>
        <scheme val="minor"/>
      </rPr>
      <t xml:space="preserve">   </t>
    </r>
  </si>
  <si>
    <t>OXYGEN REGULATER DOUBLE GUAGE</t>
  </si>
  <si>
    <r>
      <t>Messuring Guage 0 to 6 kg /cm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FM (150MMX1/2" BSP</t>
    </r>
  </si>
  <si>
    <r>
      <t>Pressue Guage 0 to 16 kg/cm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(150mmX1/2" BSP)</t>
    </r>
  </si>
  <si>
    <t>Temperature Guage 0 to 300 C (P163.59-00160)-150MM-1/2" BSP</t>
  </si>
  <si>
    <t>Temperature Guage 0 to 200 C  (BAUMER MAKE)</t>
  </si>
  <si>
    <t>Messureing Guage 0 to 28 kg cm /2, 0 to 400  (12"X 1/2" BSP)</t>
  </si>
  <si>
    <r>
      <t>Messuring Guage 0 to 7 (lb/in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/(kg /cm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)FM (25MMX1/4 BSP)</t>
    </r>
    <r>
      <rPr>
        <vertAlign val="superscript"/>
        <sz val="11"/>
        <color theme="1"/>
        <rFont val="Calibri"/>
        <family val="2"/>
        <scheme val="minor"/>
      </rPr>
      <t xml:space="preserve">   </t>
    </r>
  </si>
  <si>
    <t>MGU0001</t>
  </si>
  <si>
    <t>MGU0002</t>
  </si>
  <si>
    <t>MGU0003</t>
  </si>
  <si>
    <t>MGU0004</t>
  </si>
  <si>
    <t>MGU0005</t>
  </si>
  <si>
    <t>MGU0006</t>
  </si>
  <si>
    <t>MGU0007</t>
  </si>
  <si>
    <t>MGU0008</t>
  </si>
  <si>
    <t>MGU0009</t>
  </si>
  <si>
    <t>MGU0010</t>
  </si>
  <si>
    <t>MGU0011</t>
  </si>
  <si>
    <t>MGU0012</t>
  </si>
  <si>
    <t>MGU0013</t>
  </si>
  <si>
    <t>MGU0014</t>
  </si>
  <si>
    <t>SPR+T 125/260</t>
  </si>
  <si>
    <t>SPR+T 125/330</t>
  </si>
  <si>
    <t>WP 80/260</t>
  </si>
  <si>
    <t>APPC 42 /150</t>
  </si>
  <si>
    <t>TPR 125/400 (3VO)</t>
  </si>
  <si>
    <t>SEPRATOR</t>
  </si>
  <si>
    <t>BOTTOM FAN PUMP SHAFT</t>
  </si>
  <si>
    <t>VSL-08 PRESSURE SCREEN SHAFT</t>
  </si>
  <si>
    <t>GREEN &amp; BLACK SPC-PT 4750</t>
  </si>
  <si>
    <t>S.S 1/2" COLLER</t>
  </si>
  <si>
    <t>S.S 1" COLLER</t>
  </si>
  <si>
    <t>S.S 1.5" COLLER</t>
  </si>
  <si>
    <t>S.S 2" COLLER</t>
  </si>
  <si>
    <t>S.S 2.5 " COLLER</t>
  </si>
  <si>
    <t>S.S 3 " COLLER</t>
  </si>
  <si>
    <t>S.S 4 " COLLER</t>
  </si>
  <si>
    <t>S.S 5" COLLER</t>
  </si>
  <si>
    <t>S.S 6" COLLER</t>
  </si>
  <si>
    <t>S.S 8 " COLLER</t>
  </si>
  <si>
    <t>S.S 10" COLLER</t>
  </si>
  <si>
    <t>S.S 12" COLLER</t>
  </si>
  <si>
    <t>S.S 14 " COLLER</t>
  </si>
  <si>
    <t>S.S 16" COLLER</t>
  </si>
  <si>
    <t>S.S BEND 1/2"</t>
  </si>
  <si>
    <t>S.S 1" BEND</t>
  </si>
  <si>
    <t>S.S 1.25" BEND</t>
  </si>
  <si>
    <t>S.S 1 1/2 " BEND</t>
  </si>
  <si>
    <t>S.S 2" BEND</t>
  </si>
  <si>
    <t>S.S 2.5" BEND</t>
  </si>
  <si>
    <t>S.S 3" BEND</t>
  </si>
  <si>
    <t>S.S 4" BEND</t>
  </si>
  <si>
    <t>S.S 5" BEND</t>
  </si>
  <si>
    <t>S.S 6" BEND</t>
  </si>
  <si>
    <t>S.S 8" BEND</t>
  </si>
  <si>
    <t>M.S FLANGE 1/2"</t>
  </si>
  <si>
    <t>M.S FLANGE 1 "</t>
  </si>
  <si>
    <t>M.S FLANGE 1 1/2 " or 1.5 "</t>
  </si>
  <si>
    <t>M.S FLANGE 2"</t>
  </si>
  <si>
    <t>M.S FLANGE 2.5"</t>
  </si>
  <si>
    <t>M.S FLANGE 3 "</t>
  </si>
  <si>
    <t>M.S FLANGE 4"</t>
  </si>
  <si>
    <t>M.S FLANGE 5"</t>
  </si>
  <si>
    <t>M.S FLANGE 6"</t>
  </si>
  <si>
    <t>M.S FLANGE 8"</t>
  </si>
  <si>
    <t>STEAMLINE 3" FLANGES</t>
  </si>
  <si>
    <t>CPC 100/320 WITH CHECKNUT</t>
  </si>
  <si>
    <t>SPR +T 125/400</t>
  </si>
  <si>
    <t>CPC 150 -320</t>
  </si>
  <si>
    <t>CPC 65-260</t>
  </si>
  <si>
    <t>SPR+T 125/260 GLAND COVER (5VO)</t>
  </si>
  <si>
    <t>SPR+ T125/260 STUFFING BOX</t>
  </si>
  <si>
    <t>SPR+ T125/330 STUFFING BOX</t>
  </si>
  <si>
    <t>SWP 125/320</t>
  </si>
  <si>
    <t>SPR+T 125/260 CASING COVER</t>
  </si>
  <si>
    <t>CPC 125/320 IMPELLER</t>
  </si>
  <si>
    <t>TURBO 400 IMPELLER</t>
  </si>
  <si>
    <t>TURBO 400 SCREEN PLATE</t>
  </si>
  <si>
    <t>MIMP001</t>
  </si>
  <si>
    <t>MIMP002</t>
  </si>
  <si>
    <t>MIMP003</t>
  </si>
  <si>
    <t>MIMP004</t>
  </si>
  <si>
    <t>MIMP005</t>
  </si>
  <si>
    <t>MIMP006</t>
  </si>
  <si>
    <t>MIMP007</t>
  </si>
  <si>
    <t>MIMP008</t>
  </si>
  <si>
    <t>MIMP009</t>
  </si>
  <si>
    <t>MIMP010</t>
  </si>
  <si>
    <t>MIMP011</t>
  </si>
  <si>
    <t>MIMP012</t>
  </si>
  <si>
    <t>MIMP013</t>
  </si>
  <si>
    <t>MIMP014</t>
  </si>
  <si>
    <t>MIMP015</t>
  </si>
  <si>
    <t>MIMP016</t>
  </si>
  <si>
    <t>MIMP017</t>
  </si>
  <si>
    <t>MIMP018</t>
  </si>
  <si>
    <t>MIMP019</t>
  </si>
  <si>
    <t>MIMP020</t>
  </si>
  <si>
    <t>MIMP021</t>
  </si>
  <si>
    <t>TPR 80/320 (OPEN IMPELLER)</t>
  </si>
  <si>
    <t>SPR+T 125/260 WEAR PLATE /SIDE PLATE</t>
  </si>
  <si>
    <t>APPC 42 /150 WEAR PLATE -1SET</t>
  </si>
  <si>
    <t>MIMP022</t>
  </si>
  <si>
    <t>CPC 100/320 BEARING BED /HOUSING</t>
  </si>
  <si>
    <t>MIMP023</t>
  </si>
  <si>
    <t>CPC 100/320 CAP OUTER ,</t>
  </si>
  <si>
    <t>MIMP024</t>
  </si>
  <si>
    <t>CPC 100/320 CAP INNER</t>
  </si>
  <si>
    <t>MIMP025</t>
  </si>
  <si>
    <t>SPR +T 125/330 CAP OUTER SAM TURB ( PART NO: 37.21 )</t>
  </si>
  <si>
    <t>MIMP026</t>
  </si>
  <si>
    <t>SPR +T 125/330 CAP INNER</t>
  </si>
  <si>
    <t>GMSB0001</t>
  </si>
  <si>
    <t>1/2"X2" MS BOLT &amp; NUT, WASHER</t>
  </si>
  <si>
    <t>7318-1500</t>
  </si>
  <si>
    <t>GMSB0002</t>
  </si>
  <si>
    <t>1/2"X4" MS BOLT &amp; NUT, WASHER</t>
  </si>
  <si>
    <t>GMSB0003</t>
  </si>
  <si>
    <t>1/2"X3" MS BOLT &amp; NUT, WASHER</t>
  </si>
  <si>
    <t>GMSB0004</t>
  </si>
  <si>
    <t>1/2"X6" MS BOLT &amp; NUT, WASHER</t>
  </si>
  <si>
    <t>GMSB0005</t>
  </si>
  <si>
    <t>3/8"X2" MS BOLT &amp; NUT, WASHER</t>
  </si>
  <si>
    <t>GMSB0006</t>
  </si>
  <si>
    <t>3/8"X2 1/2" MS BOLT &amp; NUT, WASHER</t>
  </si>
  <si>
    <t>GMSB0007</t>
  </si>
  <si>
    <t>3/8"X3" MS BOLT &amp; NUT, WASHER</t>
  </si>
  <si>
    <t>GMSB0008</t>
  </si>
  <si>
    <t>3/4"X2" MS BOLT &amp; NUT, WASHER</t>
  </si>
  <si>
    <t>GMSB0009</t>
  </si>
  <si>
    <t>3/4"X5" MS BOLT &amp; NUT, WASHER</t>
  </si>
  <si>
    <t>GMSB0010</t>
  </si>
  <si>
    <t>5/8"X2" MS BOLT &amp; NUT, WASHER</t>
  </si>
  <si>
    <t>GMSB0011</t>
  </si>
  <si>
    <t>5/8"X3" MS BOLT &amp; NUT, WASHER</t>
  </si>
  <si>
    <t>GMSB0012</t>
  </si>
  <si>
    <t>5/8"X4" MS BOLT &amp; NUT, WASHER</t>
  </si>
  <si>
    <t>GMSB0013</t>
  </si>
  <si>
    <t>5/8"X5" MS BOLT &amp; NUT, WASHER</t>
  </si>
  <si>
    <t>GMSB0014</t>
  </si>
  <si>
    <t>5/8"X6" MS BOLT &amp; NUT, WASHER</t>
  </si>
  <si>
    <t>GMSB0015</t>
  </si>
  <si>
    <t>5/8"X7" MS BOLT &amp; NUT, WASHER</t>
  </si>
  <si>
    <t>GMSB0016</t>
  </si>
  <si>
    <t>12mmX75mm MS BOLT &amp; NUT, WASHER</t>
  </si>
  <si>
    <t>GHTBN0001</t>
  </si>
  <si>
    <t xml:space="preserve">10mmX75mm HTAC </t>
  </si>
  <si>
    <t>GHTBN0002</t>
  </si>
  <si>
    <t xml:space="preserve">12mmX40/50mm HTAC </t>
  </si>
  <si>
    <t>GHTBN0003</t>
  </si>
  <si>
    <t xml:space="preserve">14mmX50/65mm HTAC </t>
  </si>
  <si>
    <t>GHTBN0004</t>
  </si>
  <si>
    <t xml:space="preserve">16mmX25/40/75mm HTAC </t>
  </si>
  <si>
    <t>GSSAB0001</t>
  </si>
  <si>
    <t>12mmX2 1/2" SS ALLEN BOLT</t>
  </si>
  <si>
    <t>GSSAB0002</t>
  </si>
  <si>
    <t>16mmX1 1/2" SS ALLEN BOLT</t>
  </si>
  <si>
    <t>GSSAB0003</t>
  </si>
  <si>
    <t>16mm X 2" SS ALLEN BOLT</t>
  </si>
  <si>
    <t>GSSAB0004</t>
  </si>
  <si>
    <t>16mm X 2 1/2" SS ALLEN BOLT</t>
  </si>
  <si>
    <t>GSSAB0005</t>
  </si>
  <si>
    <t>3/8" X 2" SS ALLEN BOLT</t>
  </si>
  <si>
    <t>GSSAB0006</t>
  </si>
  <si>
    <t>10mm X 2" SS ALLEN BOLT</t>
  </si>
  <si>
    <t>GSSAB0007</t>
  </si>
  <si>
    <t>10mm X 2 1/2" SS ALLEN BOLT</t>
  </si>
  <si>
    <t>GSSAB0008</t>
  </si>
  <si>
    <t>8mm X 2" SS ALLEN BOLT</t>
  </si>
  <si>
    <t>GSSAB0009</t>
  </si>
  <si>
    <t>8mm X 2 1/2" SS ALLEN BOLT</t>
  </si>
  <si>
    <t>GSSCAS0001</t>
  </si>
  <si>
    <t>12mm X 1" SS CSK ALLEN SCREW</t>
  </si>
  <si>
    <t>GSSCAS0002</t>
  </si>
  <si>
    <t>10mm X 1/2" SS CSK ALLEN SCREW</t>
  </si>
  <si>
    <t>GSSCAS0003</t>
  </si>
  <si>
    <t>12mm X 3/4" SS CSK ALLEN SCREW</t>
  </si>
  <si>
    <t>GSSCAS0004</t>
  </si>
  <si>
    <t>3/8" X 2 1/2" SS CSK ALLEN SCREW</t>
  </si>
  <si>
    <t>GSSCS0001</t>
  </si>
  <si>
    <t>5/16" X 2 1/2" SS CSK SCREW</t>
  </si>
  <si>
    <t>7317-1400</t>
  </si>
  <si>
    <t>GSSCS0002</t>
  </si>
  <si>
    <t>5/16" X 1 1/4" SS CSK SCREW</t>
  </si>
  <si>
    <t>GSSCS0003</t>
  </si>
  <si>
    <t>GSSBN0001</t>
  </si>
  <si>
    <t>8mm X 2" SS BOLT &amp; NUT</t>
  </si>
  <si>
    <t>GSSBN0002</t>
  </si>
  <si>
    <t>1/4" X 3" SS BOLT &amp; NUT</t>
  </si>
  <si>
    <t>GSSBN0003</t>
  </si>
  <si>
    <t>3/8" X 3" SS BOLT &amp; NUT</t>
  </si>
  <si>
    <t>GSSBN0004</t>
  </si>
  <si>
    <t>10mm X 3" SS BOLT &amp; NUT</t>
  </si>
  <si>
    <t>GSSBN0005</t>
  </si>
  <si>
    <t>14mm X 2" SS BOLT &amp; NUT</t>
  </si>
  <si>
    <t>GSSBN0006</t>
  </si>
  <si>
    <t>12mm X 2" SS BOLT &amp; NUT</t>
  </si>
  <si>
    <t>GSSBN0007</t>
  </si>
  <si>
    <t>1/2" X 2" SS BOLT &amp; NUT</t>
  </si>
  <si>
    <t>GSSBN0008</t>
  </si>
  <si>
    <t>16mm  X 1 1/2" SS BOLT &amp; NUT</t>
  </si>
  <si>
    <t>GSSBN0009</t>
  </si>
  <si>
    <t>1/2" X 4" SS BOLT &amp; NUT</t>
  </si>
  <si>
    <t>GSSBN0010</t>
  </si>
  <si>
    <t>5/8" X 5" SS BOLT &amp; NUT</t>
  </si>
  <si>
    <t>GSSBN0011</t>
  </si>
  <si>
    <t>3/4" X 4" SS BOLT &amp; NUT</t>
  </si>
  <si>
    <t>GSSBN0012</t>
  </si>
  <si>
    <t>1" X 1/2" SS BOLT &amp; NUT</t>
  </si>
  <si>
    <t>GSSBN0013</t>
  </si>
  <si>
    <t>1" X 2" SS BOLT &amp; NUT</t>
  </si>
  <si>
    <t>GSSBN0014</t>
  </si>
  <si>
    <t>3/8" X 4" SS BOLT &amp; NUT</t>
  </si>
  <si>
    <t>GSSBN0015</t>
  </si>
  <si>
    <t>5/8" X 4" SS BOLT &amp; NUT</t>
  </si>
  <si>
    <t>GSSBN0016</t>
  </si>
  <si>
    <t>16MM X 3" SS BOLT &amp; NUT</t>
  </si>
  <si>
    <t>GSSBN0017</t>
  </si>
  <si>
    <t>1" X 4" SS BOLT &amp; NUT</t>
  </si>
  <si>
    <t>GSSBN0018</t>
  </si>
  <si>
    <t>3/4" X 2" SS BOLT &amp; NUT</t>
  </si>
  <si>
    <t>GSSBN0019</t>
  </si>
  <si>
    <t>3/4" X 3" SS BOLT &amp; NUT</t>
  </si>
  <si>
    <t>GSSBN0020</t>
  </si>
  <si>
    <t>3/8" X 2 1/2" SS BOLT &amp; NUT</t>
  </si>
  <si>
    <t>GSSSB001</t>
  </si>
  <si>
    <t>12mmX2 1/2" STUD BOLT</t>
  </si>
  <si>
    <t>GSSSB002</t>
  </si>
  <si>
    <t>7/8" X 1 1/2" STUD BOLT</t>
  </si>
  <si>
    <t>GSSSB003</t>
  </si>
  <si>
    <t>3/4" X 7" STUD BOLT</t>
  </si>
  <si>
    <t>GSSSB004</t>
  </si>
  <si>
    <t>1" X 400mm STUD BOLT</t>
  </si>
  <si>
    <t>GSSSB005</t>
  </si>
  <si>
    <t>1 1/4" X 400mm STUD BOLT</t>
  </si>
  <si>
    <t>GSSFT001</t>
  </si>
  <si>
    <t>1 1/2" X 400mm FULL THRED BOLT</t>
  </si>
  <si>
    <t>7318-1900</t>
  </si>
  <si>
    <t>1 1/4" X 400mm FULL THRED BOLT</t>
  </si>
  <si>
    <t>3/8"X4" MS BOLT &amp; NUT, WASHER</t>
  </si>
  <si>
    <t>BOLT &amp; NUT STOCK AS ON</t>
  </si>
  <si>
    <t>M.S FLANGE 10"</t>
  </si>
  <si>
    <t>M.S FLANGE 12"</t>
  </si>
  <si>
    <t>M.S FLANGE 14"</t>
  </si>
  <si>
    <t>M.S FLANGE 16"</t>
  </si>
  <si>
    <t>MSSC0001</t>
  </si>
  <si>
    <t>MSSC0002</t>
  </si>
  <si>
    <t>MSSC0003</t>
  </si>
  <si>
    <t>MSSC0004</t>
  </si>
  <si>
    <t>MSSC0005</t>
  </si>
  <si>
    <t>MSSC0006</t>
  </si>
  <si>
    <t>MSSC0007</t>
  </si>
  <si>
    <t>MSSC0008</t>
  </si>
  <si>
    <t>MSSC0009</t>
  </si>
  <si>
    <t>MSSC0010</t>
  </si>
  <si>
    <t>MSSC0011</t>
  </si>
  <si>
    <t>MSSC0012</t>
  </si>
  <si>
    <t>MSSC0013</t>
  </si>
  <si>
    <t>MSSC0014</t>
  </si>
  <si>
    <t>MSSR0001</t>
  </si>
  <si>
    <t>MSSR0002</t>
  </si>
  <si>
    <t>MSSR0003</t>
  </si>
  <si>
    <t>MSSR0004</t>
  </si>
  <si>
    <t>MSSR0005</t>
  </si>
  <si>
    <t>MSSR0006</t>
  </si>
  <si>
    <t>MSSR0007</t>
  </si>
  <si>
    <t>MSSR0008</t>
  </si>
  <si>
    <t>MSSBE001</t>
  </si>
  <si>
    <t>MSSBE002</t>
  </si>
  <si>
    <t>MSSBE003</t>
  </si>
  <si>
    <t>MSSBE004</t>
  </si>
  <si>
    <t>MSSBE005</t>
  </si>
  <si>
    <t>MSSBE006</t>
  </si>
  <si>
    <t>MSSBE007</t>
  </si>
  <si>
    <t>MSSBE008</t>
  </si>
  <si>
    <t>MSSBE009</t>
  </si>
  <si>
    <t>MSSBE010</t>
  </si>
  <si>
    <t>MSSBE011</t>
  </si>
  <si>
    <t>MMSF0001</t>
  </si>
  <si>
    <t>MMSF0002</t>
  </si>
  <si>
    <t>MMSF0003</t>
  </si>
  <si>
    <t>MMSF0004</t>
  </si>
  <si>
    <t>MMSF0005</t>
  </si>
  <si>
    <t>MMSF0006</t>
  </si>
  <si>
    <t>MMSF0007</t>
  </si>
  <si>
    <t>MMSF0008</t>
  </si>
  <si>
    <t>MMSF0009</t>
  </si>
  <si>
    <t>MMSF0010</t>
  </si>
  <si>
    <t>MMSF0011</t>
  </si>
  <si>
    <t>MMSF0012</t>
  </si>
  <si>
    <t>MMSF0013</t>
  </si>
  <si>
    <t>MMSF0014</t>
  </si>
  <si>
    <t>MSTF0001</t>
  </si>
  <si>
    <t>MSTF0002</t>
  </si>
  <si>
    <t>MSSBE012</t>
  </si>
  <si>
    <t>S.S 10" BEND</t>
  </si>
  <si>
    <t>S.S 1.5" X 2 " REDUCER</t>
  </si>
  <si>
    <t>S.S 2 1/2 " X 3" REDUCER</t>
  </si>
  <si>
    <t>S.S 2" X 4" REDUCER</t>
  </si>
  <si>
    <t>S.S 2 1/2" X 4 REDUCER</t>
  </si>
  <si>
    <t>S.S 3 " X 4 " REDUCER</t>
  </si>
  <si>
    <t>S.S 5" X 6" REDUCER</t>
  </si>
  <si>
    <t>S.S 6 X 4 REDUCER</t>
  </si>
  <si>
    <t>Vaccum Gauge 0 to 760 mm Hg 1/2" Bspt Dial 6"</t>
  </si>
  <si>
    <t>GSSBN0021</t>
  </si>
  <si>
    <t>3/8" X 1 1/4 SS BOLT &amp; NUT</t>
  </si>
  <si>
    <t>GSSBN0022</t>
  </si>
  <si>
    <t>5/16" X 1 1/4 SS BOLT &amp; NUT</t>
  </si>
  <si>
    <t>GSSBN0023</t>
  </si>
  <si>
    <t>1/4" X 1" SS BOLT &amp; NUT</t>
  </si>
  <si>
    <t>GBW0001</t>
  </si>
  <si>
    <t>GGW0001</t>
  </si>
  <si>
    <t>GCW0001</t>
  </si>
  <si>
    <t>GCW0002</t>
  </si>
  <si>
    <t>GGW0002</t>
  </si>
  <si>
    <t>GEP0001</t>
  </si>
  <si>
    <t>GEP0002</t>
  </si>
  <si>
    <t>GRK0001</t>
  </si>
  <si>
    <t>GRC0001</t>
  </si>
  <si>
    <t>SUPERON S.S (3.15X350 MM) PKT</t>
  </si>
  <si>
    <t>GSSCS0004</t>
  </si>
  <si>
    <t>8MM X 50MM SS CSK SCREW</t>
  </si>
  <si>
    <t>6MM X 25MM SS CSK SCREW</t>
  </si>
  <si>
    <t>BE0171</t>
  </si>
  <si>
    <t>626 BEARING</t>
  </si>
  <si>
    <t>BE0172</t>
  </si>
  <si>
    <t>608 BEARING</t>
  </si>
  <si>
    <t>BE0173</t>
  </si>
  <si>
    <t>627 BEARING</t>
  </si>
  <si>
    <t>MSPN001</t>
  </si>
  <si>
    <t>1" S.S NIPPLE</t>
  </si>
  <si>
    <t>MSPN003</t>
  </si>
  <si>
    <t>1.5" S.S NIPPLE</t>
  </si>
  <si>
    <t>MSPN004</t>
  </si>
  <si>
    <t>2" S.S NIPPLE</t>
  </si>
  <si>
    <t>MSPN005</t>
  </si>
  <si>
    <t>2.5" S.S NIPPLE</t>
  </si>
  <si>
    <t>MSPN006</t>
  </si>
  <si>
    <t>3" S.S NIPPLE</t>
  </si>
  <si>
    <t>1/2" S.S NIPPLE</t>
  </si>
  <si>
    <t>MSPN007</t>
  </si>
  <si>
    <t>MSPN008</t>
  </si>
  <si>
    <t>3/64 GAS CUTTER NOZZLE</t>
  </si>
  <si>
    <t>1/16 GAS CUTTER NOZZLE</t>
  </si>
  <si>
    <t xml:space="preserve">SHAFT  STOCKS AS ON </t>
  </si>
  <si>
    <t>TPR 125/400 (3VO) SHAFT</t>
  </si>
  <si>
    <t>CPC 100/320 SHAFT</t>
  </si>
  <si>
    <t>SPR+T 125/260 SHAFT</t>
  </si>
  <si>
    <t>SPR+T 125/330 SHAFT</t>
  </si>
  <si>
    <t>SPR + T 125 /400 (4 VO) SHAFT</t>
  </si>
  <si>
    <t>WP 80/260 SHAFT</t>
  </si>
  <si>
    <t>CPC 150 -320 -SHAFT</t>
  </si>
  <si>
    <t>CPC 65-260 (EN19) -SHAFT</t>
  </si>
  <si>
    <t>TPR 80/320 SHAFT</t>
  </si>
  <si>
    <t>APPC 42 /150 SHAFT</t>
  </si>
  <si>
    <t>SEPRATOR SHAFT</t>
  </si>
  <si>
    <t>TURBO SHAFT -SHAFT</t>
  </si>
  <si>
    <t>SWP +125/320 SHAFT</t>
  </si>
  <si>
    <t>KSB PUMP SHAFT (EN 19) SHAFT</t>
  </si>
  <si>
    <t>PULP MILLL AFT PRESSURE SCREEN SHAFT</t>
  </si>
  <si>
    <t>MIMS001</t>
  </si>
  <si>
    <t>MIMS002</t>
  </si>
  <si>
    <t>MIMS003</t>
  </si>
  <si>
    <t>MIMS004</t>
  </si>
  <si>
    <t>MIMS005</t>
  </si>
  <si>
    <t>MIMS006</t>
  </si>
  <si>
    <t>MIMS007</t>
  </si>
  <si>
    <t>MIMS008</t>
  </si>
  <si>
    <t>MIMS009</t>
  </si>
  <si>
    <t>MIMS010</t>
  </si>
  <si>
    <t>MIMS011</t>
  </si>
  <si>
    <t>MIMS012</t>
  </si>
  <si>
    <t>MIMS013</t>
  </si>
  <si>
    <t>MIMS014</t>
  </si>
  <si>
    <t>MIMS015</t>
  </si>
  <si>
    <t>MIMS016</t>
  </si>
  <si>
    <t>MIMS017</t>
  </si>
  <si>
    <t>10-22-7 OIL SEAL</t>
  </si>
  <si>
    <t>20-32-7 OIL SEAL</t>
  </si>
  <si>
    <t>20-52-7 OIL SEAL</t>
  </si>
  <si>
    <t>25-40-8 OIL SEAL</t>
  </si>
  <si>
    <t>25-42-10 OIL SEAL</t>
  </si>
  <si>
    <t>25-45-10 OIL SEAL</t>
  </si>
  <si>
    <t>25-52-7 OIL SEAL</t>
  </si>
  <si>
    <t>25-62-7 OIL SEAL</t>
  </si>
  <si>
    <t>28-38-7/2 OIL SEAL</t>
  </si>
  <si>
    <t>30-47-7/10 OIL SEAL</t>
  </si>
  <si>
    <t>30-62-10 OIL SEAL</t>
  </si>
  <si>
    <t>32-45-7 OIL SEAL</t>
  </si>
  <si>
    <t>32-52-10 OIL SEAL</t>
  </si>
  <si>
    <t>32-60-10 OIL SEAL</t>
  </si>
  <si>
    <t>35-47-7 OIL SEAL</t>
  </si>
  <si>
    <t>35-52-10 OIL SEAL</t>
  </si>
  <si>
    <t>35-55-10 OIL SEAL</t>
  </si>
  <si>
    <t>40-55-8 OIL SEAL</t>
  </si>
  <si>
    <t>40-60-10 OIL SEAL</t>
  </si>
  <si>
    <t>42-55-10 OIL SEAL</t>
  </si>
  <si>
    <t>45-55-8 OIL SEAL</t>
  </si>
  <si>
    <t>45-60-10 OIL SEAL</t>
  </si>
  <si>
    <t>45-65-10/12 OIL SEAL</t>
  </si>
  <si>
    <t>45-75-10 OIL SEAL</t>
  </si>
  <si>
    <t>48-62-10 OIL SEAL</t>
  </si>
  <si>
    <t>50-65-8 OIL SEAL</t>
  </si>
  <si>
    <t>50-70-10 OIL SEAL</t>
  </si>
  <si>
    <t>50-72-8/10 OIL SEAL</t>
  </si>
  <si>
    <t>50-75-12/10 OIL SEAL</t>
  </si>
  <si>
    <t>55-70-10 OIL SEAL</t>
  </si>
  <si>
    <t>55-72-10/8 OIL SEAL</t>
  </si>
  <si>
    <t>55-75-10 OIL SEAL</t>
  </si>
  <si>
    <t>55-80-10 OIL SEAL</t>
  </si>
  <si>
    <t>60-80-10 OIL SEAL</t>
  </si>
  <si>
    <t>65-75-10 OIL SEAL</t>
  </si>
  <si>
    <t>65-80-10 OIL SEAL</t>
  </si>
  <si>
    <t>65-85-10 OIL SEAL</t>
  </si>
  <si>
    <t>65-90-10/12 OIL SEAL</t>
  </si>
  <si>
    <t>65-95-10 OIL SEAL</t>
  </si>
  <si>
    <t>70-80-10 OIL SEAL</t>
  </si>
  <si>
    <t>70-90-10 OIL SEAL</t>
  </si>
  <si>
    <t>75-95-10 OIL SEAL</t>
  </si>
  <si>
    <t>75-100-10 OIL SEAL</t>
  </si>
  <si>
    <t>80-100-10 OIL SEAL</t>
  </si>
  <si>
    <t>80-105-10/12 OIL SEAL</t>
  </si>
  <si>
    <t>85-100-10/12 OIL SEAL</t>
  </si>
  <si>
    <t>85-105-10 OIL SEAL</t>
  </si>
  <si>
    <t>85-110-10 OIL SEAL</t>
  </si>
  <si>
    <t>85-115-10 OIL SEAL</t>
  </si>
  <si>
    <t>90-110-10/12 OIL SEAL</t>
  </si>
  <si>
    <t>90-115-10 OIL SEAL</t>
  </si>
  <si>
    <t>90-120-12 OIL SEAL</t>
  </si>
  <si>
    <t>95-120-10 OIL SEAL</t>
  </si>
  <si>
    <t>107-135.5-10 OIL SEAL</t>
  </si>
  <si>
    <t>110-130-12 OIL SEAL</t>
  </si>
  <si>
    <t>115-140-15 OIL SEAL</t>
  </si>
  <si>
    <t>140-170-15 OIL SEAL</t>
  </si>
  <si>
    <t>145-165-13 OIL SEAL</t>
  </si>
  <si>
    <t>155-180-15 OIL SEAL</t>
  </si>
  <si>
    <t>185-215-15 OIL SEAL</t>
  </si>
  <si>
    <t>55-72-12 OIL SEAL</t>
  </si>
  <si>
    <t>55-60-8 OIL SEAL</t>
  </si>
  <si>
    <t>22-40-10 OIL SEAL</t>
  </si>
  <si>
    <t>20-52-8 OIL SEAL</t>
  </si>
  <si>
    <t>40-65-10 OIL SEAL</t>
  </si>
  <si>
    <t>45-55-10 OIL SEAL</t>
  </si>
  <si>
    <t>78-100-10 OIL SEAL</t>
  </si>
  <si>
    <t>60-85-10 OIL SEAL</t>
  </si>
  <si>
    <t>150-180-15 OIL SEAL</t>
  </si>
  <si>
    <t>65-100-1 OIL SEAL</t>
  </si>
  <si>
    <t>20-35-7 OIL SEAL</t>
  </si>
  <si>
    <t>50-80-10 OIL SEAL</t>
  </si>
  <si>
    <t>60-90-10 OIL SEAL</t>
  </si>
  <si>
    <t>MNO001</t>
  </si>
  <si>
    <t>MNO002</t>
  </si>
  <si>
    <t>MNO003</t>
  </si>
  <si>
    <t>MNO004</t>
  </si>
  <si>
    <t>MNO005</t>
  </si>
  <si>
    <t>ROBO NOZZLE 0.4MM</t>
  </si>
  <si>
    <t>ROBO NOZZLE 0.7MM</t>
  </si>
  <si>
    <t>TUNGSTEN WELDING ELECTRODES 2.44MM</t>
  </si>
  <si>
    <t>TWE0001</t>
  </si>
  <si>
    <t>TWE0002</t>
  </si>
  <si>
    <t>TUNGSTEN WELDING ELECTRODES 3MM</t>
  </si>
  <si>
    <t>LUBRICANTS</t>
  </si>
  <si>
    <t>HYDRULIC OIL No: 68</t>
  </si>
  <si>
    <t xml:space="preserve">SERVO GEAR OIL 320 </t>
  </si>
  <si>
    <t>LGO0001</t>
  </si>
  <si>
    <t>SERVO GREASE MP3</t>
  </si>
  <si>
    <t>LGR0001</t>
  </si>
  <si>
    <t>LGR0002</t>
  </si>
  <si>
    <t>DOCTOR BLADE 2X75X3350 MM PLASTIC</t>
  </si>
  <si>
    <t>DOCTOR BLADE 6.0X75X4000 MM PLASTIC GREEN</t>
  </si>
  <si>
    <t>DOCTOR BLADE 1.2X75X3600 MM RSE -BRONZE</t>
  </si>
  <si>
    <t>MSSBE013</t>
  </si>
  <si>
    <t>S.S 14" BEND</t>
  </si>
  <si>
    <t>MSSR0009</t>
  </si>
  <si>
    <t>MSSR0010</t>
  </si>
  <si>
    <t>MSSR0011</t>
  </si>
  <si>
    <t>S.S 10" X 4" REDUCER</t>
  </si>
  <si>
    <t>S.S 12" X 3" REDUCER</t>
  </si>
  <si>
    <t>S.S 14" X 4" REDUCER</t>
  </si>
  <si>
    <t>SG 350 E.P MOLY GREASE HIGH TEMP</t>
  </si>
  <si>
    <t>LUBRICANTING OIL CAN (REUSE)</t>
  </si>
  <si>
    <t>0.5" PISTON VALVES/ BELLOW SEAL GLOBE VALVE</t>
  </si>
  <si>
    <t>1" PISTION VALVES/BELLOW SEAL GLOBE VALVE</t>
  </si>
  <si>
    <t>S.S 2" X 1" REDUCER</t>
  </si>
  <si>
    <t>1" S.S SOCKET</t>
  </si>
  <si>
    <t>1/2" S.S SOCKET</t>
  </si>
  <si>
    <t>1 1/2" S.S SOCKET</t>
  </si>
  <si>
    <t>MSSS001</t>
  </si>
  <si>
    <t>MSSS002</t>
  </si>
  <si>
    <t>MSSS003</t>
  </si>
  <si>
    <t>MSSS004</t>
  </si>
  <si>
    <t>MSSHX001</t>
  </si>
  <si>
    <t>1" SS HEX NIPPLE</t>
  </si>
  <si>
    <t>MSSHX002</t>
  </si>
  <si>
    <t>1/2" SS HEX NIPPLE</t>
  </si>
  <si>
    <t>MSSHX003</t>
  </si>
  <si>
    <t>1 1/2" SS HEX NIPPLE</t>
  </si>
  <si>
    <t>MSSHX004</t>
  </si>
  <si>
    <t>MSSS005</t>
  </si>
  <si>
    <t>2" S.S SOCKET</t>
  </si>
  <si>
    <t>3/4" S.S SOCKET</t>
  </si>
  <si>
    <t>1/4" S.S SOCKET</t>
  </si>
  <si>
    <t>MSSS006</t>
  </si>
  <si>
    <t>3/8" S.S SOCKET</t>
  </si>
  <si>
    <t>MSPN002</t>
  </si>
  <si>
    <t>1/4" S.S NIPPLE</t>
  </si>
  <si>
    <t>3/8" S.S NIPPLE</t>
  </si>
  <si>
    <t>MSSHX005</t>
  </si>
  <si>
    <t>1/4" SS HEX NIPPLE</t>
  </si>
  <si>
    <t>3/4" SS HEX NIPPLE</t>
  </si>
  <si>
    <t>1/32 GAS CUTTER NOZZLE</t>
  </si>
  <si>
    <t>LHO0001</t>
  </si>
  <si>
    <t>LLOC001</t>
  </si>
  <si>
    <t>GHTBN0005</t>
  </si>
  <si>
    <t>POST DRYER DRIVE ROLLS</t>
  </si>
  <si>
    <t>GSSBN0024</t>
  </si>
  <si>
    <t>GSSBN0025</t>
  </si>
  <si>
    <t>12 X 65 MM SS BOLT &amp; LOCK NUT, WASHER</t>
  </si>
  <si>
    <t>10 X 40 MM SS BOLT &amp; LOCK NUT, WASHER</t>
  </si>
  <si>
    <t>10 X 35 MM SS BOLT &amp; LOCK NUT, WASHER</t>
  </si>
  <si>
    <t>GSSAB0010</t>
  </si>
  <si>
    <t>5/16" X 25 MM SS ALLEN BOLT</t>
  </si>
  <si>
    <t>3/8" X 2" HT BOLT &amp; NUT, SPRING WASHER</t>
  </si>
  <si>
    <t>ETP MEGHACELL &amp; ITS CHAIN</t>
  </si>
  <si>
    <t>VACCUME BOX</t>
  </si>
  <si>
    <t>BE0174</t>
  </si>
  <si>
    <t>BE0175</t>
  </si>
  <si>
    <t>UJ CROSS (47 X 134)</t>
  </si>
  <si>
    <t>OIL MECHANICAL SEAL STOCK REPORT AUGUST-2026</t>
  </si>
  <si>
    <t>MECHANICAL COUPLING RUBBER TYRES AUGUST-2026</t>
  </si>
  <si>
    <t xml:space="preserve"> MECHANICAL TYRE COUPLING STOCK AS AUGUST-2026</t>
  </si>
  <si>
    <t>MECHINICAL V-BELT STOCK AUGUST-2026</t>
  </si>
  <si>
    <t>WELDING RODS STOCKS AUGUST-2026</t>
  </si>
  <si>
    <t>BLADE STOCK AUGUST-2026</t>
  </si>
  <si>
    <t>CUTTING , BUFFING &amp; GRANDING WHEEL STOCK AUGUST-2026</t>
  </si>
  <si>
    <t>.</t>
  </si>
  <si>
    <t>USED</t>
  </si>
  <si>
    <t>VALVE STOCKS AS ON AUGUST-2026</t>
  </si>
  <si>
    <t>CHECK NUT &amp; WASHER AS ON AUGUST-2026</t>
  </si>
  <si>
    <t>GUAGES STOCK AS ON AUGUST-2026</t>
  </si>
  <si>
    <t>IMPELLERS STOCKS AS ON AUGUST-2026</t>
  </si>
  <si>
    <t>SS, MS PIPE FITTINS STOCK AS ON AUGUST-2026</t>
  </si>
  <si>
    <t>MNO006</t>
  </si>
  <si>
    <t>NOZZLE IN CERAMIC (BIG THREADED) L 80MM X CL 60MM X HOLE 14MM</t>
  </si>
  <si>
    <t>COM0001</t>
  </si>
  <si>
    <t>COMPRESSOR SPARES STOCK AUGUST-2026</t>
  </si>
  <si>
    <t>ITEM NUMBER</t>
  </si>
  <si>
    <t>COM0002</t>
  </si>
  <si>
    <t>OIL FILTER CPB-40</t>
  </si>
  <si>
    <t>AIR FILTER CPB-40</t>
  </si>
  <si>
    <t>COM0003</t>
  </si>
  <si>
    <t>COM0004</t>
  </si>
  <si>
    <t>COM0005</t>
  </si>
  <si>
    <t>COM0006</t>
  </si>
  <si>
    <t>COM0007</t>
  </si>
  <si>
    <t>COM0008</t>
  </si>
  <si>
    <t>COM0009</t>
  </si>
  <si>
    <t>VALVE REGULATOR CPB-40</t>
  </si>
  <si>
    <t>ASSEMBLE CPB-60</t>
  </si>
  <si>
    <t>SOLENOID VALVE CPB-60</t>
  </si>
  <si>
    <t>AIR FILTER CPB-7</t>
  </si>
  <si>
    <t>OIL SEPRATOR CPB-7</t>
  </si>
  <si>
    <t>OIL FILTER CPB-7</t>
  </si>
  <si>
    <t>ELEMENT CPB-7</t>
  </si>
  <si>
    <t>BE0176</t>
  </si>
  <si>
    <t>UJ CROSS (49 X 155) 4018</t>
  </si>
  <si>
    <t>SIZE PRESS, COMBINATION ROLL LOCDON SHAFT</t>
  </si>
  <si>
    <t>UJ CROSS (72 X 185)</t>
  </si>
  <si>
    <t>BE0177</t>
  </si>
  <si>
    <t>UJ CROSS (74 X 244)</t>
  </si>
  <si>
    <t>PRESS CORDN SHAFT</t>
  </si>
  <si>
    <t>FDR CORDN SHAFT</t>
  </si>
  <si>
    <t>DRIVE ROLL CORDN SHAFT</t>
  </si>
  <si>
    <t>BE0178</t>
  </si>
  <si>
    <t>UJ CROSS (57 X 152) 4113A OLD</t>
  </si>
  <si>
    <t>PULLEY STOCK AUGUST-2026</t>
  </si>
  <si>
    <t>PULL0001</t>
  </si>
  <si>
    <t xml:space="preserve">TLP 200X3C/2517 FENNER </t>
  </si>
  <si>
    <t>PULL0002</t>
  </si>
  <si>
    <t>PULL0003</t>
  </si>
  <si>
    <t>PULL0004</t>
  </si>
  <si>
    <t>PULL0005</t>
  </si>
  <si>
    <t xml:space="preserve">TLP 200X4C/3020 FENNER </t>
  </si>
  <si>
    <t xml:space="preserve">TLP 375X7C/4040 FENNER </t>
  </si>
  <si>
    <t xml:space="preserve">TLP 375X5C/3535 FENNER </t>
  </si>
  <si>
    <t xml:space="preserve">TLP 425X5C/4040 FENNER </t>
  </si>
  <si>
    <t>PULL0006</t>
  </si>
  <si>
    <t xml:space="preserve">TLP 900X4C/ FENNER </t>
  </si>
  <si>
    <t>MV0044</t>
  </si>
  <si>
    <t>200NB STOP VALVE PISTON TYPE</t>
  </si>
  <si>
    <t>MECHANICAL BEARING STOCK AUGUST - 2026</t>
  </si>
  <si>
    <t>PRESS ROLL</t>
  </si>
  <si>
    <t>DRYWRS</t>
  </si>
  <si>
    <t>7.5 HP MOTER</t>
  </si>
  <si>
    <t xml:space="preserve">PRESSER SCREEN MAN TOP &amp; BOTTOM </t>
  </si>
</sst>
</file>

<file path=xl/styles.xml><?xml version="1.0" encoding="utf-8"?>
<styleSheet xmlns="http://schemas.openxmlformats.org/spreadsheetml/2006/main">
  <fonts count="50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26"/>
      <color rgb="FF000000"/>
      <name val="Segoe UI"/>
      <family val="2"/>
    </font>
    <font>
      <b/>
      <sz val="12"/>
      <color theme="1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Arial"/>
      <family val="2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9"/>
      <name val="Times New Roman"/>
      <family val="1"/>
    </font>
    <font>
      <sz val="9"/>
      <name val="Calibri"/>
      <family val="2"/>
    </font>
    <font>
      <b/>
      <sz val="9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Times New Roman"/>
      <family val="1"/>
    </font>
    <font>
      <b/>
      <sz val="11"/>
      <name val="Calibri"/>
      <family val="2"/>
      <scheme val="minor"/>
    </font>
    <font>
      <b/>
      <sz val="10"/>
      <name val="Times New Roman"/>
      <family val="1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9"/>
      <color theme="1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205">
    <xf numFmtId="0" fontId="0" fillId="0" borderId="0" xfId="0"/>
    <xf numFmtId="0" fontId="1" fillId="0" borderId="0" xfId="0" applyFont="1" applyAlignment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1" fillId="0" borderId="1" xfId="0" applyFont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/>
    <xf numFmtId="0" fontId="9" fillId="0" borderId="1" xfId="0" applyFont="1" applyBorder="1"/>
    <xf numFmtId="0" fontId="8" fillId="0" borderId="1" xfId="0" applyFont="1" applyBorder="1"/>
    <xf numFmtId="49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/>
    <xf numFmtId="0" fontId="24" fillId="0" borderId="1" xfId="0" applyFont="1" applyBorder="1" applyAlignment="1">
      <alignment vertical="center"/>
    </xf>
    <xf numFmtId="0" fontId="24" fillId="0" borderId="0" xfId="0" applyFont="1" applyAlignment="1">
      <alignment horizontal="center"/>
    </xf>
    <xf numFmtId="0" fontId="1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Border="1"/>
    <xf numFmtId="0" fontId="17" fillId="0" borderId="0" xfId="0" applyFont="1" applyBorder="1" applyAlignment="1">
      <alignment horizontal="center" vertical="center"/>
    </xf>
    <xf numFmtId="0" fontId="24" fillId="0" borderId="0" xfId="0" applyFont="1"/>
    <xf numFmtId="0" fontId="23" fillId="0" borderId="1" xfId="1" applyFont="1" applyFill="1" applyBorder="1" applyAlignment="1" applyProtection="1">
      <alignment horizontal="center" vertical="center"/>
    </xf>
    <xf numFmtId="0" fontId="23" fillId="0" borderId="1" xfId="1" applyFont="1" applyFill="1" applyBorder="1" applyAlignment="1" applyProtection="1">
      <alignment horizontal="center" vertical="center" wrapText="1"/>
    </xf>
    <xf numFmtId="0" fontId="15" fillId="0" borderId="1" xfId="0" applyFont="1" applyFill="1" applyBorder="1" applyAlignment="1">
      <alignment vertical="center"/>
    </xf>
    <xf numFmtId="0" fontId="15" fillId="0" borderId="1" xfId="0" applyFont="1" applyFill="1" applyBorder="1" applyAlignment="1">
      <alignment horizontal="left" vertical="center" wrapText="1"/>
    </xf>
    <xf numFmtId="0" fontId="16" fillId="0" borderId="5" xfId="0" applyFont="1" applyBorder="1" applyAlignment="1">
      <alignment vertical="center"/>
    </xf>
    <xf numFmtId="0" fontId="17" fillId="2" borderId="1" xfId="0" applyFont="1" applyFill="1" applyBorder="1" applyAlignment="1">
      <alignment horizontal="left" vertical="center"/>
    </xf>
    <xf numFmtId="0" fontId="17" fillId="0" borderId="0" xfId="0" applyFont="1"/>
    <xf numFmtId="0" fontId="0" fillId="0" borderId="0" xfId="0" applyFill="1" applyAlignment="1">
      <alignment vertical="center"/>
    </xf>
    <xf numFmtId="0" fontId="17" fillId="0" borderId="0" xfId="0" applyFont="1" applyAlignment="1">
      <alignment horizontal="center" vertical="center"/>
    </xf>
    <xf numFmtId="0" fontId="12" fillId="0" borderId="1" xfId="0" applyFont="1" applyBorder="1"/>
    <xf numFmtId="0" fontId="24" fillId="0" borderId="1" xfId="0" applyFont="1" applyBorder="1" applyAlignment="1">
      <alignment horizontal="center" vertical="center"/>
    </xf>
    <xf numFmtId="0" fontId="15" fillId="0" borderId="6" xfId="0" applyFont="1" applyFill="1" applyBorder="1" applyAlignment="1">
      <alignment horizontal="left" vertical="center"/>
    </xf>
    <xf numFmtId="0" fontId="25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26" fillId="0" borderId="0" xfId="0" applyFont="1" applyAlignment="1"/>
    <xf numFmtId="0" fontId="27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4" fillId="0" borderId="1" xfId="0" applyFont="1" applyFill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31" fillId="0" borderId="0" xfId="0" applyFont="1"/>
    <xf numFmtId="0" fontId="29" fillId="0" borderId="1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1" xfId="0" applyFont="1" applyFill="1" applyBorder="1" applyAlignment="1">
      <alignment horizontal="left" vertical="center"/>
    </xf>
    <xf numFmtId="0" fontId="32" fillId="0" borderId="1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34" fillId="0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0" xfId="0" applyFont="1" applyFill="1"/>
    <xf numFmtId="0" fontId="0" fillId="0" borderId="0" xfId="0" applyFont="1" applyFill="1" applyAlignment="1">
      <alignment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37" fillId="0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/>
    <xf numFmtId="0" fontId="36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37" fillId="0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38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9" fillId="0" borderId="1" xfId="0" applyFont="1" applyFill="1" applyBorder="1" applyAlignment="1">
      <alignment horizontal="center" vertical="center"/>
    </xf>
    <xf numFmtId="0" fontId="40" fillId="0" borderId="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left"/>
    </xf>
    <xf numFmtId="0" fontId="26" fillId="0" borderId="6" xfId="0" applyFont="1" applyBorder="1" applyAlignment="1">
      <alignment horizontal="center"/>
    </xf>
    <xf numFmtId="0" fontId="40" fillId="0" borderId="1" xfId="0" applyFont="1" applyFill="1" applyBorder="1" applyAlignment="1"/>
    <xf numFmtId="0" fontId="38" fillId="0" borderId="1" xfId="0" applyFont="1" applyFill="1" applyBorder="1" applyAlignment="1"/>
    <xf numFmtId="0" fontId="26" fillId="0" borderId="1" xfId="0" applyFont="1" applyBorder="1" applyAlignment="1">
      <alignment vertical="center"/>
    </xf>
    <xf numFmtId="0" fontId="0" fillId="0" borderId="1" xfId="0" applyFont="1" applyFill="1" applyBorder="1"/>
    <xf numFmtId="0" fontId="36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41" fillId="0" borderId="6" xfId="0" applyFont="1" applyFill="1" applyBorder="1" applyAlignment="1">
      <alignment horizontal="center" vertical="center"/>
    </xf>
    <xf numFmtId="0" fontId="42" fillId="0" borderId="6" xfId="0" applyFont="1" applyFill="1" applyBorder="1" applyAlignment="1"/>
    <xf numFmtId="0" fontId="42" fillId="0" borderId="6" xfId="0" applyFont="1" applyFill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/>
    </xf>
    <xf numFmtId="0" fontId="45" fillId="0" borderId="1" xfId="0" applyFont="1" applyFill="1" applyBorder="1" applyAlignment="1">
      <alignment horizontal="left" vertical="center"/>
    </xf>
    <xf numFmtId="0" fontId="45" fillId="0" borderId="1" xfId="0" applyFont="1" applyFill="1" applyBorder="1" applyAlignment="1">
      <alignment horizontal="center" vertical="center"/>
    </xf>
    <xf numFmtId="0" fontId="46" fillId="0" borderId="1" xfId="0" applyFont="1" applyBorder="1" applyAlignment="1">
      <alignment horizontal="left" vertical="top" indent="2"/>
    </xf>
    <xf numFmtId="0" fontId="46" fillId="0" borderId="0" xfId="0" applyFont="1" applyBorder="1" applyAlignment="1">
      <alignment horizontal="left" vertical="top" indent="2"/>
    </xf>
    <xf numFmtId="0" fontId="12" fillId="0" borderId="0" xfId="0" applyFont="1"/>
    <xf numFmtId="0" fontId="12" fillId="0" borderId="1" xfId="0" applyFont="1" applyBorder="1" applyAlignment="1">
      <alignment vertical="top"/>
    </xf>
    <xf numFmtId="0" fontId="47" fillId="0" borderId="1" xfId="0" applyFont="1" applyFill="1" applyBorder="1" applyAlignment="1">
      <alignment horizontal="center" vertical="center"/>
    </xf>
    <xf numFmtId="0" fontId="47" fillId="0" borderId="1" xfId="0" applyFont="1" applyFill="1" applyBorder="1" applyAlignment="1"/>
    <xf numFmtId="0" fontId="48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1" fillId="0" borderId="5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21" fillId="0" borderId="5" xfId="0" applyFont="1" applyBorder="1" applyAlignment="1"/>
    <xf numFmtId="0" fontId="24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vertical="center"/>
    </xf>
    <xf numFmtId="0" fontId="49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/>
    <xf numFmtId="0" fontId="36" fillId="0" borderId="2" xfId="0" applyFont="1" applyBorder="1" applyAlignment="1">
      <alignment vertical="center"/>
    </xf>
    <xf numFmtId="0" fontId="36" fillId="0" borderId="3" xfId="0" applyFont="1" applyBorder="1" applyAlignment="1">
      <alignment vertical="center"/>
    </xf>
    <xf numFmtId="0" fontId="36" fillId="0" borderId="4" xfId="0" applyFont="1" applyBorder="1" applyAlignment="1">
      <alignment vertical="center"/>
    </xf>
    <xf numFmtId="0" fontId="16" fillId="0" borderId="0" xfId="0" applyFont="1" applyAlignment="1"/>
    <xf numFmtId="0" fontId="36" fillId="0" borderId="5" xfId="0" applyFont="1" applyBorder="1" applyAlignment="1">
      <alignment vertical="center"/>
    </xf>
    <xf numFmtId="0" fontId="44" fillId="0" borderId="6" xfId="0" applyFont="1" applyBorder="1" applyAlignment="1">
      <alignment horizontal="center"/>
    </xf>
    <xf numFmtId="0" fontId="45" fillId="0" borderId="6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44" fillId="0" borderId="6" xfId="0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6" xfId="0" applyFont="1" applyBorder="1" applyAlignment="1">
      <alignment vertical="center"/>
    </xf>
    <xf numFmtId="0" fontId="24" fillId="0" borderId="8" xfId="0" applyFont="1" applyBorder="1" applyAlignment="1">
      <alignment horizontal="center" vertical="center"/>
    </xf>
    <xf numFmtId="0" fontId="24" fillId="0" borderId="8" xfId="0" applyFont="1" applyBorder="1" applyAlignment="1">
      <alignment vertical="center"/>
    </xf>
    <xf numFmtId="0" fontId="24" fillId="0" borderId="1" xfId="0" applyFont="1" applyBorder="1" applyAlignment="1">
      <alignment horizontal="center" wrapText="1"/>
    </xf>
    <xf numFmtId="0" fontId="24" fillId="0" borderId="1" xfId="0" applyFont="1" applyBorder="1" applyAlignment="1">
      <alignment wrapText="1"/>
    </xf>
    <xf numFmtId="0" fontId="36" fillId="0" borderId="1" xfId="0" applyFont="1" applyFill="1" applyBorder="1" applyAlignment="1">
      <alignment horizontal="center" vertical="center"/>
    </xf>
    <xf numFmtId="0" fontId="0" fillId="0" borderId="0" xfId="0" applyFont="1" applyAlignment="1"/>
    <xf numFmtId="0" fontId="36" fillId="0" borderId="0" xfId="0" applyFont="1" applyAlignment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0" fontId="28" fillId="0" borderId="5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36" fillId="0" borderId="0" xfId="0" applyFont="1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26" fillId="3" borderId="1" xfId="0" applyFont="1" applyFill="1" applyBorder="1" applyAlignment="1">
      <alignment horizontal="center"/>
    </xf>
    <xf numFmtId="0" fontId="26" fillId="3" borderId="1" xfId="0" applyFont="1" applyFill="1" applyBorder="1" applyAlignment="1">
      <alignment horizontal="center" vertical="center"/>
    </xf>
    <xf numFmtId="0" fontId="26" fillId="3" borderId="0" xfId="0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s.no/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101"/>
  <sheetViews>
    <sheetView topLeftCell="A52" workbookViewId="0">
      <selection activeCell="E52" sqref="E52:G75"/>
    </sheetView>
  </sheetViews>
  <sheetFormatPr defaultColWidth="14.7109375" defaultRowHeight="15"/>
  <cols>
    <col min="1" max="1" width="7.42578125" style="1" bestFit="1" customWidth="1"/>
    <col min="2" max="2" width="28.140625" style="1" customWidth="1"/>
    <col min="3" max="3" width="12.42578125" style="1" bestFit="1" customWidth="1"/>
    <col min="4" max="4" width="0.7109375" style="1" customWidth="1"/>
    <col min="5" max="5" width="6.140625" style="1" customWidth="1"/>
    <col min="6" max="6" width="30" style="1" bestFit="1" customWidth="1"/>
    <col min="7" max="7" width="12.42578125" style="1" bestFit="1" customWidth="1"/>
    <col min="8" max="16384" width="14.7109375" style="1"/>
  </cols>
  <sheetData>
    <row r="1" spans="1:7" ht="15.75">
      <c r="A1" s="2" t="s">
        <v>0</v>
      </c>
      <c r="B1" s="2" t="s">
        <v>1</v>
      </c>
      <c r="C1" s="2" t="s">
        <v>2</v>
      </c>
      <c r="E1" s="2" t="s">
        <v>0</v>
      </c>
      <c r="F1" s="2" t="s">
        <v>1</v>
      </c>
      <c r="G1" s="2" t="s">
        <v>2</v>
      </c>
    </row>
    <row r="2" spans="1:7">
      <c r="A2" s="6">
        <v>1</v>
      </c>
      <c r="B2" s="4" t="s">
        <v>395</v>
      </c>
      <c r="C2" s="5">
        <v>4</v>
      </c>
      <c r="E2" s="6">
        <v>50</v>
      </c>
      <c r="F2" s="4" t="s">
        <v>41</v>
      </c>
      <c r="G2" s="5">
        <v>1</v>
      </c>
    </row>
    <row r="3" spans="1:7">
      <c r="A3" s="6">
        <v>2</v>
      </c>
      <c r="B3" s="4" t="s">
        <v>3</v>
      </c>
      <c r="C3" s="5">
        <v>4</v>
      </c>
      <c r="E3" s="6">
        <v>51</v>
      </c>
      <c r="F3" s="4" t="s">
        <v>42</v>
      </c>
      <c r="G3" s="5">
        <v>1</v>
      </c>
    </row>
    <row r="4" spans="1:7">
      <c r="A4" s="6">
        <v>3</v>
      </c>
      <c r="B4" s="4" t="s">
        <v>4</v>
      </c>
      <c r="C4" s="5">
        <v>11</v>
      </c>
      <c r="E4" s="6">
        <v>52</v>
      </c>
      <c r="F4" s="4" t="s">
        <v>43</v>
      </c>
      <c r="G4" s="5">
        <v>5</v>
      </c>
    </row>
    <row r="5" spans="1:7">
      <c r="A5" s="6">
        <v>4</v>
      </c>
      <c r="B5" s="4" t="s">
        <v>5</v>
      </c>
      <c r="C5" s="5">
        <v>1</v>
      </c>
      <c r="E5" s="6">
        <v>53</v>
      </c>
      <c r="F5" s="4" t="s">
        <v>44</v>
      </c>
      <c r="G5" s="5">
        <v>1</v>
      </c>
    </row>
    <row r="6" spans="1:7">
      <c r="A6" s="6">
        <v>5</v>
      </c>
      <c r="B6" s="4">
        <v>6012</v>
      </c>
      <c r="C6" s="5">
        <v>4</v>
      </c>
      <c r="E6" s="6">
        <v>54</v>
      </c>
      <c r="F6" s="4" t="s">
        <v>45</v>
      </c>
      <c r="G6" s="5">
        <v>1</v>
      </c>
    </row>
    <row r="7" spans="1:7">
      <c r="A7" s="6">
        <v>6</v>
      </c>
      <c r="B7" s="4" t="s">
        <v>6</v>
      </c>
      <c r="C7" s="5">
        <v>2</v>
      </c>
      <c r="E7" s="6">
        <v>55</v>
      </c>
      <c r="F7" s="4" t="s">
        <v>46</v>
      </c>
      <c r="G7" s="5">
        <v>3</v>
      </c>
    </row>
    <row r="8" spans="1:7">
      <c r="A8" s="6">
        <v>7</v>
      </c>
      <c r="B8" s="4" t="s">
        <v>7</v>
      </c>
      <c r="C8" s="5">
        <v>1</v>
      </c>
      <c r="E8" s="6">
        <v>56</v>
      </c>
      <c r="F8" s="4" t="s">
        <v>47</v>
      </c>
      <c r="G8" s="5">
        <v>4</v>
      </c>
    </row>
    <row r="9" spans="1:7">
      <c r="A9" s="6">
        <v>8</v>
      </c>
      <c r="B9" s="4" t="s">
        <v>8</v>
      </c>
      <c r="C9" s="5">
        <v>7</v>
      </c>
      <c r="E9" s="6">
        <v>57</v>
      </c>
      <c r="F9" s="4" t="s">
        <v>48</v>
      </c>
      <c r="G9" s="5">
        <v>1</v>
      </c>
    </row>
    <row r="10" spans="1:7">
      <c r="A10" s="6">
        <v>9</v>
      </c>
      <c r="B10" s="4" t="s">
        <v>9</v>
      </c>
      <c r="C10" s="5">
        <v>1</v>
      </c>
      <c r="E10" s="6">
        <v>58</v>
      </c>
      <c r="F10" s="4" t="s">
        <v>49</v>
      </c>
      <c r="G10" s="5">
        <v>9</v>
      </c>
    </row>
    <row r="11" spans="1:7">
      <c r="A11" s="6">
        <v>10</v>
      </c>
      <c r="B11" s="4" t="s">
        <v>10</v>
      </c>
      <c r="C11" s="5">
        <v>0</v>
      </c>
      <c r="E11" s="6">
        <v>59</v>
      </c>
      <c r="F11" s="4" t="s">
        <v>50</v>
      </c>
      <c r="G11" s="5">
        <v>4</v>
      </c>
    </row>
    <row r="12" spans="1:7">
      <c r="A12" s="6">
        <v>11</v>
      </c>
      <c r="B12" s="4" t="s">
        <v>11</v>
      </c>
      <c r="C12" s="5">
        <v>8</v>
      </c>
      <c r="E12" s="6">
        <v>60</v>
      </c>
      <c r="F12" s="4" t="s">
        <v>51</v>
      </c>
      <c r="G12" s="5">
        <v>0</v>
      </c>
    </row>
    <row r="13" spans="1:7">
      <c r="A13" s="6">
        <v>12</v>
      </c>
      <c r="B13" s="4" t="s">
        <v>12</v>
      </c>
      <c r="C13" s="5">
        <v>6</v>
      </c>
      <c r="E13" s="6">
        <v>61</v>
      </c>
      <c r="F13" s="4" t="s">
        <v>52</v>
      </c>
      <c r="G13" s="5">
        <v>0</v>
      </c>
    </row>
    <row r="14" spans="1:7">
      <c r="A14" s="6">
        <v>13</v>
      </c>
      <c r="B14" s="4">
        <v>6210</v>
      </c>
      <c r="C14" s="5">
        <v>5</v>
      </c>
      <c r="E14" s="6">
        <v>62</v>
      </c>
      <c r="F14" s="4" t="s">
        <v>53</v>
      </c>
      <c r="G14" s="5">
        <v>0</v>
      </c>
    </row>
    <row r="15" spans="1:7">
      <c r="A15" s="6">
        <v>14</v>
      </c>
      <c r="B15" s="4" t="s">
        <v>13</v>
      </c>
      <c r="C15" s="5">
        <v>2</v>
      </c>
      <c r="E15" s="6">
        <v>63</v>
      </c>
      <c r="F15" s="4" t="s">
        <v>54</v>
      </c>
      <c r="G15" s="5">
        <v>8</v>
      </c>
    </row>
    <row r="16" spans="1:7">
      <c r="A16" s="6">
        <v>15</v>
      </c>
      <c r="B16" s="4" t="s">
        <v>14</v>
      </c>
      <c r="C16" s="5">
        <v>2</v>
      </c>
      <c r="E16" s="6">
        <v>64</v>
      </c>
      <c r="F16" s="4" t="s">
        <v>55</v>
      </c>
      <c r="G16" s="5">
        <v>3</v>
      </c>
    </row>
    <row r="17" spans="1:7">
      <c r="A17" s="6">
        <v>16</v>
      </c>
      <c r="B17" s="4" t="s">
        <v>15</v>
      </c>
      <c r="C17" s="5">
        <v>2</v>
      </c>
      <c r="E17" s="6">
        <v>65</v>
      </c>
      <c r="F17" s="4" t="s">
        <v>56</v>
      </c>
      <c r="G17" s="5">
        <v>3</v>
      </c>
    </row>
    <row r="18" spans="1:7">
      <c r="A18" s="6">
        <v>17</v>
      </c>
      <c r="B18" s="4" t="s">
        <v>16</v>
      </c>
      <c r="C18" s="5">
        <v>3</v>
      </c>
      <c r="E18" s="6">
        <v>66</v>
      </c>
      <c r="F18" s="4" t="s">
        <v>57</v>
      </c>
      <c r="G18" s="5">
        <v>6</v>
      </c>
    </row>
    <row r="19" spans="1:7">
      <c r="A19" s="6">
        <v>18</v>
      </c>
      <c r="B19" s="4" t="s">
        <v>17</v>
      </c>
      <c r="C19" s="5">
        <v>6</v>
      </c>
      <c r="E19" s="6">
        <v>67</v>
      </c>
      <c r="F19" s="4">
        <v>3309</v>
      </c>
      <c r="G19" s="5">
        <v>4</v>
      </c>
    </row>
    <row r="20" spans="1:7">
      <c r="A20" s="6">
        <v>19</v>
      </c>
      <c r="B20" s="4" t="s">
        <v>214</v>
      </c>
      <c r="C20" s="5">
        <v>11</v>
      </c>
      <c r="E20" s="6">
        <v>68</v>
      </c>
      <c r="F20" s="4" t="s">
        <v>396</v>
      </c>
      <c r="G20" s="5">
        <v>6</v>
      </c>
    </row>
    <row r="21" spans="1:7">
      <c r="A21" s="6">
        <v>20</v>
      </c>
      <c r="B21" s="4" t="s">
        <v>18</v>
      </c>
      <c r="C21" s="5">
        <v>7</v>
      </c>
      <c r="E21" s="6">
        <v>69</v>
      </c>
      <c r="F21" s="4" t="s">
        <v>58</v>
      </c>
      <c r="G21" s="5">
        <v>2</v>
      </c>
    </row>
    <row r="22" spans="1:7">
      <c r="A22" s="6">
        <v>21</v>
      </c>
      <c r="B22" s="4" t="s">
        <v>215</v>
      </c>
      <c r="C22" s="5">
        <v>7</v>
      </c>
      <c r="E22" s="6">
        <v>70</v>
      </c>
      <c r="F22" s="4" t="s">
        <v>59</v>
      </c>
      <c r="G22" s="5">
        <v>4</v>
      </c>
    </row>
    <row r="23" spans="1:7">
      <c r="A23" s="6">
        <v>22</v>
      </c>
      <c r="B23" s="4" t="s">
        <v>369</v>
      </c>
      <c r="C23" s="5">
        <v>9</v>
      </c>
      <c r="E23" s="6"/>
      <c r="F23" s="4"/>
      <c r="G23" s="5"/>
    </row>
    <row r="24" spans="1:7">
      <c r="A24" s="6">
        <v>23</v>
      </c>
      <c r="B24" s="4" t="s">
        <v>19</v>
      </c>
      <c r="C24" s="5">
        <v>6</v>
      </c>
      <c r="E24" s="6">
        <v>72</v>
      </c>
      <c r="F24" s="4" t="s">
        <v>60</v>
      </c>
      <c r="G24" s="5">
        <v>10</v>
      </c>
    </row>
    <row r="25" spans="1:7">
      <c r="A25" s="6">
        <v>24</v>
      </c>
      <c r="B25" s="4" t="s">
        <v>20</v>
      </c>
      <c r="C25" s="5">
        <v>1</v>
      </c>
      <c r="E25" s="6"/>
      <c r="F25" s="4" t="s">
        <v>61</v>
      </c>
      <c r="G25" s="5">
        <v>3</v>
      </c>
    </row>
    <row r="26" spans="1:7">
      <c r="A26" s="6">
        <v>25</v>
      </c>
      <c r="B26" s="4" t="s">
        <v>21</v>
      </c>
      <c r="C26" s="5">
        <v>0</v>
      </c>
      <c r="E26" s="6">
        <v>74</v>
      </c>
      <c r="F26" s="4" t="s">
        <v>62</v>
      </c>
      <c r="G26" s="5">
        <v>1</v>
      </c>
    </row>
    <row r="27" spans="1:7">
      <c r="A27" s="6"/>
      <c r="B27" s="8"/>
      <c r="C27" s="5"/>
      <c r="E27" s="6">
        <v>75</v>
      </c>
      <c r="F27" s="4" t="s">
        <v>63</v>
      </c>
      <c r="G27" s="5">
        <v>1</v>
      </c>
    </row>
    <row r="28" spans="1:7">
      <c r="A28" s="6">
        <v>27</v>
      </c>
      <c r="B28" s="8" t="s">
        <v>22</v>
      </c>
      <c r="C28" s="5">
        <v>6</v>
      </c>
      <c r="E28" s="6">
        <v>76</v>
      </c>
      <c r="F28" s="4" t="s">
        <v>64</v>
      </c>
      <c r="G28" s="5">
        <v>7</v>
      </c>
    </row>
    <row r="29" spans="1:7">
      <c r="A29" s="6">
        <v>28</v>
      </c>
      <c r="B29" s="8" t="s">
        <v>23</v>
      </c>
      <c r="C29" s="5">
        <v>2</v>
      </c>
      <c r="E29" s="6">
        <v>77</v>
      </c>
      <c r="F29" s="4" t="s">
        <v>65</v>
      </c>
      <c r="G29" s="5">
        <v>10</v>
      </c>
    </row>
    <row r="30" spans="1:7">
      <c r="A30" s="6">
        <v>29</v>
      </c>
      <c r="B30" s="8" t="s">
        <v>24</v>
      </c>
      <c r="C30" s="5">
        <v>3</v>
      </c>
      <c r="E30" s="6">
        <v>78</v>
      </c>
      <c r="F30" s="4" t="s">
        <v>397</v>
      </c>
      <c r="G30" s="5">
        <v>1</v>
      </c>
    </row>
    <row r="31" spans="1:7">
      <c r="A31" s="6">
        <v>30</v>
      </c>
      <c r="B31" s="8" t="s">
        <v>25</v>
      </c>
      <c r="C31" s="5">
        <v>8</v>
      </c>
      <c r="E31" s="6">
        <v>79</v>
      </c>
      <c r="F31" s="4">
        <v>6208</v>
      </c>
      <c r="G31" s="5">
        <v>6</v>
      </c>
    </row>
    <row r="32" spans="1:7">
      <c r="A32" s="6">
        <v>31</v>
      </c>
      <c r="B32" s="4" t="s">
        <v>26</v>
      </c>
      <c r="C32" s="5">
        <v>3</v>
      </c>
      <c r="E32" s="6">
        <v>80</v>
      </c>
      <c r="F32" s="4" t="s">
        <v>66</v>
      </c>
      <c r="G32" s="5">
        <v>3</v>
      </c>
    </row>
    <row r="33" spans="1:7">
      <c r="A33" s="6">
        <v>32</v>
      </c>
      <c r="B33" s="4">
        <v>6405</v>
      </c>
      <c r="C33" s="5">
        <v>1</v>
      </c>
      <c r="E33" s="6">
        <v>81</v>
      </c>
      <c r="F33" s="4" t="s">
        <v>67</v>
      </c>
      <c r="G33" s="5">
        <v>1</v>
      </c>
    </row>
    <row r="34" spans="1:7">
      <c r="A34" s="6">
        <v>33</v>
      </c>
      <c r="B34" s="4">
        <v>6406</v>
      </c>
      <c r="C34" s="5">
        <v>2</v>
      </c>
      <c r="E34" s="6">
        <v>82</v>
      </c>
      <c r="F34" s="4" t="s">
        <v>68</v>
      </c>
      <c r="G34" s="5">
        <v>0</v>
      </c>
    </row>
    <row r="35" spans="1:7">
      <c r="A35" s="6">
        <v>34</v>
      </c>
      <c r="B35" s="4">
        <v>6407</v>
      </c>
      <c r="C35" s="5">
        <v>1</v>
      </c>
      <c r="E35" s="6">
        <v>83</v>
      </c>
      <c r="F35" s="4" t="s">
        <v>69</v>
      </c>
      <c r="G35" s="5">
        <v>6</v>
      </c>
    </row>
    <row r="36" spans="1:7">
      <c r="A36" s="6">
        <v>35</v>
      </c>
      <c r="B36" s="4" t="s">
        <v>27</v>
      </c>
      <c r="C36" s="5">
        <v>0</v>
      </c>
      <c r="E36" s="6">
        <v>84</v>
      </c>
      <c r="F36" s="4" t="s">
        <v>70</v>
      </c>
      <c r="G36" s="5">
        <v>0</v>
      </c>
    </row>
    <row r="37" spans="1:7">
      <c r="A37" s="6">
        <v>36</v>
      </c>
      <c r="B37" s="4" t="s">
        <v>28</v>
      </c>
      <c r="C37" s="5">
        <v>3</v>
      </c>
      <c r="E37" s="6">
        <v>85</v>
      </c>
      <c r="F37" s="4" t="s">
        <v>71</v>
      </c>
      <c r="G37" s="5">
        <v>3</v>
      </c>
    </row>
    <row r="38" spans="1:7">
      <c r="A38" s="6">
        <v>37</v>
      </c>
      <c r="B38" s="4" t="s">
        <v>29</v>
      </c>
      <c r="C38" s="5">
        <v>0</v>
      </c>
      <c r="E38" s="6">
        <v>86</v>
      </c>
      <c r="F38" s="4" t="s">
        <v>72</v>
      </c>
      <c r="G38" s="5">
        <v>2</v>
      </c>
    </row>
    <row r="39" spans="1:7">
      <c r="A39" s="6">
        <v>38</v>
      </c>
      <c r="B39" s="4" t="s">
        <v>30</v>
      </c>
      <c r="C39" s="5">
        <v>2</v>
      </c>
      <c r="E39" s="6">
        <v>87</v>
      </c>
      <c r="F39" s="4" t="s">
        <v>73</v>
      </c>
      <c r="G39" s="5">
        <v>3</v>
      </c>
    </row>
    <row r="40" spans="1:7">
      <c r="A40" s="6">
        <v>39</v>
      </c>
      <c r="B40" s="8" t="s">
        <v>31</v>
      </c>
      <c r="C40" s="5">
        <v>7</v>
      </c>
      <c r="E40" s="6">
        <v>88</v>
      </c>
      <c r="F40" s="4" t="s">
        <v>74</v>
      </c>
      <c r="G40" s="5">
        <v>2</v>
      </c>
    </row>
    <row r="41" spans="1:7">
      <c r="A41" s="6">
        <v>40</v>
      </c>
      <c r="B41" s="4" t="s">
        <v>32</v>
      </c>
      <c r="C41" s="5">
        <v>2</v>
      </c>
      <c r="E41" s="6">
        <v>89</v>
      </c>
      <c r="F41" s="4" t="s">
        <v>75</v>
      </c>
      <c r="G41" s="5">
        <v>2</v>
      </c>
    </row>
    <row r="42" spans="1:7">
      <c r="A42" s="6">
        <v>41</v>
      </c>
      <c r="B42" s="4" t="s">
        <v>33</v>
      </c>
      <c r="C42" s="5">
        <v>6</v>
      </c>
      <c r="E42" s="6">
        <v>90</v>
      </c>
      <c r="F42" s="4" t="s">
        <v>76</v>
      </c>
      <c r="G42" s="5">
        <v>2</v>
      </c>
    </row>
    <row r="43" spans="1:7">
      <c r="A43" s="6">
        <v>42</v>
      </c>
      <c r="B43" s="4" t="s">
        <v>34</v>
      </c>
      <c r="C43" s="5">
        <v>2</v>
      </c>
      <c r="E43" s="6">
        <v>91</v>
      </c>
      <c r="F43" s="4" t="s">
        <v>77</v>
      </c>
      <c r="G43" s="5">
        <v>4</v>
      </c>
    </row>
    <row r="44" spans="1:7">
      <c r="A44" s="6">
        <v>43</v>
      </c>
      <c r="B44" s="4" t="s">
        <v>35</v>
      </c>
      <c r="C44" s="5">
        <v>3</v>
      </c>
      <c r="E44" s="6">
        <v>92</v>
      </c>
      <c r="F44" s="4" t="s">
        <v>78</v>
      </c>
      <c r="G44" s="5">
        <v>2</v>
      </c>
    </row>
    <row r="45" spans="1:7">
      <c r="A45" s="6">
        <v>44</v>
      </c>
      <c r="B45" s="4" t="s">
        <v>36</v>
      </c>
      <c r="C45" s="5">
        <v>4</v>
      </c>
      <c r="E45" s="6">
        <v>93</v>
      </c>
      <c r="F45" s="4" t="s">
        <v>79</v>
      </c>
      <c r="G45" s="5">
        <v>1</v>
      </c>
    </row>
    <row r="46" spans="1:7">
      <c r="A46" s="6">
        <v>45</v>
      </c>
      <c r="B46" s="4" t="s">
        <v>37</v>
      </c>
      <c r="C46" s="5">
        <v>12</v>
      </c>
      <c r="E46" s="6">
        <v>94</v>
      </c>
      <c r="F46" s="4" t="s">
        <v>80</v>
      </c>
      <c r="G46" s="5">
        <v>1</v>
      </c>
    </row>
    <row r="47" spans="1:7">
      <c r="A47" s="6">
        <v>46</v>
      </c>
      <c r="B47" s="4">
        <v>31316</v>
      </c>
      <c r="C47" s="5">
        <v>3</v>
      </c>
      <c r="E47" s="6">
        <v>95</v>
      </c>
      <c r="F47" s="4" t="s">
        <v>81</v>
      </c>
      <c r="G47" s="5">
        <v>3</v>
      </c>
    </row>
    <row r="48" spans="1:7">
      <c r="A48" s="6">
        <v>47</v>
      </c>
      <c r="B48" s="4" t="s">
        <v>38</v>
      </c>
      <c r="C48" s="5">
        <v>7</v>
      </c>
      <c r="E48" s="6">
        <v>96</v>
      </c>
      <c r="F48" s="4" t="s">
        <v>82</v>
      </c>
      <c r="G48" s="5">
        <v>1</v>
      </c>
    </row>
    <row r="49" spans="1:7">
      <c r="A49" s="6">
        <v>48</v>
      </c>
      <c r="B49" s="4" t="s">
        <v>39</v>
      </c>
      <c r="C49" s="5">
        <v>0</v>
      </c>
      <c r="E49" s="6">
        <v>97</v>
      </c>
      <c r="F49" s="4" t="s">
        <v>83</v>
      </c>
      <c r="G49" s="5">
        <v>3</v>
      </c>
    </row>
    <row r="50" spans="1:7">
      <c r="A50" s="6">
        <v>49</v>
      </c>
      <c r="B50" s="4" t="s">
        <v>40</v>
      </c>
      <c r="C50" s="5">
        <v>4</v>
      </c>
      <c r="E50" s="6">
        <v>98</v>
      </c>
      <c r="F50" s="4" t="s">
        <v>84</v>
      </c>
      <c r="G50" s="5">
        <v>3</v>
      </c>
    </row>
    <row r="51" spans="1:7" ht="15.75">
      <c r="A51" s="2" t="s">
        <v>0</v>
      </c>
      <c r="B51" s="2" t="s">
        <v>1</v>
      </c>
      <c r="C51" s="2" t="s">
        <v>2</v>
      </c>
      <c r="E51" s="2" t="s">
        <v>0</v>
      </c>
      <c r="F51" s="2" t="s">
        <v>1</v>
      </c>
      <c r="G51" s="2" t="s">
        <v>2</v>
      </c>
    </row>
    <row r="52" spans="1:7">
      <c r="A52" s="6">
        <v>99</v>
      </c>
      <c r="B52" s="4" t="s">
        <v>85</v>
      </c>
      <c r="C52" s="5">
        <v>1</v>
      </c>
      <c r="E52" s="6">
        <v>149</v>
      </c>
      <c r="F52" s="4" t="s">
        <v>130</v>
      </c>
      <c r="G52" s="5">
        <v>1</v>
      </c>
    </row>
    <row r="53" spans="1:7">
      <c r="A53" s="6">
        <v>100</v>
      </c>
      <c r="B53" s="4" t="s">
        <v>86</v>
      </c>
      <c r="C53" s="5">
        <v>3</v>
      </c>
      <c r="E53" s="6">
        <v>150</v>
      </c>
      <c r="F53" s="4" t="s">
        <v>131</v>
      </c>
      <c r="G53" s="5">
        <v>1</v>
      </c>
    </row>
    <row r="54" spans="1:7">
      <c r="A54" s="6">
        <v>101</v>
      </c>
      <c r="B54" s="4">
        <v>51105</v>
      </c>
      <c r="C54" s="5">
        <v>5</v>
      </c>
      <c r="E54" s="6">
        <v>151</v>
      </c>
      <c r="F54" s="4" t="s">
        <v>132</v>
      </c>
      <c r="G54" s="5">
        <v>2</v>
      </c>
    </row>
    <row r="55" spans="1:7">
      <c r="A55" s="6">
        <v>102</v>
      </c>
      <c r="B55" s="4">
        <v>51211</v>
      </c>
      <c r="C55" s="5">
        <v>1</v>
      </c>
      <c r="E55" s="6">
        <v>152</v>
      </c>
      <c r="F55" s="4" t="s">
        <v>133</v>
      </c>
      <c r="G55" s="5">
        <v>2</v>
      </c>
    </row>
    <row r="56" spans="1:7">
      <c r="A56" s="6">
        <v>103</v>
      </c>
      <c r="B56" s="4">
        <v>51212</v>
      </c>
      <c r="C56" s="5">
        <v>8</v>
      </c>
      <c r="E56" s="6">
        <v>153</v>
      </c>
      <c r="F56" s="4" t="s">
        <v>134</v>
      </c>
      <c r="G56" s="5">
        <v>2</v>
      </c>
    </row>
    <row r="57" spans="1:7">
      <c r="A57" s="6">
        <v>104</v>
      </c>
      <c r="B57" s="4" t="s">
        <v>87</v>
      </c>
      <c r="C57" s="5">
        <v>8</v>
      </c>
      <c r="E57" s="6">
        <v>154</v>
      </c>
      <c r="F57" s="4" t="s">
        <v>135</v>
      </c>
      <c r="G57" s="5">
        <v>0</v>
      </c>
    </row>
    <row r="58" spans="1:7">
      <c r="A58" s="6">
        <v>105</v>
      </c>
      <c r="B58" s="4" t="s">
        <v>88</v>
      </c>
      <c r="C58" s="5">
        <v>1</v>
      </c>
      <c r="E58" s="6">
        <v>155</v>
      </c>
      <c r="F58" s="4" t="s">
        <v>136</v>
      </c>
      <c r="G58" s="5">
        <v>2</v>
      </c>
    </row>
    <row r="59" spans="1:7">
      <c r="A59" s="6">
        <v>106</v>
      </c>
      <c r="B59" s="4" t="s">
        <v>89</v>
      </c>
      <c r="C59" s="5">
        <v>3</v>
      </c>
      <c r="E59" s="6">
        <v>156</v>
      </c>
      <c r="F59" s="4" t="s">
        <v>137</v>
      </c>
      <c r="G59" s="5">
        <v>0</v>
      </c>
    </row>
    <row r="60" spans="1:7">
      <c r="A60" s="6">
        <v>107</v>
      </c>
      <c r="B60" s="4" t="s">
        <v>90</v>
      </c>
      <c r="C60" s="5">
        <v>2</v>
      </c>
      <c r="E60" s="6">
        <v>157</v>
      </c>
      <c r="F60" s="4" t="s">
        <v>138</v>
      </c>
      <c r="G60" s="5">
        <v>0</v>
      </c>
    </row>
    <row r="61" spans="1:7">
      <c r="A61" s="6">
        <v>108</v>
      </c>
      <c r="B61" s="4" t="s">
        <v>91</v>
      </c>
      <c r="C61" s="5">
        <v>0</v>
      </c>
      <c r="E61" s="6">
        <v>158</v>
      </c>
      <c r="F61" s="4" t="s">
        <v>139</v>
      </c>
      <c r="G61" s="5">
        <v>11</v>
      </c>
    </row>
    <row r="62" spans="1:7">
      <c r="A62" s="6">
        <v>109</v>
      </c>
      <c r="B62" s="4" t="s">
        <v>92</v>
      </c>
      <c r="C62" s="5">
        <v>0</v>
      </c>
      <c r="E62" s="6">
        <v>159</v>
      </c>
      <c r="F62" s="4" t="s">
        <v>140</v>
      </c>
      <c r="G62" s="5">
        <v>3</v>
      </c>
    </row>
    <row r="63" spans="1:7">
      <c r="A63" s="6">
        <v>110</v>
      </c>
      <c r="B63" s="4" t="s">
        <v>93</v>
      </c>
      <c r="C63" s="5">
        <v>1</v>
      </c>
      <c r="E63" s="6">
        <v>160</v>
      </c>
      <c r="F63" s="4" t="s">
        <v>141</v>
      </c>
      <c r="G63" s="5">
        <v>5</v>
      </c>
    </row>
    <row r="64" spans="1:7">
      <c r="A64" s="6">
        <v>111</v>
      </c>
      <c r="B64" s="4" t="s">
        <v>94</v>
      </c>
      <c r="C64" s="5">
        <v>0</v>
      </c>
      <c r="E64" s="6">
        <v>161</v>
      </c>
      <c r="F64" s="4" t="s">
        <v>142</v>
      </c>
      <c r="G64" s="5">
        <v>2</v>
      </c>
    </row>
    <row r="65" spans="1:7">
      <c r="A65" s="6">
        <v>112</v>
      </c>
      <c r="B65" s="4" t="s">
        <v>95</v>
      </c>
      <c r="C65" s="5">
        <v>2</v>
      </c>
      <c r="E65" s="6">
        <v>162</v>
      </c>
      <c r="F65" s="4" t="s">
        <v>143</v>
      </c>
      <c r="G65" s="5">
        <v>0</v>
      </c>
    </row>
    <row r="66" spans="1:7">
      <c r="A66" s="6">
        <v>113</v>
      </c>
      <c r="B66" s="4" t="s">
        <v>96</v>
      </c>
      <c r="C66" s="5">
        <v>4</v>
      </c>
      <c r="E66" s="6">
        <v>163</v>
      </c>
      <c r="F66" s="4" t="s">
        <v>144</v>
      </c>
      <c r="G66" s="5">
        <v>2</v>
      </c>
    </row>
    <row r="67" spans="1:7">
      <c r="A67" s="6">
        <v>114</v>
      </c>
      <c r="B67" s="4" t="s">
        <v>97</v>
      </c>
      <c r="C67" s="5">
        <v>5</v>
      </c>
      <c r="E67" s="6">
        <v>164</v>
      </c>
      <c r="F67" s="4" t="s">
        <v>145</v>
      </c>
      <c r="G67" s="5">
        <v>2</v>
      </c>
    </row>
    <row r="68" spans="1:7">
      <c r="A68" s="6">
        <v>115</v>
      </c>
      <c r="B68" s="4" t="s">
        <v>98</v>
      </c>
      <c r="C68" s="5">
        <v>2</v>
      </c>
      <c r="E68" s="6">
        <v>165</v>
      </c>
      <c r="F68" s="4" t="s">
        <v>146</v>
      </c>
      <c r="G68" s="5">
        <v>1</v>
      </c>
    </row>
    <row r="69" spans="1:7">
      <c r="A69" s="6">
        <v>116</v>
      </c>
      <c r="B69" s="4" t="s">
        <v>99</v>
      </c>
      <c r="C69" s="5">
        <v>10</v>
      </c>
      <c r="E69" s="6">
        <v>166</v>
      </c>
      <c r="F69" s="4" t="s">
        <v>147</v>
      </c>
      <c r="G69" s="5">
        <v>2</v>
      </c>
    </row>
    <row r="70" spans="1:7">
      <c r="A70" s="6">
        <v>117</v>
      </c>
      <c r="B70" s="4" t="s">
        <v>100</v>
      </c>
      <c r="C70" s="5">
        <v>2</v>
      </c>
      <c r="E70" s="6">
        <v>167</v>
      </c>
      <c r="F70" s="4" t="s">
        <v>148</v>
      </c>
      <c r="G70" s="5">
        <v>0</v>
      </c>
    </row>
    <row r="71" spans="1:7">
      <c r="A71" s="6">
        <v>118</v>
      </c>
      <c r="B71" s="4" t="s">
        <v>101</v>
      </c>
      <c r="C71" s="5">
        <v>3</v>
      </c>
      <c r="E71" s="6">
        <v>168</v>
      </c>
      <c r="F71" s="4" t="s">
        <v>399</v>
      </c>
      <c r="G71" s="5">
        <v>1</v>
      </c>
    </row>
    <row r="72" spans="1:7">
      <c r="A72" s="6">
        <v>119</v>
      </c>
      <c r="B72" s="4" t="s">
        <v>102</v>
      </c>
      <c r="C72" s="5">
        <v>2</v>
      </c>
      <c r="E72" s="6">
        <v>169</v>
      </c>
      <c r="F72" s="4" t="s">
        <v>392</v>
      </c>
      <c r="G72" s="5">
        <v>1</v>
      </c>
    </row>
    <row r="73" spans="1:7">
      <c r="A73" s="6">
        <v>120</v>
      </c>
      <c r="B73" s="4" t="s">
        <v>103</v>
      </c>
      <c r="C73" s="5">
        <v>0</v>
      </c>
      <c r="E73" s="6">
        <v>170</v>
      </c>
      <c r="F73" s="4" t="s">
        <v>393</v>
      </c>
      <c r="G73" s="5">
        <v>3</v>
      </c>
    </row>
    <row r="74" spans="1:7">
      <c r="A74" s="6">
        <v>121</v>
      </c>
      <c r="B74" s="7" t="s">
        <v>104</v>
      </c>
      <c r="C74" s="5">
        <v>3</v>
      </c>
      <c r="E74" s="6">
        <v>171</v>
      </c>
      <c r="F74" s="4" t="s">
        <v>394</v>
      </c>
      <c r="G74" s="5">
        <v>1</v>
      </c>
    </row>
    <row r="75" spans="1:7">
      <c r="A75" s="6">
        <v>122</v>
      </c>
      <c r="B75" s="7" t="s">
        <v>105</v>
      </c>
      <c r="C75" s="5">
        <v>1</v>
      </c>
      <c r="E75" s="6">
        <v>172</v>
      </c>
      <c r="F75" s="4" t="s">
        <v>400</v>
      </c>
      <c r="G75" s="5">
        <v>1</v>
      </c>
    </row>
    <row r="76" spans="1:7">
      <c r="A76" s="6">
        <v>123</v>
      </c>
      <c r="B76" s="7" t="s">
        <v>106</v>
      </c>
      <c r="C76" s="5">
        <v>5</v>
      </c>
    </row>
    <row r="77" spans="1:7">
      <c r="A77" s="6">
        <v>124</v>
      </c>
      <c r="B77" s="7" t="s">
        <v>107</v>
      </c>
      <c r="C77" s="5">
        <v>3</v>
      </c>
    </row>
    <row r="78" spans="1:7">
      <c r="A78" s="6">
        <v>125</v>
      </c>
      <c r="B78" s="7" t="s">
        <v>108</v>
      </c>
      <c r="C78" s="5">
        <v>1</v>
      </c>
    </row>
    <row r="79" spans="1:7">
      <c r="A79" s="6">
        <v>126</v>
      </c>
      <c r="B79" s="7" t="s">
        <v>109</v>
      </c>
      <c r="C79" s="5">
        <v>1</v>
      </c>
    </row>
    <row r="80" spans="1:7">
      <c r="A80" s="6">
        <v>127</v>
      </c>
      <c r="B80" s="4" t="s">
        <v>110</v>
      </c>
      <c r="C80" s="5">
        <v>1</v>
      </c>
    </row>
    <row r="81" spans="1:3">
      <c r="A81" s="6">
        <v>128</v>
      </c>
      <c r="B81" s="4" t="s">
        <v>111</v>
      </c>
      <c r="C81" s="5">
        <v>0</v>
      </c>
    </row>
    <row r="82" spans="1:3">
      <c r="A82" s="6">
        <v>129</v>
      </c>
      <c r="B82" s="4" t="s">
        <v>112</v>
      </c>
      <c r="C82" s="5">
        <v>0</v>
      </c>
    </row>
    <row r="83" spans="1:3">
      <c r="A83" s="6">
        <v>130</v>
      </c>
      <c r="B83" s="4" t="s">
        <v>118</v>
      </c>
      <c r="C83" s="5">
        <v>1</v>
      </c>
    </row>
    <row r="84" spans="1:3">
      <c r="A84" s="6">
        <v>131</v>
      </c>
      <c r="B84" s="4" t="s">
        <v>113</v>
      </c>
      <c r="C84" s="5">
        <v>1</v>
      </c>
    </row>
    <row r="85" spans="1:3">
      <c r="A85" s="6">
        <v>132</v>
      </c>
      <c r="B85" s="4" t="s">
        <v>114</v>
      </c>
      <c r="C85" s="5">
        <v>5</v>
      </c>
    </row>
    <row r="86" spans="1:3">
      <c r="A86" s="6">
        <v>133</v>
      </c>
      <c r="B86" s="4" t="s">
        <v>115</v>
      </c>
      <c r="C86" s="5">
        <v>0</v>
      </c>
    </row>
    <row r="87" spans="1:3">
      <c r="A87" s="6">
        <v>134</v>
      </c>
      <c r="B87" s="4" t="s">
        <v>116</v>
      </c>
      <c r="C87" s="5">
        <v>3</v>
      </c>
    </row>
    <row r="88" spans="1:3">
      <c r="A88" s="6">
        <v>135</v>
      </c>
      <c r="B88" s="4" t="s">
        <v>117</v>
      </c>
      <c r="C88" s="5">
        <v>5</v>
      </c>
    </row>
    <row r="89" spans="1:3">
      <c r="A89" s="6">
        <v>136</v>
      </c>
      <c r="B89" s="4" t="s">
        <v>118</v>
      </c>
      <c r="C89" s="5">
        <v>0</v>
      </c>
    </row>
    <row r="90" spans="1:3">
      <c r="A90" s="6">
        <v>137</v>
      </c>
      <c r="B90" s="4" t="s">
        <v>119</v>
      </c>
      <c r="C90" s="5">
        <v>4</v>
      </c>
    </row>
    <row r="91" spans="1:3">
      <c r="A91" s="6">
        <v>138</v>
      </c>
      <c r="B91" s="4" t="s">
        <v>120</v>
      </c>
      <c r="C91" s="5">
        <v>2</v>
      </c>
    </row>
    <row r="92" spans="1:3">
      <c r="A92" s="6">
        <v>139</v>
      </c>
      <c r="B92" s="4" t="s">
        <v>121</v>
      </c>
      <c r="C92" s="5">
        <v>4</v>
      </c>
    </row>
    <row r="93" spans="1:3">
      <c r="A93" s="6">
        <v>140</v>
      </c>
      <c r="B93" s="4" t="s">
        <v>122</v>
      </c>
      <c r="C93" s="5">
        <v>2</v>
      </c>
    </row>
    <row r="94" spans="1:3">
      <c r="A94" s="6">
        <v>141</v>
      </c>
      <c r="B94" s="4" t="s">
        <v>123</v>
      </c>
      <c r="C94" s="5">
        <v>4</v>
      </c>
    </row>
    <row r="95" spans="1:3">
      <c r="A95" s="6">
        <v>142</v>
      </c>
      <c r="B95" s="4" t="s">
        <v>398</v>
      </c>
      <c r="C95" s="5">
        <v>2</v>
      </c>
    </row>
    <row r="96" spans="1:3">
      <c r="A96" s="6">
        <v>143</v>
      </c>
      <c r="B96" s="4" t="s">
        <v>124</v>
      </c>
      <c r="C96" s="5">
        <v>1</v>
      </c>
    </row>
    <row r="97" spans="1:3">
      <c r="A97" s="6">
        <v>144</v>
      </c>
      <c r="B97" s="4" t="s">
        <v>125</v>
      </c>
      <c r="C97" s="5">
        <v>2</v>
      </c>
    </row>
    <row r="98" spans="1:3">
      <c r="A98" s="6">
        <v>145</v>
      </c>
      <c r="B98" s="4" t="s">
        <v>126</v>
      </c>
      <c r="C98" s="5">
        <v>2</v>
      </c>
    </row>
    <row r="99" spans="1:3">
      <c r="A99" s="6">
        <v>146</v>
      </c>
      <c r="B99" s="4" t="s">
        <v>127</v>
      </c>
      <c r="C99" s="5">
        <v>2</v>
      </c>
    </row>
    <row r="100" spans="1:3">
      <c r="A100" s="6">
        <v>147</v>
      </c>
      <c r="B100" s="4" t="s">
        <v>128</v>
      </c>
      <c r="C100" s="5">
        <v>7</v>
      </c>
    </row>
    <row r="101" spans="1:3">
      <c r="A101" s="6">
        <v>148</v>
      </c>
      <c r="B101" s="4" t="s">
        <v>129</v>
      </c>
      <c r="C101" s="5">
        <v>2</v>
      </c>
    </row>
  </sheetData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filterMode="1"/>
  <dimension ref="A1:D75"/>
  <sheetViews>
    <sheetView workbookViewId="0">
      <selection activeCell="B76" sqref="B76"/>
    </sheetView>
  </sheetViews>
  <sheetFormatPr defaultRowHeight="15"/>
  <cols>
    <col min="1" max="1" width="7.42578125" bestFit="1" customWidth="1"/>
    <col min="2" max="2" width="24.140625" customWidth="1"/>
    <col min="3" max="3" width="13.42578125" customWidth="1"/>
    <col min="4" max="4" width="7.85546875" customWidth="1"/>
  </cols>
  <sheetData>
    <row r="1" spans="1:4" ht="15.75">
      <c r="A1" s="2" t="s">
        <v>0</v>
      </c>
      <c r="B1" s="2" t="s">
        <v>213</v>
      </c>
      <c r="C1" s="3" t="s">
        <v>2</v>
      </c>
    </row>
    <row r="2" spans="1:4" ht="15.75">
      <c r="A2" s="4">
        <v>1</v>
      </c>
      <c r="B2" s="4" t="s">
        <v>149</v>
      </c>
      <c r="C2" s="5">
        <v>4</v>
      </c>
      <c r="D2" t="s">
        <v>237</v>
      </c>
    </row>
    <row r="3" spans="1:4" ht="15.75">
      <c r="A3" s="4">
        <v>2</v>
      </c>
      <c r="B3" s="4" t="s">
        <v>150</v>
      </c>
      <c r="C3" s="5">
        <v>2</v>
      </c>
      <c r="D3" t="s">
        <v>237</v>
      </c>
    </row>
    <row r="4" spans="1:4" ht="15.75" hidden="1">
      <c r="A4" s="4">
        <v>3</v>
      </c>
      <c r="B4" s="4" t="s">
        <v>151</v>
      </c>
      <c r="C4" s="5">
        <v>0</v>
      </c>
    </row>
    <row r="5" spans="1:4" ht="15.75">
      <c r="A5" s="4">
        <v>4</v>
      </c>
      <c r="B5" s="4" t="s">
        <v>152</v>
      </c>
      <c r="C5" s="5">
        <v>2</v>
      </c>
      <c r="D5" t="s">
        <v>237</v>
      </c>
    </row>
    <row r="6" spans="1:4" ht="15.75">
      <c r="A6" s="4">
        <v>5</v>
      </c>
      <c r="B6" s="4" t="s">
        <v>153</v>
      </c>
      <c r="C6" s="5">
        <v>4</v>
      </c>
      <c r="D6" t="s">
        <v>237</v>
      </c>
    </row>
    <row r="7" spans="1:4" ht="15.75" hidden="1">
      <c r="A7" s="4">
        <v>6</v>
      </c>
      <c r="B7" s="4" t="s">
        <v>154</v>
      </c>
      <c r="C7" s="5">
        <v>0</v>
      </c>
    </row>
    <row r="8" spans="1:4" ht="15.75">
      <c r="A8" s="4">
        <v>7</v>
      </c>
      <c r="B8" s="4" t="s">
        <v>155</v>
      </c>
      <c r="C8" s="5">
        <v>1</v>
      </c>
      <c r="D8" t="s">
        <v>237</v>
      </c>
    </row>
    <row r="9" spans="1:4" ht="15.75">
      <c r="A9" s="4">
        <v>8</v>
      </c>
      <c r="B9" s="4" t="s">
        <v>156</v>
      </c>
      <c r="C9" s="5">
        <v>10</v>
      </c>
      <c r="D9" t="s">
        <v>237</v>
      </c>
    </row>
    <row r="10" spans="1:4" ht="15.75" hidden="1">
      <c r="A10" s="4">
        <v>9</v>
      </c>
      <c r="B10" s="4" t="s">
        <v>157</v>
      </c>
      <c r="C10" s="5">
        <v>1</v>
      </c>
      <c r="D10" t="s">
        <v>344</v>
      </c>
    </row>
    <row r="11" spans="1:4" ht="15.75">
      <c r="A11" s="4">
        <v>10</v>
      </c>
      <c r="B11" s="4" t="s">
        <v>158</v>
      </c>
      <c r="C11" s="5">
        <v>2</v>
      </c>
      <c r="D11" t="s">
        <v>237</v>
      </c>
    </row>
    <row r="12" spans="1:4" ht="15.75">
      <c r="A12" s="4">
        <v>11</v>
      </c>
      <c r="B12" s="4" t="s">
        <v>159</v>
      </c>
      <c r="C12" s="5">
        <v>4</v>
      </c>
      <c r="D12" t="s">
        <v>237</v>
      </c>
    </row>
    <row r="13" spans="1:4" ht="15.75">
      <c r="A13" s="4">
        <v>12</v>
      </c>
      <c r="B13" s="4" t="s">
        <v>160</v>
      </c>
      <c r="C13" s="5">
        <v>2</v>
      </c>
      <c r="D13" t="s">
        <v>237</v>
      </c>
    </row>
    <row r="14" spans="1:4" ht="15.75">
      <c r="A14" s="4">
        <v>13</v>
      </c>
      <c r="B14" s="4" t="s">
        <v>161</v>
      </c>
      <c r="C14" s="5">
        <v>5</v>
      </c>
      <c r="D14" t="s">
        <v>237</v>
      </c>
    </row>
    <row r="15" spans="1:4" ht="15.75" hidden="1">
      <c r="A15" s="4">
        <v>14</v>
      </c>
      <c r="B15" s="4" t="s">
        <v>162</v>
      </c>
      <c r="C15" s="5">
        <v>6</v>
      </c>
      <c r="D15" t="s">
        <v>307</v>
      </c>
    </row>
    <row r="16" spans="1:4" ht="15.75">
      <c r="A16" s="4">
        <v>15</v>
      </c>
      <c r="B16" s="4" t="s">
        <v>163</v>
      </c>
      <c r="C16" s="5">
        <v>3</v>
      </c>
      <c r="D16" t="s">
        <v>237</v>
      </c>
    </row>
    <row r="17" spans="1:4" ht="15.75">
      <c r="A17" s="4">
        <v>16</v>
      </c>
      <c r="B17" s="4" t="s">
        <v>164</v>
      </c>
      <c r="C17" s="5">
        <v>3</v>
      </c>
      <c r="D17" t="s">
        <v>237</v>
      </c>
    </row>
    <row r="18" spans="1:4" ht="15.75" hidden="1">
      <c r="A18" s="4">
        <v>17</v>
      </c>
      <c r="B18" s="4" t="s">
        <v>165</v>
      </c>
      <c r="C18" s="5">
        <v>25</v>
      </c>
      <c r="D18" t="s">
        <v>307</v>
      </c>
    </row>
    <row r="19" spans="1:4" ht="15.75">
      <c r="A19" s="4">
        <v>18</v>
      </c>
      <c r="B19" s="4" t="s">
        <v>166</v>
      </c>
      <c r="C19" s="5">
        <v>12</v>
      </c>
      <c r="D19" t="s">
        <v>237</v>
      </c>
    </row>
    <row r="20" spans="1:4" ht="15.75" hidden="1">
      <c r="A20" s="4">
        <v>19</v>
      </c>
      <c r="B20" s="4" t="s">
        <v>167</v>
      </c>
      <c r="C20" s="5">
        <v>10</v>
      </c>
      <c r="D20" t="s">
        <v>307</v>
      </c>
    </row>
    <row r="21" spans="1:4" ht="15.75" hidden="1">
      <c r="A21" s="4">
        <v>20</v>
      </c>
      <c r="B21" s="4" t="s">
        <v>168</v>
      </c>
      <c r="C21" s="5">
        <v>6</v>
      </c>
      <c r="D21" t="s">
        <v>217</v>
      </c>
    </row>
    <row r="22" spans="1:4" ht="15.75" hidden="1">
      <c r="A22" s="4">
        <v>21</v>
      </c>
      <c r="B22" s="4" t="s">
        <v>169</v>
      </c>
      <c r="C22" s="5">
        <v>1</v>
      </c>
      <c r="D22" t="s">
        <v>344</v>
      </c>
    </row>
    <row r="23" spans="1:4" ht="15.75">
      <c r="A23" s="4">
        <v>22</v>
      </c>
      <c r="B23" s="4" t="s">
        <v>170</v>
      </c>
      <c r="C23" s="5">
        <v>10</v>
      </c>
      <c r="D23" t="s">
        <v>237</v>
      </c>
    </row>
    <row r="24" spans="1:4" ht="15.75" hidden="1">
      <c r="A24" s="4">
        <v>23</v>
      </c>
      <c r="B24" s="4" t="s">
        <v>171</v>
      </c>
      <c r="C24" s="5">
        <v>10</v>
      </c>
      <c r="D24" t="s">
        <v>307</v>
      </c>
    </row>
    <row r="25" spans="1:4" ht="15.75">
      <c r="A25" s="4">
        <v>24</v>
      </c>
      <c r="B25" s="4" t="s">
        <v>172</v>
      </c>
      <c r="C25" s="5">
        <v>8</v>
      </c>
      <c r="D25" t="s">
        <v>237</v>
      </c>
    </row>
    <row r="26" spans="1:4" ht="15.75" hidden="1">
      <c r="A26" s="4">
        <v>25</v>
      </c>
      <c r="B26" s="4" t="s">
        <v>173</v>
      </c>
      <c r="C26" s="5">
        <v>2</v>
      </c>
      <c r="D26" t="s">
        <v>307</v>
      </c>
    </row>
    <row r="27" spans="1:4" ht="15.75">
      <c r="A27" s="4">
        <v>26</v>
      </c>
      <c r="B27" s="4" t="s">
        <v>174</v>
      </c>
      <c r="C27" s="5">
        <v>1</v>
      </c>
      <c r="D27" t="s">
        <v>237</v>
      </c>
    </row>
    <row r="28" spans="1:4" ht="15.75" hidden="1">
      <c r="A28" s="4">
        <v>27</v>
      </c>
      <c r="B28" s="4" t="s">
        <v>175</v>
      </c>
      <c r="C28" s="5">
        <v>4</v>
      </c>
      <c r="D28" t="s">
        <v>307</v>
      </c>
    </row>
    <row r="29" spans="1:4" ht="15.75" hidden="1">
      <c r="A29" s="4">
        <v>28</v>
      </c>
      <c r="B29" s="4" t="s">
        <v>176</v>
      </c>
      <c r="C29" s="5">
        <v>7</v>
      </c>
      <c r="D29" t="s">
        <v>217</v>
      </c>
    </row>
    <row r="30" spans="1:4" ht="15.75" hidden="1">
      <c r="A30" s="4">
        <v>29</v>
      </c>
      <c r="B30" s="4" t="s">
        <v>177</v>
      </c>
      <c r="C30" s="5">
        <v>4</v>
      </c>
      <c r="D30" t="s">
        <v>217</v>
      </c>
    </row>
    <row r="31" spans="1:4" ht="15.75" hidden="1">
      <c r="A31" s="4">
        <v>30</v>
      </c>
      <c r="B31" s="4" t="s">
        <v>178</v>
      </c>
      <c r="C31" s="5">
        <v>1</v>
      </c>
      <c r="D31" t="s">
        <v>217</v>
      </c>
    </row>
    <row r="32" spans="1:4" ht="15.75" hidden="1">
      <c r="A32" s="4">
        <v>31</v>
      </c>
      <c r="B32" s="4" t="s">
        <v>179</v>
      </c>
      <c r="C32" s="5">
        <v>8</v>
      </c>
      <c r="D32" t="s">
        <v>217</v>
      </c>
    </row>
    <row r="33" spans="1:4" ht="15.75" hidden="1">
      <c r="A33" s="4">
        <v>32</v>
      </c>
      <c r="B33" s="4" t="s">
        <v>180</v>
      </c>
      <c r="C33" s="5">
        <v>0</v>
      </c>
    </row>
    <row r="34" spans="1:4" ht="15.75" hidden="1">
      <c r="A34" s="4">
        <v>33</v>
      </c>
      <c r="B34" s="4" t="s">
        <v>181</v>
      </c>
      <c r="C34" s="5">
        <v>7</v>
      </c>
      <c r="D34" t="s">
        <v>217</v>
      </c>
    </row>
    <row r="35" spans="1:4" ht="15.75" hidden="1">
      <c r="A35" s="4">
        <v>34</v>
      </c>
      <c r="B35" s="4" t="s">
        <v>182</v>
      </c>
      <c r="C35" s="5">
        <v>11</v>
      </c>
      <c r="D35" t="s">
        <v>217</v>
      </c>
    </row>
    <row r="36" spans="1:4" ht="15.75" hidden="1">
      <c r="A36" s="4">
        <v>35</v>
      </c>
      <c r="B36" s="4" t="s">
        <v>183</v>
      </c>
      <c r="C36" s="5">
        <v>8</v>
      </c>
      <c r="D36" t="s">
        <v>217</v>
      </c>
    </row>
    <row r="37" spans="1:4" ht="15.75" hidden="1">
      <c r="A37" s="4">
        <v>36</v>
      </c>
      <c r="B37" s="4" t="s">
        <v>184</v>
      </c>
      <c r="C37" s="5">
        <v>8</v>
      </c>
      <c r="D37" t="s">
        <v>217</v>
      </c>
    </row>
    <row r="38" spans="1:4" ht="15.75" hidden="1">
      <c r="A38" s="4">
        <v>37</v>
      </c>
      <c r="B38" s="4" t="s">
        <v>185</v>
      </c>
      <c r="C38" s="5">
        <v>12</v>
      </c>
      <c r="D38" t="s">
        <v>325</v>
      </c>
    </row>
    <row r="39" spans="1:4" ht="15.75" hidden="1">
      <c r="A39" s="4">
        <v>38</v>
      </c>
      <c r="B39" s="4" t="s">
        <v>186</v>
      </c>
      <c r="C39" s="5">
        <v>0</v>
      </c>
    </row>
    <row r="40" spans="1:4" ht="15.75" hidden="1">
      <c r="A40" s="4">
        <v>39</v>
      </c>
      <c r="B40" s="4" t="s">
        <v>187</v>
      </c>
      <c r="C40" s="5">
        <v>10</v>
      </c>
      <c r="D40" t="s">
        <v>325</v>
      </c>
    </row>
    <row r="41" spans="1:4" ht="15.75" hidden="1">
      <c r="A41" s="4">
        <v>40</v>
      </c>
      <c r="B41" s="4" t="s">
        <v>188</v>
      </c>
      <c r="C41" s="5">
        <v>13</v>
      </c>
      <c r="D41" t="s">
        <v>325</v>
      </c>
    </row>
    <row r="42" spans="1:4" ht="15.75" hidden="1">
      <c r="A42" s="4">
        <v>41</v>
      </c>
      <c r="B42" s="4" t="s">
        <v>189</v>
      </c>
      <c r="C42" s="5">
        <v>7</v>
      </c>
      <c r="D42" t="s">
        <v>217</v>
      </c>
    </row>
    <row r="43" spans="1:4" ht="15.75" hidden="1">
      <c r="A43" s="4">
        <v>42</v>
      </c>
      <c r="B43" s="4" t="s">
        <v>190</v>
      </c>
      <c r="C43" s="5">
        <v>13</v>
      </c>
      <c r="D43" t="s">
        <v>325</v>
      </c>
    </row>
    <row r="44" spans="1:4" ht="15.75" hidden="1">
      <c r="A44" s="4">
        <v>43</v>
      </c>
      <c r="B44" s="4" t="s">
        <v>191</v>
      </c>
      <c r="C44" s="5">
        <v>16</v>
      </c>
      <c r="D44" t="s">
        <v>325</v>
      </c>
    </row>
    <row r="45" spans="1:4" ht="15.75" hidden="1">
      <c r="A45" s="4">
        <v>44</v>
      </c>
      <c r="B45" s="4" t="s">
        <v>192</v>
      </c>
      <c r="C45" s="5">
        <v>6</v>
      </c>
      <c r="D45" t="s">
        <v>316</v>
      </c>
    </row>
    <row r="46" spans="1:4" ht="15.75" hidden="1">
      <c r="A46" s="4">
        <v>45</v>
      </c>
      <c r="B46" s="4" t="s">
        <v>193</v>
      </c>
      <c r="C46" s="5">
        <v>19</v>
      </c>
      <c r="D46" t="s">
        <v>217</v>
      </c>
    </row>
    <row r="47" spans="1:4" ht="15.75" hidden="1">
      <c r="A47" s="4">
        <v>46</v>
      </c>
      <c r="B47" s="4" t="s">
        <v>194</v>
      </c>
      <c r="C47" s="5">
        <v>8</v>
      </c>
      <c r="D47" t="s">
        <v>316</v>
      </c>
    </row>
    <row r="48" spans="1:4" ht="15.75" hidden="1">
      <c r="A48" s="4">
        <v>47</v>
      </c>
      <c r="B48" s="4" t="s">
        <v>195</v>
      </c>
      <c r="C48" s="5">
        <v>6</v>
      </c>
      <c r="D48" t="s">
        <v>343</v>
      </c>
    </row>
    <row r="49" spans="1:4" ht="15.75" hidden="1">
      <c r="A49" s="4">
        <v>48</v>
      </c>
      <c r="B49" s="4" t="s">
        <v>196</v>
      </c>
      <c r="C49" s="5">
        <v>5</v>
      </c>
      <c r="D49" t="s">
        <v>332</v>
      </c>
    </row>
    <row r="50" spans="1:4" ht="15.75" hidden="1">
      <c r="A50" s="4">
        <v>49</v>
      </c>
      <c r="B50" s="4" t="s">
        <v>197</v>
      </c>
      <c r="C50" s="5">
        <v>14</v>
      </c>
      <c r="D50" t="s">
        <v>332</v>
      </c>
    </row>
    <row r="51" spans="1:4" ht="15.75" hidden="1">
      <c r="A51" s="4">
        <v>50</v>
      </c>
      <c r="B51" s="4" t="s">
        <v>198</v>
      </c>
      <c r="C51" s="5">
        <v>14</v>
      </c>
      <c r="D51" t="s">
        <v>332</v>
      </c>
    </row>
    <row r="52" spans="1:4" ht="15.75" hidden="1">
      <c r="A52" s="4">
        <v>51</v>
      </c>
      <c r="B52" s="4" t="s">
        <v>199</v>
      </c>
      <c r="C52" s="5">
        <v>7</v>
      </c>
      <c r="D52" t="s">
        <v>332</v>
      </c>
    </row>
    <row r="53" spans="1:4" ht="15.75" hidden="1">
      <c r="A53" s="4">
        <v>52</v>
      </c>
      <c r="B53" s="4" t="s">
        <v>200</v>
      </c>
      <c r="C53" s="5">
        <v>5</v>
      </c>
      <c r="D53" t="s">
        <v>332</v>
      </c>
    </row>
    <row r="54" spans="1:4" ht="15.75" hidden="1">
      <c r="A54" s="4">
        <v>53</v>
      </c>
      <c r="B54" s="4" t="s">
        <v>201</v>
      </c>
      <c r="C54" s="5">
        <v>18</v>
      </c>
      <c r="D54" t="s">
        <v>344</v>
      </c>
    </row>
    <row r="55" spans="1:4" ht="15.75" hidden="1">
      <c r="A55" s="4">
        <v>54</v>
      </c>
      <c r="B55" s="4" t="s">
        <v>202</v>
      </c>
      <c r="C55" s="5">
        <v>2</v>
      </c>
      <c r="D55" t="s">
        <v>344</v>
      </c>
    </row>
    <row r="56" spans="1:4" ht="15.75" hidden="1">
      <c r="A56" s="4">
        <v>55</v>
      </c>
      <c r="B56" s="4" t="s">
        <v>203</v>
      </c>
      <c r="C56" s="5">
        <v>11</v>
      </c>
      <c r="D56" t="s">
        <v>344</v>
      </c>
    </row>
    <row r="57" spans="1:4" ht="15.75" hidden="1">
      <c r="A57" s="4">
        <v>56</v>
      </c>
      <c r="B57" s="4" t="s">
        <v>204</v>
      </c>
      <c r="C57" s="5">
        <v>3</v>
      </c>
      <c r="D57" t="s">
        <v>344</v>
      </c>
    </row>
    <row r="58" spans="1:4" ht="15.75" hidden="1">
      <c r="A58" s="4">
        <v>57</v>
      </c>
      <c r="B58" s="4" t="s">
        <v>205</v>
      </c>
      <c r="C58" s="5">
        <v>14</v>
      </c>
      <c r="D58" t="s">
        <v>307</v>
      </c>
    </row>
    <row r="59" spans="1:4" ht="15.75" hidden="1">
      <c r="A59" s="4">
        <v>58</v>
      </c>
      <c r="B59" s="4" t="s">
        <v>206</v>
      </c>
      <c r="C59" s="5">
        <v>18</v>
      </c>
      <c r="D59" t="s">
        <v>344</v>
      </c>
    </row>
    <row r="60" spans="1:4" ht="15.75" hidden="1">
      <c r="A60" s="4">
        <v>59</v>
      </c>
      <c r="B60" s="4" t="s">
        <v>207</v>
      </c>
      <c r="C60" s="5">
        <v>7</v>
      </c>
      <c r="D60" t="s">
        <v>316</v>
      </c>
    </row>
    <row r="61" spans="1:4" ht="15.75" hidden="1">
      <c r="A61" s="4">
        <v>60</v>
      </c>
      <c r="B61" s="4" t="s">
        <v>208</v>
      </c>
      <c r="C61" s="5">
        <v>9</v>
      </c>
      <c r="D61" t="s">
        <v>316</v>
      </c>
    </row>
    <row r="62" spans="1:4" ht="15.75" hidden="1">
      <c r="A62" s="4">
        <v>61</v>
      </c>
      <c r="B62" s="4" t="s">
        <v>209</v>
      </c>
      <c r="C62" s="5">
        <v>6</v>
      </c>
      <c r="D62" t="s">
        <v>343</v>
      </c>
    </row>
    <row r="63" spans="1:4" ht="15.75" hidden="1">
      <c r="A63" s="4">
        <v>62</v>
      </c>
      <c r="B63" s="4" t="s">
        <v>210</v>
      </c>
      <c r="C63" s="5">
        <v>7</v>
      </c>
      <c r="D63" t="s">
        <v>343</v>
      </c>
    </row>
    <row r="64" spans="1:4" ht="15.75" hidden="1">
      <c r="A64" s="4">
        <v>63</v>
      </c>
      <c r="B64" s="4" t="s">
        <v>211</v>
      </c>
      <c r="C64" s="5">
        <v>9</v>
      </c>
      <c r="D64" t="s">
        <v>343</v>
      </c>
    </row>
    <row r="65" spans="1:4" ht="15.75" hidden="1">
      <c r="A65" s="4">
        <v>64</v>
      </c>
      <c r="B65" s="4" t="s">
        <v>212</v>
      </c>
      <c r="C65" s="5">
        <v>4</v>
      </c>
      <c r="D65" t="s">
        <v>343</v>
      </c>
    </row>
    <row r="66" spans="1:4" ht="15.75" hidden="1">
      <c r="A66" s="4">
        <v>65</v>
      </c>
      <c r="B66" s="4" t="s">
        <v>216</v>
      </c>
      <c r="C66" s="9">
        <v>5</v>
      </c>
      <c r="D66" t="s">
        <v>217</v>
      </c>
    </row>
    <row r="67" spans="1:4" ht="15.75">
      <c r="A67" s="4">
        <v>66</v>
      </c>
      <c r="B67" s="4" t="s">
        <v>234</v>
      </c>
      <c r="C67" s="9">
        <v>1</v>
      </c>
      <c r="D67" t="s">
        <v>237</v>
      </c>
    </row>
    <row r="68" spans="1:4" ht="15.75">
      <c r="A68" s="4">
        <v>67</v>
      </c>
      <c r="B68" s="4" t="s">
        <v>235</v>
      </c>
      <c r="C68" s="9">
        <v>3</v>
      </c>
      <c r="D68" t="s">
        <v>237</v>
      </c>
    </row>
    <row r="69" spans="1:4" ht="15.75">
      <c r="A69" s="4">
        <v>68</v>
      </c>
      <c r="B69" s="4" t="s">
        <v>236</v>
      </c>
      <c r="C69" s="9">
        <v>3</v>
      </c>
      <c r="D69" t="s">
        <v>237</v>
      </c>
    </row>
    <row r="70" spans="1:4" ht="15.75" hidden="1">
      <c r="A70" s="4">
        <v>69</v>
      </c>
      <c r="B70" s="4" t="s">
        <v>305</v>
      </c>
      <c r="C70" s="9">
        <v>1</v>
      </c>
      <c r="D70" t="s">
        <v>307</v>
      </c>
    </row>
    <row r="71" spans="1:4" ht="15.75" hidden="1">
      <c r="A71" s="4">
        <v>70</v>
      </c>
      <c r="B71" s="4" t="s">
        <v>306</v>
      </c>
      <c r="C71" s="9">
        <v>3</v>
      </c>
      <c r="D71" t="s">
        <v>307</v>
      </c>
    </row>
    <row r="72" spans="1:4" ht="15.75" hidden="1">
      <c r="A72" s="4">
        <v>71</v>
      </c>
      <c r="B72" s="4" t="s">
        <v>339</v>
      </c>
      <c r="C72" s="9">
        <v>3</v>
      </c>
      <c r="D72" t="s">
        <v>332</v>
      </c>
    </row>
    <row r="73" spans="1:4" ht="15.75" hidden="1">
      <c r="A73" s="4">
        <v>72</v>
      </c>
      <c r="B73" s="4" t="s">
        <v>340</v>
      </c>
      <c r="C73" s="9">
        <v>2</v>
      </c>
      <c r="D73" t="s">
        <v>332</v>
      </c>
    </row>
    <row r="74" spans="1:4" ht="15.75" hidden="1">
      <c r="A74" s="4">
        <v>73</v>
      </c>
      <c r="B74" s="4" t="s">
        <v>345</v>
      </c>
      <c r="C74" s="9">
        <v>3</v>
      </c>
      <c r="D74" t="s">
        <v>343</v>
      </c>
    </row>
    <row r="75" spans="1:4" ht="15.75" hidden="1">
      <c r="A75" s="4">
        <v>74</v>
      </c>
      <c r="B75" s="4" t="s">
        <v>346</v>
      </c>
      <c r="C75" s="9">
        <v>1</v>
      </c>
      <c r="D75" t="s">
        <v>344</v>
      </c>
    </row>
  </sheetData>
  <autoFilter ref="A1:D75">
    <filterColumn colId="3">
      <filters>
        <filter val="2B"/>
      </filters>
    </filterColumn>
  </autoFilter>
  <sortState ref="A2:D75">
    <sortCondition ref="A1"/>
  </sortState>
  <pageMargins left="0.2" right="0.2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F94"/>
  <sheetViews>
    <sheetView topLeftCell="A71" workbookViewId="0">
      <selection activeCell="E28" sqref="E28"/>
    </sheetView>
  </sheetViews>
  <sheetFormatPr defaultRowHeight="15"/>
  <cols>
    <col min="1" max="1" width="9.7109375" bestFit="1" customWidth="1"/>
    <col min="2" max="2" width="17.140625" customWidth="1"/>
    <col min="3" max="3" width="12.42578125" customWidth="1"/>
    <col min="4" max="4" width="12.42578125" bestFit="1" customWidth="1"/>
    <col min="5" max="5" width="12" customWidth="1"/>
    <col min="6" max="6" width="12.5703125" bestFit="1" customWidth="1"/>
    <col min="9" max="9" width="12.28515625" bestFit="1" customWidth="1"/>
  </cols>
  <sheetData>
    <row r="1" spans="1:6" ht="38.25">
      <c r="A1" s="180" t="s">
        <v>324</v>
      </c>
      <c r="B1" s="180"/>
      <c r="C1" s="180"/>
      <c r="D1" s="180"/>
      <c r="E1" s="180"/>
      <c r="F1" s="180"/>
    </row>
    <row r="2" spans="1:6" ht="31.5">
      <c r="A2" s="10" t="s">
        <v>232</v>
      </c>
      <c r="B2" s="11" t="s">
        <v>213</v>
      </c>
      <c r="C2" s="10" t="s">
        <v>361</v>
      </c>
      <c r="D2" s="10" t="s">
        <v>233</v>
      </c>
      <c r="E2" s="12" t="s">
        <v>218</v>
      </c>
      <c r="F2" s="12" t="s">
        <v>219</v>
      </c>
    </row>
    <row r="3" spans="1:6" ht="21.75" customHeight="1">
      <c r="A3" s="15" t="s">
        <v>220</v>
      </c>
      <c r="B3" s="15" t="s">
        <v>168</v>
      </c>
      <c r="C3" s="13" t="s">
        <v>362</v>
      </c>
      <c r="D3" s="13">
        <v>6</v>
      </c>
      <c r="E3" s="16"/>
      <c r="F3" s="16"/>
    </row>
    <row r="4" spans="1:6" ht="21.75" customHeight="1">
      <c r="A4" s="15" t="s">
        <v>221</v>
      </c>
      <c r="B4" s="15" t="s">
        <v>176</v>
      </c>
      <c r="C4" s="13" t="s">
        <v>362</v>
      </c>
      <c r="D4" s="13">
        <v>7</v>
      </c>
      <c r="E4" s="16"/>
      <c r="F4" s="16"/>
    </row>
    <row r="5" spans="1:6" ht="21.75" customHeight="1">
      <c r="A5" s="15" t="s">
        <v>222</v>
      </c>
      <c r="B5" s="15" t="s">
        <v>177</v>
      </c>
      <c r="C5" s="13" t="s">
        <v>362</v>
      </c>
      <c r="D5" s="13">
        <v>4</v>
      </c>
      <c r="E5" s="16"/>
      <c r="F5" s="16"/>
    </row>
    <row r="6" spans="1:6" ht="21.75" customHeight="1">
      <c r="A6" s="15" t="s">
        <v>223</v>
      </c>
      <c r="B6" s="15" t="s">
        <v>178</v>
      </c>
      <c r="C6" s="13" t="s">
        <v>362</v>
      </c>
      <c r="D6" s="13">
        <v>1</v>
      </c>
      <c r="E6" s="16"/>
      <c r="F6" s="16"/>
    </row>
    <row r="7" spans="1:6" ht="21.75" customHeight="1">
      <c r="A7" s="15" t="s">
        <v>224</v>
      </c>
      <c r="B7" s="15" t="s">
        <v>179</v>
      </c>
      <c r="C7" s="13" t="s">
        <v>362</v>
      </c>
      <c r="D7" s="13">
        <v>8</v>
      </c>
      <c r="E7" s="16"/>
      <c r="F7" s="16"/>
    </row>
    <row r="8" spans="1:6" ht="21.75" customHeight="1">
      <c r="A8" s="15" t="s">
        <v>225</v>
      </c>
      <c r="B8" s="15" t="s">
        <v>181</v>
      </c>
      <c r="C8" s="13" t="s">
        <v>362</v>
      </c>
      <c r="D8" s="13">
        <v>7</v>
      </c>
      <c r="E8" s="16"/>
      <c r="F8" s="16"/>
    </row>
    <row r="9" spans="1:6" ht="21.75" customHeight="1">
      <c r="A9" s="15" t="s">
        <v>226</v>
      </c>
      <c r="B9" s="15" t="s">
        <v>182</v>
      </c>
      <c r="C9" s="13" t="s">
        <v>362</v>
      </c>
      <c r="D9" s="13">
        <v>11</v>
      </c>
      <c r="E9" s="16"/>
      <c r="F9" s="16"/>
    </row>
    <row r="10" spans="1:6" ht="21.75" customHeight="1">
      <c r="A10" s="15" t="s">
        <v>227</v>
      </c>
      <c r="B10" s="15" t="s">
        <v>183</v>
      </c>
      <c r="C10" s="13" t="s">
        <v>362</v>
      </c>
      <c r="D10" s="13">
        <v>8</v>
      </c>
      <c r="E10" s="16"/>
      <c r="F10" s="16"/>
    </row>
    <row r="11" spans="1:6" ht="21.75" customHeight="1">
      <c r="A11" s="15" t="s">
        <v>228</v>
      </c>
      <c r="B11" s="15" t="s">
        <v>184</v>
      </c>
      <c r="C11" s="13" t="s">
        <v>362</v>
      </c>
      <c r="D11" s="13">
        <v>8</v>
      </c>
      <c r="E11" s="16"/>
      <c r="F11" s="16"/>
    </row>
    <row r="12" spans="1:6" ht="21.75" customHeight="1">
      <c r="A12" s="15" t="s">
        <v>229</v>
      </c>
      <c r="B12" s="15" t="s">
        <v>189</v>
      </c>
      <c r="C12" s="13" t="s">
        <v>362</v>
      </c>
      <c r="D12" s="13">
        <v>6</v>
      </c>
      <c r="E12" s="16"/>
      <c r="F12" s="16"/>
    </row>
    <row r="13" spans="1:6" ht="21.75" customHeight="1">
      <c r="A13" s="15" t="s">
        <v>230</v>
      </c>
      <c r="B13" s="15" t="s">
        <v>193</v>
      </c>
      <c r="C13" s="13" t="s">
        <v>362</v>
      </c>
      <c r="D13" s="13">
        <v>19</v>
      </c>
      <c r="E13" s="16"/>
      <c r="F13" s="16"/>
    </row>
    <row r="14" spans="1:6" ht="21.75" customHeight="1">
      <c r="A14" s="15" t="s">
        <v>231</v>
      </c>
      <c r="B14" s="15" t="s">
        <v>216</v>
      </c>
      <c r="C14" s="13" t="s">
        <v>362</v>
      </c>
      <c r="D14" s="14">
        <v>5</v>
      </c>
      <c r="E14" s="16"/>
      <c r="F14" s="16"/>
    </row>
    <row r="16" spans="1:6" s="17" customFormat="1" ht="21.75" customHeight="1"/>
    <row r="17" spans="1:6" s="17" customFormat="1" ht="38.25">
      <c r="A17" s="180" t="s">
        <v>323</v>
      </c>
      <c r="B17" s="180"/>
      <c r="C17" s="180"/>
      <c r="D17" s="180"/>
      <c r="E17" s="180"/>
      <c r="F17" s="180"/>
    </row>
    <row r="18" spans="1:6" s="17" customFormat="1" ht="31.5">
      <c r="A18" s="10" t="s">
        <v>232</v>
      </c>
      <c r="B18" s="11" t="s">
        <v>213</v>
      </c>
      <c r="C18" s="10" t="s">
        <v>361</v>
      </c>
      <c r="D18" s="10" t="s">
        <v>233</v>
      </c>
      <c r="E18" s="12" t="s">
        <v>218</v>
      </c>
      <c r="F18" s="12" t="s">
        <v>219</v>
      </c>
    </row>
    <row r="19" spans="1:6" s="17" customFormat="1" ht="21.75" customHeight="1">
      <c r="A19" s="15" t="s">
        <v>239</v>
      </c>
      <c r="B19" s="15" t="s">
        <v>149</v>
      </c>
      <c r="C19" s="13" t="s">
        <v>362</v>
      </c>
      <c r="D19" s="13">
        <v>4</v>
      </c>
      <c r="E19" s="16"/>
      <c r="F19" s="16"/>
    </row>
    <row r="20" spans="1:6" s="17" customFormat="1" ht="21.75" customHeight="1">
      <c r="A20" s="15" t="s">
        <v>240</v>
      </c>
      <c r="B20" s="15" t="s">
        <v>150</v>
      </c>
      <c r="C20" s="13" t="s">
        <v>362</v>
      </c>
      <c r="D20" s="13">
        <v>2</v>
      </c>
      <c r="E20" s="16"/>
      <c r="F20" s="16"/>
    </row>
    <row r="21" spans="1:6" s="17" customFormat="1" ht="21.75" customHeight="1">
      <c r="A21" s="15" t="s">
        <v>241</v>
      </c>
      <c r="B21" s="15" t="s">
        <v>152</v>
      </c>
      <c r="C21" s="13" t="s">
        <v>362</v>
      </c>
      <c r="D21" s="13">
        <v>2</v>
      </c>
      <c r="E21" s="16"/>
      <c r="F21" s="16"/>
    </row>
    <row r="22" spans="1:6" s="17" customFormat="1" ht="21.75" customHeight="1">
      <c r="A22" s="15" t="s">
        <v>238</v>
      </c>
      <c r="B22" s="15" t="s">
        <v>153</v>
      </c>
      <c r="C22" s="13" t="s">
        <v>362</v>
      </c>
      <c r="D22" s="13">
        <v>4</v>
      </c>
      <c r="E22" s="16"/>
      <c r="F22" s="16"/>
    </row>
    <row r="23" spans="1:6" s="17" customFormat="1" ht="21.75" customHeight="1">
      <c r="A23" s="15" t="s">
        <v>242</v>
      </c>
      <c r="B23" s="15" t="s">
        <v>155</v>
      </c>
      <c r="C23" s="13" t="s">
        <v>362</v>
      </c>
      <c r="D23" s="13">
        <v>1</v>
      </c>
      <c r="E23" s="16"/>
      <c r="F23" s="16"/>
    </row>
    <row r="24" spans="1:6" ht="21.75" customHeight="1">
      <c r="A24" s="15" t="s">
        <v>243</v>
      </c>
      <c r="B24" s="15" t="s">
        <v>156</v>
      </c>
      <c r="C24" s="13" t="s">
        <v>362</v>
      </c>
      <c r="D24" s="13">
        <v>10</v>
      </c>
      <c r="E24" s="16"/>
      <c r="F24" s="16"/>
    </row>
    <row r="25" spans="1:6" ht="21.75" customHeight="1">
      <c r="A25" s="15" t="s">
        <v>244</v>
      </c>
      <c r="B25" s="15" t="s">
        <v>158</v>
      </c>
      <c r="C25" s="13" t="s">
        <v>362</v>
      </c>
      <c r="D25" s="13">
        <v>2</v>
      </c>
      <c r="E25" s="16"/>
      <c r="F25" s="16"/>
    </row>
    <row r="26" spans="1:6" ht="21.75" customHeight="1">
      <c r="A26" s="15" t="s">
        <v>245</v>
      </c>
      <c r="B26" s="15" t="s">
        <v>159</v>
      </c>
      <c r="C26" s="13" t="s">
        <v>362</v>
      </c>
      <c r="D26" s="13">
        <v>4</v>
      </c>
      <c r="E26" s="16"/>
      <c r="F26" s="16"/>
    </row>
    <row r="27" spans="1:6" ht="21.75" customHeight="1">
      <c r="A27" s="15" t="s">
        <v>246</v>
      </c>
      <c r="B27" s="15" t="s">
        <v>160</v>
      </c>
      <c r="C27" s="13" t="s">
        <v>362</v>
      </c>
      <c r="D27" s="13">
        <v>2</v>
      </c>
      <c r="E27" s="16"/>
      <c r="F27" s="16"/>
    </row>
    <row r="28" spans="1:6" ht="21.75" customHeight="1">
      <c r="A28" s="15" t="s">
        <v>247</v>
      </c>
      <c r="B28" s="15" t="s">
        <v>161</v>
      </c>
      <c r="C28" s="13" t="s">
        <v>362</v>
      </c>
      <c r="D28" s="13">
        <v>5</v>
      </c>
      <c r="E28" s="16"/>
      <c r="F28" s="16"/>
    </row>
    <row r="29" spans="1:6" ht="21.75" customHeight="1">
      <c r="A29" s="15" t="s">
        <v>248</v>
      </c>
      <c r="B29" s="15" t="s">
        <v>163</v>
      </c>
      <c r="C29" s="13" t="s">
        <v>362</v>
      </c>
      <c r="D29" s="13">
        <v>3</v>
      </c>
      <c r="E29" s="16"/>
      <c r="F29" s="16"/>
    </row>
    <row r="30" spans="1:6" ht="21.75" customHeight="1">
      <c r="A30" s="15" t="s">
        <v>249</v>
      </c>
      <c r="B30" s="15" t="s">
        <v>164</v>
      </c>
      <c r="C30" s="13" t="s">
        <v>362</v>
      </c>
      <c r="D30" s="13">
        <v>3</v>
      </c>
      <c r="E30" s="16"/>
      <c r="F30" s="16"/>
    </row>
    <row r="31" spans="1:6" ht="21.75" customHeight="1">
      <c r="A31" s="15" t="s">
        <v>251</v>
      </c>
      <c r="B31" s="15" t="s">
        <v>166</v>
      </c>
      <c r="C31" s="13" t="s">
        <v>362</v>
      </c>
      <c r="D31" s="13">
        <v>12</v>
      </c>
      <c r="E31" s="16"/>
      <c r="F31" s="16"/>
    </row>
    <row r="32" spans="1:6" ht="21.75" customHeight="1">
      <c r="A32" s="15" t="s">
        <v>252</v>
      </c>
      <c r="B32" s="15" t="s">
        <v>170</v>
      </c>
      <c r="C32" s="13" t="s">
        <v>362</v>
      </c>
      <c r="D32" s="13">
        <v>10</v>
      </c>
      <c r="E32" s="16"/>
      <c r="F32" s="16"/>
    </row>
    <row r="33" spans="1:6" ht="21.75" customHeight="1">
      <c r="A33" s="15" t="s">
        <v>253</v>
      </c>
      <c r="B33" s="15" t="s">
        <v>172</v>
      </c>
      <c r="C33" s="13" t="s">
        <v>362</v>
      </c>
      <c r="D33" s="13">
        <v>8</v>
      </c>
      <c r="E33" s="16"/>
      <c r="F33" s="16"/>
    </row>
    <row r="34" spans="1:6" ht="21.75" customHeight="1">
      <c r="A34" s="15" t="s">
        <v>254</v>
      </c>
      <c r="B34" s="15" t="s">
        <v>174</v>
      </c>
      <c r="C34" s="13" t="s">
        <v>362</v>
      </c>
      <c r="D34" s="13">
        <v>1</v>
      </c>
      <c r="E34" s="16"/>
      <c r="F34" s="16"/>
    </row>
    <row r="35" spans="1:6" ht="21.75" customHeight="1">
      <c r="A35" s="15" t="s">
        <v>255</v>
      </c>
      <c r="B35" s="15" t="s">
        <v>234</v>
      </c>
      <c r="C35" s="13" t="s">
        <v>362</v>
      </c>
      <c r="D35" s="14">
        <v>1</v>
      </c>
      <c r="E35" s="16"/>
      <c r="F35" s="16"/>
    </row>
    <row r="36" spans="1:6" ht="21.75" customHeight="1">
      <c r="A36" s="15" t="s">
        <v>256</v>
      </c>
      <c r="B36" s="15" t="s">
        <v>235</v>
      </c>
      <c r="C36" s="13" t="s">
        <v>362</v>
      </c>
      <c r="D36" s="14">
        <v>1</v>
      </c>
      <c r="E36" s="16"/>
      <c r="F36" s="16"/>
    </row>
    <row r="37" spans="1:6" ht="21.75" customHeight="1">
      <c r="A37" s="15" t="s">
        <v>257</v>
      </c>
      <c r="B37" s="15" t="s">
        <v>236</v>
      </c>
      <c r="C37" s="13" t="s">
        <v>362</v>
      </c>
      <c r="D37" s="14">
        <v>3</v>
      </c>
      <c r="E37" s="16"/>
      <c r="F37" s="16"/>
    </row>
    <row r="38" spans="1:6" ht="21.75" customHeight="1"/>
    <row r="39" spans="1:6" ht="38.25">
      <c r="A39" s="180" t="s">
        <v>322</v>
      </c>
      <c r="B39" s="180"/>
      <c r="C39" s="180"/>
      <c r="D39" s="180"/>
      <c r="E39" s="180"/>
      <c r="F39" s="180"/>
    </row>
    <row r="40" spans="1:6" ht="31.5">
      <c r="A40" s="10" t="s">
        <v>232</v>
      </c>
      <c r="B40" s="11" t="s">
        <v>213</v>
      </c>
      <c r="C40" s="10" t="s">
        <v>361</v>
      </c>
      <c r="D40" s="10" t="s">
        <v>233</v>
      </c>
      <c r="E40" s="12" t="s">
        <v>218</v>
      </c>
      <c r="F40" s="12" t="s">
        <v>219</v>
      </c>
    </row>
    <row r="41" spans="1:6" ht="21.75" customHeight="1">
      <c r="A41" s="15" t="s">
        <v>308</v>
      </c>
      <c r="B41" s="15" t="s">
        <v>162</v>
      </c>
      <c r="C41" s="13" t="s">
        <v>362</v>
      </c>
      <c r="D41" s="13">
        <v>6</v>
      </c>
      <c r="E41" s="23"/>
      <c r="F41" s="23"/>
    </row>
    <row r="42" spans="1:6" ht="21.75" customHeight="1">
      <c r="A42" s="15" t="s">
        <v>250</v>
      </c>
      <c r="B42" s="15" t="s">
        <v>165</v>
      </c>
      <c r="C42" s="13" t="s">
        <v>362</v>
      </c>
      <c r="D42" s="13">
        <v>25</v>
      </c>
      <c r="E42" s="23"/>
      <c r="F42" s="23"/>
    </row>
    <row r="43" spans="1:6" ht="21.75" customHeight="1">
      <c r="A43" s="15" t="s">
        <v>309</v>
      </c>
      <c r="B43" s="15" t="s">
        <v>167</v>
      </c>
      <c r="C43" s="13" t="s">
        <v>362</v>
      </c>
      <c r="D43" s="13">
        <v>10</v>
      </c>
      <c r="E43" s="23"/>
      <c r="F43" s="23"/>
    </row>
    <row r="44" spans="1:6" ht="21.75" customHeight="1">
      <c r="A44" s="15" t="s">
        <v>310</v>
      </c>
      <c r="B44" s="15" t="s">
        <v>171</v>
      </c>
      <c r="C44" s="13" t="s">
        <v>362</v>
      </c>
      <c r="D44" s="13">
        <v>10</v>
      </c>
      <c r="E44" s="23"/>
      <c r="F44" s="23"/>
    </row>
    <row r="45" spans="1:6" ht="21.75" customHeight="1">
      <c r="A45" s="15" t="s">
        <v>311</v>
      </c>
      <c r="B45" s="15" t="s">
        <v>173</v>
      </c>
      <c r="C45" s="13" t="s">
        <v>362</v>
      </c>
      <c r="D45" s="13">
        <v>2</v>
      </c>
      <c r="E45" s="23"/>
      <c r="F45" s="23"/>
    </row>
    <row r="46" spans="1:6" ht="21.75" customHeight="1">
      <c r="A46" s="15" t="s">
        <v>312</v>
      </c>
      <c r="B46" s="15" t="s">
        <v>175</v>
      </c>
      <c r="C46" s="13" t="s">
        <v>362</v>
      </c>
      <c r="D46" s="13">
        <v>4</v>
      </c>
      <c r="E46" s="23"/>
      <c r="F46" s="23"/>
    </row>
    <row r="47" spans="1:6" ht="21.75" customHeight="1">
      <c r="A47" s="15" t="s">
        <v>313</v>
      </c>
      <c r="B47" s="15" t="s">
        <v>205</v>
      </c>
      <c r="C47" s="13" t="s">
        <v>362</v>
      </c>
      <c r="D47" s="13">
        <v>14</v>
      </c>
      <c r="E47" s="23"/>
      <c r="F47" s="23"/>
    </row>
    <row r="48" spans="1:6" ht="21.75" customHeight="1">
      <c r="A48" s="15" t="s">
        <v>314</v>
      </c>
      <c r="B48" s="15" t="s">
        <v>305</v>
      </c>
      <c r="C48" s="13" t="s">
        <v>362</v>
      </c>
      <c r="D48" s="14">
        <v>1</v>
      </c>
      <c r="E48" s="23"/>
      <c r="F48" s="23"/>
    </row>
    <row r="49" spans="1:6" ht="21.75" customHeight="1">
      <c r="A49" s="15" t="s">
        <v>315</v>
      </c>
      <c r="B49" s="15" t="s">
        <v>306</v>
      </c>
      <c r="C49" s="13" t="s">
        <v>362</v>
      </c>
      <c r="D49" s="14">
        <v>3</v>
      </c>
      <c r="E49" s="23"/>
      <c r="F49" s="23"/>
    </row>
    <row r="50" spans="1:6" ht="27.75" customHeight="1"/>
    <row r="51" spans="1:6" ht="38.25">
      <c r="A51" s="180" t="s">
        <v>321</v>
      </c>
      <c r="B51" s="180"/>
      <c r="C51" s="180"/>
      <c r="D51" s="180"/>
      <c r="E51" s="180"/>
      <c r="F51" s="180"/>
    </row>
    <row r="52" spans="1:6" ht="31.5">
      <c r="A52" s="10" t="s">
        <v>232</v>
      </c>
      <c r="B52" s="11" t="s">
        <v>213</v>
      </c>
      <c r="C52" s="10" t="s">
        <v>361</v>
      </c>
      <c r="D52" s="10" t="s">
        <v>233</v>
      </c>
      <c r="E52" s="12" t="s">
        <v>218</v>
      </c>
      <c r="F52" s="12" t="s">
        <v>219</v>
      </c>
    </row>
    <row r="53" spans="1:6" s="25" customFormat="1" ht="21.75" customHeight="1">
      <c r="A53" s="13" t="s">
        <v>317</v>
      </c>
      <c r="B53" s="15" t="s">
        <v>192</v>
      </c>
      <c r="C53" s="13" t="s">
        <v>362</v>
      </c>
      <c r="D53" s="6">
        <v>6</v>
      </c>
      <c r="E53" s="24"/>
      <c r="F53" s="24"/>
    </row>
    <row r="54" spans="1:6" s="25" customFormat="1" ht="21.75" customHeight="1">
      <c r="A54" s="13" t="s">
        <v>318</v>
      </c>
      <c r="B54" s="15" t="s">
        <v>194</v>
      </c>
      <c r="C54" s="13" t="s">
        <v>362</v>
      </c>
      <c r="D54" s="6">
        <v>8</v>
      </c>
      <c r="E54" s="24"/>
      <c r="F54" s="24"/>
    </row>
    <row r="55" spans="1:6" s="25" customFormat="1" ht="21.75" customHeight="1">
      <c r="A55" s="13" t="s">
        <v>319</v>
      </c>
      <c r="B55" s="15" t="s">
        <v>207</v>
      </c>
      <c r="C55" s="13" t="s">
        <v>362</v>
      </c>
      <c r="D55" s="6">
        <v>7</v>
      </c>
      <c r="E55" s="24"/>
      <c r="F55" s="24"/>
    </row>
    <row r="56" spans="1:6" s="25" customFormat="1" ht="21.75" customHeight="1">
      <c r="A56" s="13" t="s">
        <v>320</v>
      </c>
      <c r="B56" s="15" t="s">
        <v>208</v>
      </c>
      <c r="C56" s="13" t="s">
        <v>362</v>
      </c>
      <c r="D56" s="6">
        <v>9</v>
      </c>
      <c r="E56" s="24"/>
      <c r="F56" s="24"/>
    </row>
    <row r="57" spans="1:6" s="25" customFormat="1" ht="21.75" customHeight="1">
      <c r="A57" s="26"/>
      <c r="B57" s="27"/>
      <c r="C57" s="26"/>
      <c r="D57" s="26"/>
      <c r="E57" s="28"/>
      <c r="F57" s="28"/>
    </row>
    <row r="58" spans="1:6" ht="38.25">
      <c r="A58" s="180" t="s">
        <v>326</v>
      </c>
      <c r="B58" s="180"/>
      <c r="C58" s="180"/>
      <c r="D58" s="180"/>
      <c r="E58" s="180"/>
      <c r="F58" s="180"/>
    </row>
    <row r="59" spans="1:6" ht="31.5">
      <c r="A59" s="10" t="s">
        <v>232</v>
      </c>
      <c r="B59" s="11" t="s">
        <v>213</v>
      </c>
      <c r="C59" s="10" t="s">
        <v>361</v>
      </c>
      <c r="D59" s="10" t="s">
        <v>233</v>
      </c>
      <c r="E59" s="12" t="s">
        <v>218</v>
      </c>
      <c r="F59" s="12" t="s">
        <v>219</v>
      </c>
    </row>
    <row r="60" spans="1:6" ht="21.75" customHeight="1">
      <c r="A60" s="15" t="s">
        <v>327</v>
      </c>
      <c r="B60" s="15" t="s">
        <v>185</v>
      </c>
      <c r="C60" s="13" t="s">
        <v>362</v>
      </c>
      <c r="D60" s="13">
        <v>12</v>
      </c>
      <c r="E60" s="23"/>
      <c r="F60" s="23"/>
    </row>
    <row r="61" spans="1:6" ht="21.75" customHeight="1">
      <c r="A61" s="15" t="s">
        <v>328</v>
      </c>
      <c r="B61" s="15" t="s">
        <v>187</v>
      </c>
      <c r="C61" s="13" t="s">
        <v>362</v>
      </c>
      <c r="D61" s="13">
        <v>10</v>
      </c>
      <c r="E61" s="23"/>
      <c r="F61" s="23"/>
    </row>
    <row r="62" spans="1:6" ht="21.75" customHeight="1">
      <c r="A62" s="15" t="s">
        <v>329</v>
      </c>
      <c r="B62" s="15" t="s">
        <v>188</v>
      </c>
      <c r="C62" s="13" t="s">
        <v>362</v>
      </c>
      <c r="D62" s="13">
        <v>13</v>
      </c>
      <c r="E62" s="23"/>
      <c r="F62" s="23"/>
    </row>
    <row r="63" spans="1:6" ht="21.75" customHeight="1">
      <c r="A63" s="15" t="s">
        <v>330</v>
      </c>
      <c r="B63" s="15" t="s">
        <v>190</v>
      </c>
      <c r="C63" s="13" t="s">
        <v>362</v>
      </c>
      <c r="D63" s="13">
        <v>12</v>
      </c>
      <c r="E63" s="23"/>
      <c r="F63" s="23"/>
    </row>
    <row r="64" spans="1:6" ht="21.75" customHeight="1">
      <c r="A64" s="15" t="s">
        <v>331</v>
      </c>
      <c r="B64" s="15" t="s">
        <v>191</v>
      </c>
      <c r="C64" s="13" t="s">
        <v>362</v>
      </c>
      <c r="D64" s="13">
        <v>16</v>
      </c>
      <c r="E64" s="23"/>
      <c r="F64" s="23"/>
    </row>
    <row r="66" spans="1:6" ht="28.5" customHeight="1">
      <c r="A66" s="177" t="s">
        <v>338</v>
      </c>
      <c r="B66" s="178"/>
      <c r="C66" s="178"/>
      <c r="D66" s="178"/>
      <c r="E66" s="178"/>
      <c r="F66" s="179"/>
    </row>
    <row r="67" spans="1:6" ht="31.5">
      <c r="A67" s="10" t="s">
        <v>232</v>
      </c>
      <c r="B67" s="11" t="s">
        <v>213</v>
      </c>
      <c r="C67" s="10" t="s">
        <v>361</v>
      </c>
      <c r="D67" s="10" t="s">
        <v>233</v>
      </c>
      <c r="E67" s="12" t="s">
        <v>218</v>
      </c>
      <c r="F67" s="12" t="s">
        <v>219</v>
      </c>
    </row>
    <row r="68" spans="1:6" ht="21.75" customHeight="1">
      <c r="A68" s="13" t="s">
        <v>333</v>
      </c>
      <c r="B68" s="15" t="s">
        <v>196</v>
      </c>
      <c r="C68" s="13" t="s">
        <v>362</v>
      </c>
      <c r="D68" s="13">
        <v>5</v>
      </c>
      <c r="E68" s="23"/>
      <c r="F68" s="23"/>
    </row>
    <row r="69" spans="1:6" ht="21.75" customHeight="1">
      <c r="A69" s="13" t="s">
        <v>334</v>
      </c>
      <c r="B69" s="15" t="s">
        <v>197</v>
      </c>
      <c r="C69" s="13" t="s">
        <v>362</v>
      </c>
      <c r="D69" s="13">
        <v>14</v>
      </c>
      <c r="E69" s="23"/>
      <c r="F69" s="23"/>
    </row>
    <row r="70" spans="1:6" ht="21.75" customHeight="1">
      <c r="A70" s="13" t="s">
        <v>335</v>
      </c>
      <c r="B70" s="15" t="s">
        <v>198</v>
      </c>
      <c r="C70" s="13" t="s">
        <v>362</v>
      </c>
      <c r="D70" s="13">
        <v>14</v>
      </c>
      <c r="E70" s="23"/>
      <c r="F70" s="23"/>
    </row>
    <row r="71" spans="1:6" ht="21.75" customHeight="1">
      <c r="A71" s="13" t="s">
        <v>336</v>
      </c>
      <c r="B71" s="15" t="s">
        <v>199</v>
      </c>
      <c r="C71" s="13" t="s">
        <v>362</v>
      </c>
      <c r="D71" s="13">
        <v>7</v>
      </c>
      <c r="E71" s="23"/>
      <c r="F71" s="23"/>
    </row>
    <row r="72" spans="1:6" ht="21.75" customHeight="1">
      <c r="A72" s="13" t="s">
        <v>337</v>
      </c>
      <c r="B72" s="15" t="s">
        <v>200</v>
      </c>
      <c r="C72" s="13" t="s">
        <v>362</v>
      </c>
      <c r="D72" s="13">
        <v>5</v>
      </c>
      <c r="E72" s="23"/>
      <c r="F72" s="23"/>
    </row>
    <row r="73" spans="1:6" ht="21.75" customHeight="1">
      <c r="A73" s="13" t="s">
        <v>341</v>
      </c>
      <c r="B73" s="15" t="s">
        <v>339</v>
      </c>
      <c r="C73" s="13" t="s">
        <v>362</v>
      </c>
      <c r="D73" s="14">
        <v>3</v>
      </c>
      <c r="E73" s="23"/>
      <c r="F73" s="23"/>
    </row>
    <row r="74" spans="1:6" ht="21.75" customHeight="1">
      <c r="A74" s="13" t="s">
        <v>342</v>
      </c>
      <c r="B74" s="15" t="s">
        <v>340</v>
      </c>
      <c r="C74" s="13" t="s">
        <v>362</v>
      </c>
      <c r="D74" s="14">
        <v>2</v>
      </c>
      <c r="E74" s="23"/>
      <c r="F74" s="23"/>
    </row>
    <row r="76" spans="1:6" s="30" customFormat="1" ht="24.75" customHeight="1">
      <c r="A76" s="177" t="s">
        <v>354</v>
      </c>
      <c r="B76" s="178"/>
      <c r="C76" s="178"/>
      <c r="D76" s="178"/>
      <c r="E76" s="178"/>
      <c r="F76" s="179"/>
    </row>
    <row r="77" spans="1:6" s="30" customFormat="1" ht="31.5">
      <c r="A77" s="10" t="s">
        <v>232</v>
      </c>
      <c r="B77" s="11" t="s">
        <v>213</v>
      </c>
      <c r="C77" s="10" t="s">
        <v>361</v>
      </c>
      <c r="D77" s="10" t="s">
        <v>233</v>
      </c>
      <c r="E77" s="12" t="s">
        <v>218</v>
      </c>
      <c r="F77" s="12" t="s">
        <v>219</v>
      </c>
    </row>
    <row r="78" spans="1:6" s="30" customFormat="1" ht="21.75" customHeight="1">
      <c r="A78" s="15" t="s">
        <v>364</v>
      </c>
      <c r="B78" s="15" t="s">
        <v>157</v>
      </c>
      <c r="C78" s="13" t="s">
        <v>362</v>
      </c>
      <c r="D78" s="13">
        <v>1</v>
      </c>
      <c r="E78" s="23"/>
      <c r="F78" s="31"/>
    </row>
    <row r="79" spans="1:6" s="30" customFormat="1" ht="21.75" customHeight="1">
      <c r="A79" s="15" t="s">
        <v>347</v>
      </c>
      <c r="B79" s="15" t="s">
        <v>169</v>
      </c>
      <c r="C79" s="13" t="s">
        <v>362</v>
      </c>
      <c r="D79" s="13">
        <v>1</v>
      </c>
      <c r="E79" s="23"/>
      <c r="F79" s="31"/>
    </row>
    <row r="80" spans="1:6" s="30" customFormat="1" ht="21.75" customHeight="1">
      <c r="A80" s="15" t="s">
        <v>348</v>
      </c>
      <c r="B80" s="15" t="s">
        <v>201</v>
      </c>
      <c r="C80" s="13" t="s">
        <v>362</v>
      </c>
      <c r="D80" s="13">
        <v>18</v>
      </c>
      <c r="E80" s="23"/>
      <c r="F80" s="31"/>
    </row>
    <row r="81" spans="1:6" s="30" customFormat="1" ht="21.75" customHeight="1">
      <c r="A81" s="15" t="s">
        <v>349</v>
      </c>
      <c r="B81" s="15" t="s">
        <v>202</v>
      </c>
      <c r="C81" s="13" t="s">
        <v>362</v>
      </c>
      <c r="D81" s="13">
        <v>2</v>
      </c>
      <c r="E81" s="23"/>
      <c r="F81" s="32"/>
    </row>
    <row r="82" spans="1:6" s="30" customFormat="1" ht="21.75" customHeight="1">
      <c r="A82" s="15" t="s">
        <v>350</v>
      </c>
      <c r="B82" s="15" t="s">
        <v>203</v>
      </c>
      <c r="C82" s="13" t="s">
        <v>362</v>
      </c>
      <c r="D82" s="13">
        <v>11</v>
      </c>
      <c r="E82" s="23"/>
      <c r="F82" s="33"/>
    </row>
    <row r="83" spans="1:6" s="30" customFormat="1" ht="21.75" customHeight="1">
      <c r="A83" s="15" t="s">
        <v>351</v>
      </c>
      <c r="B83" s="15" t="s">
        <v>204</v>
      </c>
      <c r="C83" s="13" t="s">
        <v>362</v>
      </c>
      <c r="D83" s="13">
        <v>3</v>
      </c>
      <c r="E83" s="23"/>
      <c r="F83" s="34"/>
    </row>
    <row r="84" spans="1:6" s="30" customFormat="1" ht="21.75" customHeight="1">
      <c r="A84" s="15" t="s">
        <v>352</v>
      </c>
      <c r="B84" s="15" t="s">
        <v>206</v>
      </c>
      <c r="C84" s="13" t="s">
        <v>362</v>
      </c>
      <c r="D84" s="13">
        <v>18</v>
      </c>
      <c r="E84" s="23"/>
      <c r="F84" s="32"/>
    </row>
    <row r="85" spans="1:6" s="30" customFormat="1" ht="21.75" customHeight="1">
      <c r="A85" s="15" t="s">
        <v>353</v>
      </c>
      <c r="B85" s="15" t="s">
        <v>346</v>
      </c>
      <c r="C85" s="13" t="s">
        <v>362</v>
      </c>
      <c r="D85" s="14">
        <v>1</v>
      </c>
      <c r="E85" s="23"/>
      <c r="F85" s="32"/>
    </row>
    <row r="86" spans="1:6" s="30" customFormat="1">
      <c r="A86" s="27"/>
      <c r="B86" s="27"/>
      <c r="C86" s="27"/>
      <c r="D86" s="27"/>
      <c r="E86" s="29"/>
      <c r="F86" s="29"/>
    </row>
    <row r="87" spans="1:6" s="30" customFormat="1" ht="28.5" customHeight="1">
      <c r="A87" s="177" t="s">
        <v>355</v>
      </c>
      <c r="B87" s="178"/>
      <c r="C87" s="178"/>
      <c r="D87" s="178"/>
      <c r="E87" s="178"/>
      <c r="F87" s="179"/>
    </row>
    <row r="88" spans="1:6" s="30" customFormat="1" ht="19.5" customHeight="1">
      <c r="A88" s="10" t="s">
        <v>232</v>
      </c>
      <c r="B88" s="11" t="s">
        <v>213</v>
      </c>
      <c r="C88" s="10" t="s">
        <v>361</v>
      </c>
      <c r="D88" s="10" t="s">
        <v>233</v>
      </c>
      <c r="E88" s="12" t="s">
        <v>218</v>
      </c>
      <c r="F88" s="12" t="s">
        <v>219</v>
      </c>
    </row>
    <row r="89" spans="1:6" s="30" customFormat="1" ht="21.75" customHeight="1">
      <c r="A89" s="13" t="s">
        <v>318</v>
      </c>
      <c r="B89" s="15" t="s">
        <v>195</v>
      </c>
      <c r="C89" s="13" t="s">
        <v>362</v>
      </c>
      <c r="D89" s="13">
        <v>6</v>
      </c>
      <c r="E89" s="23"/>
      <c r="F89" s="31"/>
    </row>
    <row r="90" spans="1:6" s="30" customFormat="1" ht="21.75" customHeight="1">
      <c r="A90" s="13" t="s">
        <v>356</v>
      </c>
      <c r="B90" s="15" t="s">
        <v>209</v>
      </c>
      <c r="C90" s="13" t="s">
        <v>362</v>
      </c>
      <c r="D90" s="13">
        <v>6</v>
      </c>
      <c r="E90" s="23"/>
      <c r="F90" s="31"/>
    </row>
    <row r="91" spans="1:6" s="30" customFormat="1" ht="21.75" customHeight="1">
      <c r="A91" s="13" t="s">
        <v>357</v>
      </c>
      <c r="B91" s="15" t="s">
        <v>210</v>
      </c>
      <c r="C91" s="13" t="s">
        <v>362</v>
      </c>
      <c r="D91" s="13">
        <v>7</v>
      </c>
      <c r="E91" s="23"/>
      <c r="F91" s="31"/>
    </row>
    <row r="92" spans="1:6" s="30" customFormat="1" ht="21.75" customHeight="1">
      <c r="A92" s="13" t="s">
        <v>358</v>
      </c>
      <c r="B92" s="15" t="s">
        <v>211</v>
      </c>
      <c r="C92" s="13" t="s">
        <v>362</v>
      </c>
      <c r="D92" s="13">
        <v>9</v>
      </c>
      <c r="E92" s="23"/>
      <c r="F92" s="32"/>
    </row>
    <row r="93" spans="1:6" s="30" customFormat="1" ht="21.75" customHeight="1">
      <c r="A93" s="13" t="s">
        <v>359</v>
      </c>
      <c r="B93" s="15" t="s">
        <v>212</v>
      </c>
      <c r="C93" s="13" t="s">
        <v>362</v>
      </c>
      <c r="D93" s="13">
        <v>4</v>
      </c>
      <c r="E93" s="23"/>
      <c r="F93" s="33"/>
    </row>
    <row r="94" spans="1:6" s="30" customFormat="1" ht="21.75" customHeight="1">
      <c r="A94" s="13" t="s">
        <v>360</v>
      </c>
      <c r="B94" s="15" t="s">
        <v>345</v>
      </c>
      <c r="C94" s="13" t="s">
        <v>362</v>
      </c>
      <c r="D94" s="14">
        <v>3</v>
      </c>
      <c r="E94" s="23"/>
      <c r="F94" s="34"/>
    </row>
  </sheetData>
  <mergeCells count="8">
    <mergeCell ref="A87:F87"/>
    <mergeCell ref="A66:F66"/>
    <mergeCell ref="A76:F76"/>
    <mergeCell ref="A1:F1"/>
    <mergeCell ref="A17:F17"/>
    <mergeCell ref="A39:F39"/>
    <mergeCell ref="A51:F51"/>
    <mergeCell ref="A58:F58"/>
  </mergeCells>
  <pageMargins left="0.7" right="0.7" top="0.4" bottom="0.33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F21"/>
  <sheetViews>
    <sheetView topLeftCell="A13" workbookViewId="0">
      <selection activeCell="E28" sqref="E28"/>
    </sheetView>
  </sheetViews>
  <sheetFormatPr defaultRowHeight="15"/>
  <cols>
    <col min="1" max="1" width="5.42578125" bestFit="1" customWidth="1"/>
    <col min="2" max="2" width="20.42578125" bestFit="1" customWidth="1"/>
    <col min="3" max="3" width="18.140625" bestFit="1" customWidth="1"/>
    <col min="4" max="4" width="13.7109375" bestFit="1" customWidth="1"/>
    <col min="5" max="5" width="22.28515625" bestFit="1" customWidth="1"/>
    <col min="6" max="6" width="28.140625" bestFit="1" customWidth="1"/>
  </cols>
  <sheetData>
    <row r="1" spans="1:6" ht="26.25">
      <c r="A1" s="182" t="s">
        <v>258</v>
      </c>
      <c r="B1" s="182"/>
      <c r="C1" s="182"/>
      <c r="D1" s="182"/>
      <c r="E1" s="182"/>
      <c r="F1" s="182"/>
    </row>
    <row r="2" spans="1:6" s="18" customFormat="1" ht="23.25" customHeight="1">
      <c r="A2" s="181" t="s">
        <v>300</v>
      </c>
      <c r="B2" s="181"/>
      <c r="C2" s="181"/>
      <c r="D2" s="181"/>
      <c r="E2" s="181"/>
      <c r="F2" s="181"/>
    </row>
    <row r="3" spans="1:6" s="18" customFormat="1" ht="23.25" customHeight="1">
      <c r="A3" s="19" t="s">
        <v>259</v>
      </c>
      <c r="B3" s="19" t="s">
        <v>304</v>
      </c>
      <c r="C3" s="19" t="s">
        <v>260</v>
      </c>
      <c r="D3" s="19" t="s">
        <v>261</v>
      </c>
      <c r="E3" s="19" t="s">
        <v>262</v>
      </c>
      <c r="F3" s="19" t="s">
        <v>263</v>
      </c>
    </row>
    <row r="4" spans="1:6" s="18" customFormat="1" ht="23.25" customHeight="1">
      <c r="A4" s="20">
        <v>1</v>
      </c>
      <c r="B4" s="21" t="s">
        <v>264</v>
      </c>
      <c r="C4" s="20" t="s">
        <v>276</v>
      </c>
      <c r="D4" s="20" t="s">
        <v>280</v>
      </c>
      <c r="E4" s="20" t="s">
        <v>284</v>
      </c>
      <c r="F4" s="20" t="s">
        <v>289</v>
      </c>
    </row>
    <row r="5" spans="1:6" s="18" customFormat="1" ht="23.25" customHeight="1">
      <c r="A5" s="20">
        <v>2</v>
      </c>
      <c r="B5" s="22">
        <v>46070</v>
      </c>
      <c r="C5" s="20" t="s">
        <v>277</v>
      </c>
      <c r="D5" s="20" t="s">
        <v>281</v>
      </c>
      <c r="E5" s="20" t="s">
        <v>284</v>
      </c>
      <c r="F5" s="20" t="s">
        <v>290</v>
      </c>
    </row>
    <row r="6" spans="1:6" s="18" customFormat="1" ht="23.25" customHeight="1">
      <c r="A6" s="20">
        <v>3</v>
      </c>
      <c r="B6" s="21" t="s">
        <v>265</v>
      </c>
      <c r="C6" s="20" t="s">
        <v>276</v>
      </c>
      <c r="D6" s="20" t="s">
        <v>280</v>
      </c>
      <c r="E6" s="20" t="s">
        <v>285</v>
      </c>
      <c r="F6" s="20" t="s">
        <v>290</v>
      </c>
    </row>
    <row r="7" spans="1:6" s="18" customFormat="1" ht="23.25" customHeight="1">
      <c r="A7" s="20">
        <v>4</v>
      </c>
      <c r="B7" s="21" t="s">
        <v>267</v>
      </c>
      <c r="C7" s="20" t="s">
        <v>276</v>
      </c>
      <c r="D7" s="20" t="s">
        <v>280</v>
      </c>
      <c r="E7" s="20" t="s">
        <v>285</v>
      </c>
      <c r="F7" s="20" t="s">
        <v>290</v>
      </c>
    </row>
    <row r="8" spans="1:6" s="18" customFormat="1" ht="23.25" customHeight="1">
      <c r="A8" s="20">
        <v>5</v>
      </c>
      <c r="B8" s="21" t="s">
        <v>266</v>
      </c>
      <c r="C8" s="20" t="s">
        <v>276</v>
      </c>
      <c r="D8" s="20" t="s">
        <v>280</v>
      </c>
      <c r="E8" s="20" t="s">
        <v>286</v>
      </c>
      <c r="F8" s="20" t="s">
        <v>291</v>
      </c>
    </row>
    <row r="9" spans="1:6" s="18" customFormat="1" ht="23.25" customHeight="1">
      <c r="A9" s="20">
        <v>6</v>
      </c>
      <c r="B9" s="21" t="s">
        <v>268</v>
      </c>
      <c r="C9" s="20" t="s">
        <v>276</v>
      </c>
      <c r="D9" s="20" t="s">
        <v>280</v>
      </c>
      <c r="E9" s="20" t="s">
        <v>286</v>
      </c>
      <c r="F9" s="20" t="s">
        <v>291</v>
      </c>
    </row>
    <row r="10" spans="1:6" s="18" customFormat="1" ht="23.25" customHeight="1">
      <c r="A10" s="20">
        <v>7</v>
      </c>
      <c r="B10" s="21" t="s">
        <v>269</v>
      </c>
      <c r="C10" s="20" t="s">
        <v>276</v>
      </c>
      <c r="D10" s="20" t="s">
        <v>280</v>
      </c>
      <c r="E10" s="20" t="s">
        <v>293</v>
      </c>
      <c r="F10" s="20" t="s">
        <v>292</v>
      </c>
    </row>
    <row r="11" spans="1:6" s="18" customFormat="1" ht="23.25" customHeight="1">
      <c r="A11" s="20">
        <v>8</v>
      </c>
      <c r="B11" s="21" t="s">
        <v>270</v>
      </c>
      <c r="C11" s="20" t="s">
        <v>276</v>
      </c>
      <c r="D11" s="20" t="s">
        <v>280</v>
      </c>
      <c r="E11" s="20" t="s">
        <v>287</v>
      </c>
      <c r="F11" s="20" t="s">
        <v>294</v>
      </c>
    </row>
    <row r="12" spans="1:6" s="18" customFormat="1" ht="23.25" customHeight="1">
      <c r="A12" s="20">
        <v>9</v>
      </c>
      <c r="B12" s="21" t="s">
        <v>271</v>
      </c>
      <c r="C12" s="20" t="s">
        <v>276</v>
      </c>
      <c r="D12" s="20" t="s">
        <v>280</v>
      </c>
      <c r="E12" s="20" t="s">
        <v>287</v>
      </c>
      <c r="F12" s="20" t="s">
        <v>295</v>
      </c>
    </row>
    <row r="13" spans="1:6" s="18" customFormat="1" ht="23.25" customHeight="1">
      <c r="A13" s="20">
        <v>10</v>
      </c>
      <c r="B13" s="21" t="s">
        <v>272</v>
      </c>
      <c r="C13" s="20" t="s">
        <v>276</v>
      </c>
      <c r="D13" s="20" t="s">
        <v>280</v>
      </c>
      <c r="E13" s="20" t="s">
        <v>287</v>
      </c>
      <c r="F13" s="20" t="s">
        <v>296</v>
      </c>
    </row>
    <row r="14" spans="1:6" s="18" customFormat="1" ht="23.25" customHeight="1">
      <c r="A14" s="20">
        <v>11</v>
      </c>
      <c r="B14" s="21" t="s">
        <v>273</v>
      </c>
      <c r="C14" s="20" t="s">
        <v>276</v>
      </c>
      <c r="D14" s="20" t="s">
        <v>280</v>
      </c>
      <c r="E14" s="20" t="s">
        <v>287</v>
      </c>
      <c r="F14" s="20" t="s">
        <v>296</v>
      </c>
    </row>
    <row r="15" spans="1:6" s="18" customFormat="1" ht="23.25" customHeight="1">
      <c r="A15" s="20">
        <v>12</v>
      </c>
      <c r="B15" s="22">
        <v>15206</v>
      </c>
      <c r="C15" s="20" t="s">
        <v>278</v>
      </c>
      <c r="D15" s="20" t="s">
        <v>282</v>
      </c>
      <c r="E15" s="20" t="s">
        <v>288</v>
      </c>
      <c r="F15" s="20" t="s">
        <v>297</v>
      </c>
    </row>
    <row r="16" spans="1:6" s="18" customFormat="1" ht="23.25" customHeight="1">
      <c r="A16" s="20">
        <v>13</v>
      </c>
      <c r="B16" s="21" t="s">
        <v>274</v>
      </c>
      <c r="C16" s="20" t="s">
        <v>279</v>
      </c>
      <c r="D16" s="20" t="s">
        <v>283</v>
      </c>
      <c r="E16" s="20" t="s">
        <v>288</v>
      </c>
      <c r="F16" s="20" t="s">
        <v>298</v>
      </c>
    </row>
    <row r="17" spans="1:6" s="18" customFormat="1" ht="23.25" customHeight="1">
      <c r="A17" s="20">
        <v>14</v>
      </c>
      <c r="B17" s="21" t="s">
        <v>275</v>
      </c>
      <c r="C17" s="20" t="s">
        <v>279</v>
      </c>
      <c r="D17" s="20" t="s">
        <v>283</v>
      </c>
      <c r="E17" s="20" t="s">
        <v>288</v>
      </c>
      <c r="F17" s="20" t="s">
        <v>299</v>
      </c>
    </row>
    <row r="18" spans="1:6" s="18" customFormat="1" ht="23.25" customHeight="1">
      <c r="A18" s="20"/>
      <c r="B18" s="20"/>
      <c r="C18" s="20"/>
      <c r="D18" s="20"/>
      <c r="E18" s="20"/>
      <c r="F18" s="20"/>
    </row>
    <row r="19" spans="1:6" s="18" customFormat="1" ht="23.25" customHeight="1">
      <c r="A19" s="183" t="s">
        <v>301</v>
      </c>
      <c r="B19" s="184"/>
      <c r="C19" s="184"/>
      <c r="D19" s="184"/>
      <c r="E19" s="184"/>
      <c r="F19" s="185"/>
    </row>
    <row r="20" spans="1:6" s="18" customFormat="1" ht="23.25" customHeight="1">
      <c r="A20" s="20">
        <v>15</v>
      </c>
      <c r="B20" s="22">
        <v>46069</v>
      </c>
      <c r="C20" s="20" t="s">
        <v>302</v>
      </c>
      <c r="D20" s="20" t="s">
        <v>303</v>
      </c>
      <c r="E20" s="20"/>
      <c r="F20" s="20"/>
    </row>
    <row r="21" spans="1:6" s="18" customFormat="1" ht="23.25" customHeight="1">
      <c r="A21" s="20">
        <v>16</v>
      </c>
      <c r="B21" s="22">
        <v>46066</v>
      </c>
      <c r="C21" s="20" t="s">
        <v>302</v>
      </c>
      <c r="D21" s="20" t="s">
        <v>303</v>
      </c>
      <c r="E21" s="20"/>
      <c r="F21" s="20"/>
    </row>
  </sheetData>
  <mergeCells count="3">
    <mergeCell ref="A2:F2"/>
    <mergeCell ref="A1:F1"/>
    <mergeCell ref="A19:F19"/>
  </mergeCells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2:I77"/>
  <sheetViews>
    <sheetView workbookViewId="0">
      <selection sqref="A1:XFD1048576"/>
    </sheetView>
  </sheetViews>
  <sheetFormatPr defaultRowHeight="12"/>
  <cols>
    <col min="1" max="1" width="5.28515625" style="81" bestFit="1" customWidth="1"/>
    <col min="2" max="2" width="6.5703125" style="81" bestFit="1" customWidth="1"/>
    <col min="3" max="3" width="18.42578125" style="81" bestFit="1" customWidth="1"/>
    <col min="4" max="4" width="10.140625" style="81" bestFit="1" customWidth="1"/>
    <col min="5" max="5" width="7.85546875" style="81" customWidth="1"/>
    <col min="6" max="6" width="9" style="81" bestFit="1" customWidth="1"/>
    <col min="7" max="9" width="9.140625" style="83"/>
    <col min="10" max="16384" width="9.140625" style="81"/>
  </cols>
  <sheetData>
    <row r="2" spans="1:9" ht="15" customHeight="1">
      <c r="A2" s="186" t="s">
        <v>1421</v>
      </c>
      <c r="B2" s="186"/>
      <c r="C2" s="186"/>
      <c r="D2" s="186"/>
      <c r="E2" s="186"/>
      <c r="F2" s="186"/>
      <c r="G2" s="186"/>
      <c r="H2" s="186"/>
      <c r="I2" s="186"/>
    </row>
    <row r="3" spans="1:9" s="83" customFormat="1" ht="24">
      <c r="A3" s="75" t="s">
        <v>259</v>
      </c>
      <c r="B3" s="76" t="s">
        <v>232</v>
      </c>
      <c r="C3" s="82" t="s">
        <v>213</v>
      </c>
      <c r="D3" s="76" t="s">
        <v>361</v>
      </c>
      <c r="E3" s="76" t="s">
        <v>363</v>
      </c>
      <c r="F3" s="75" t="s">
        <v>219</v>
      </c>
      <c r="G3" s="75" t="s">
        <v>218</v>
      </c>
      <c r="H3" s="75" t="s">
        <v>719</v>
      </c>
      <c r="I3" s="75" t="s">
        <v>219</v>
      </c>
    </row>
    <row r="4" spans="1:9" ht="15.75" customHeight="1">
      <c r="A4" s="79">
        <v>1</v>
      </c>
      <c r="B4" s="84" t="s">
        <v>239</v>
      </c>
      <c r="C4" s="84" t="s">
        <v>1270</v>
      </c>
      <c r="D4" s="85" t="s">
        <v>362</v>
      </c>
      <c r="E4" s="82">
        <v>2</v>
      </c>
      <c r="F4" s="79">
        <v>4</v>
      </c>
      <c r="G4" s="144"/>
      <c r="H4" s="144"/>
      <c r="I4" s="144">
        <f>SUM(F4+G4)-H4</f>
        <v>4</v>
      </c>
    </row>
    <row r="5" spans="1:9" ht="15.75" customHeight="1">
      <c r="A5" s="79">
        <v>2</v>
      </c>
      <c r="B5" s="84" t="s">
        <v>240</v>
      </c>
      <c r="C5" s="84" t="s">
        <v>1271</v>
      </c>
      <c r="D5" s="85" t="s">
        <v>362</v>
      </c>
      <c r="E5" s="82">
        <v>2</v>
      </c>
      <c r="F5" s="79">
        <v>2</v>
      </c>
      <c r="G5" s="144"/>
      <c r="H5" s="144"/>
      <c r="I5" s="144">
        <f t="shared" ref="I5:I68" si="0">SUM(F5+G5)-H5</f>
        <v>2</v>
      </c>
    </row>
    <row r="6" spans="1:9" ht="15.75" customHeight="1">
      <c r="A6" s="79">
        <v>3</v>
      </c>
      <c r="B6" s="84" t="s">
        <v>241</v>
      </c>
      <c r="C6" s="84" t="s">
        <v>1272</v>
      </c>
      <c r="D6" s="85" t="s">
        <v>362</v>
      </c>
      <c r="E6" s="82">
        <v>2</v>
      </c>
      <c r="F6" s="79">
        <v>2</v>
      </c>
      <c r="G6" s="144"/>
      <c r="H6" s="144"/>
      <c r="I6" s="144">
        <f t="shared" si="0"/>
        <v>2</v>
      </c>
    </row>
    <row r="7" spans="1:9" ht="15.75" customHeight="1">
      <c r="A7" s="79">
        <v>4</v>
      </c>
      <c r="B7" s="84" t="s">
        <v>238</v>
      </c>
      <c r="C7" s="84" t="s">
        <v>1273</v>
      </c>
      <c r="D7" s="85" t="s">
        <v>362</v>
      </c>
      <c r="E7" s="82">
        <v>2</v>
      </c>
      <c r="F7" s="79">
        <v>4</v>
      </c>
      <c r="G7" s="144"/>
      <c r="H7" s="144"/>
      <c r="I7" s="144">
        <f t="shared" si="0"/>
        <v>4</v>
      </c>
    </row>
    <row r="8" spans="1:9" ht="15.75" customHeight="1">
      <c r="A8" s="79">
        <v>5</v>
      </c>
      <c r="B8" s="84" t="s">
        <v>242</v>
      </c>
      <c r="C8" s="84" t="s">
        <v>1274</v>
      </c>
      <c r="D8" s="85" t="s">
        <v>362</v>
      </c>
      <c r="E8" s="82">
        <v>2</v>
      </c>
      <c r="F8" s="79">
        <v>1</v>
      </c>
      <c r="G8" s="144"/>
      <c r="H8" s="144"/>
      <c r="I8" s="144">
        <f t="shared" si="0"/>
        <v>1</v>
      </c>
    </row>
    <row r="9" spans="1:9" ht="15.75" customHeight="1">
      <c r="A9" s="79">
        <v>6</v>
      </c>
      <c r="B9" s="84" t="s">
        <v>243</v>
      </c>
      <c r="C9" s="84" t="s">
        <v>1275</v>
      </c>
      <c r="D9" s="85" t="s">
        <v>362</v>
      </c>
      <c r="E9" s="82">
        <v>2</v>
      </c>
      <c r="F9" s="79">
        <v>10</v>
      </c>
      <c r="G9" s="144"/>
      <c r="H9" s="144"/>
      <c r="I9" s="144">
        <f t="shared" si="0"/>
        <v>10</v>
      </c>
    </row>
    <row r="10" spans="1:9" ht="15.75" customHeight="1">
      <c r="A10" s="79">
        <v>7</v>
      </c>
      <c r="B10" s="84" t="s">
        <v>364</v>
      </c>
      <c r="C10" s="84" t="s">
        <v>1276</v>
      </c>
      <c r="D10" s="85" t="s">
        <v>362</v>
      </c>
      <c r="E10" s="82">
        <v>7</v>
      </c>
      <c r="F10" s="79">
        <v>1</v>
      </c>
      <c r="G10" s="144"/>
      <c r="H10" s="144"/>
      <c r="I10" s="144">
        <f t="shared" si="0"/>
        <v>1</v>
      </c>
    </row>
    <row r="11" spans="1:9" ht="15.75" customHeight="1">
      <c r="A11" s="79">
        <v>8</v>
      </c>
      <c r="B11" s="84" t="s">
        <v>244</v>
      </c>
      <c r="C11" s="84" t="s">
        <v>1277</v>
      </c>
      <c r="D11" s="85" t="s">
        <v>362</v>
      </c>
      <c r="E11" s="82">
        <v>2</v>
      </c>
      <c r="F11" s="79">
        <v>2</v>
      </c>
      <c r="G11" s="144"/>
      <c r="H11" s="144"/>
      <c r="I11" s="144">
        <f t="shared" si="0"/>
        <v>2</v>
      </c>
    </row>
    <row r="12" spans="1:9" ht="15.75" customHeight="1">
      <c r="A12" s="79">
        <v>9</v>
      </c>
      <c r="B12" s="84" t="s">
        <v>245</v>
      </c>
      <c r="C12" s="84" t="s">
        <v>1278</v>
      </c>
      <c r="D12" s="85" t="s">
        <v>362</v>
      </c>
      <c r="E12" s="82">
        <v>2</v>
      </c>
      <c r="F12" s="79">
        <v>4</v>
      </c>
      <c r="G12" s="144"/>
      <c r="H12" s="144"/>
      <c r="I12" s="144">
        <f t="shared" si="0"/>
        <v>4</v>
      </c>
    </row>
    <row r="13" spans="1:9" ht="15.75" customHeight="1">
      <c r="A13" s="79">
        <v>10</v>
      </c>
      <c r="B13" s="84" t="s">
        <v>246</v>
      </c>
      <c r="C13" s="84" t="s">
        <v>1279</v>
      </c>
      <c r="D13" s="85" t="s">
        <v>362</v>
      </c>
      <c r="E13" s="82">
        <v>2</v>
      </c>
      <c r="F13" s="79">
        <v>2</v>
      </c>
      <c r="G13" s="144"/>
      <c r="H13" s="144"/>
      <c r="I13" s="144">
        <f t="shared" si="0"/>
        <v>2</v>
      </c>
    </row>
    <row r="14" spans="1:9" ht="15.75" customHeight="1">
      <c r="A14" s="79">
        <v>11</v>
      </c>
      <c r="B14" s="84" t="s">
        <v>247</v>
      </c>
      <c r="C14" s="84" t="s">
        <v>1280</v>
      </c>
      <c r="D14" s="85" t="s">
        <v>362</v>
      </c>
      <c r="E14" s="82">
        <v>2</v>
      </c>
      <c r="F14" s="79">
        <v>5</v>
      </c>
      <c r="G14" s="144"/>
      <c r="H14" s="144"/>
      <c r="I14" s="144">
        <f t="shared" si="0"/>
        <v>5</v>
      </c>
    </row>
    <row r="15" spans="1:9" ht="15.75" customHeight="1">
      <c r="A15" s="79">
        <v>12</v>
      </c>
      <c r="B15" s="84" t="s">
        <v>308</v>
      </c>
      <c r="C15" s="84" t="s">
        <v>1281</v>
      </c>
      <c r="D15" s="85" t="s">
        <v>362</v>
      </c>
      <c r="E15" s="82">
        <v>3</v>
      </c>
      <c r="F15" s="79">
        <v>6</v>
      </c>
      <c r="G15" s="144"/>
      <c r="H15" s="144"/>
      <c r="I15" s="144">
        <f t="shared" si="0"/>
        <v>6</v>
      </c>
    </row>
    <row r="16" spans="1:9" ht="15.75" customHeight="1">
      <c r="A16" s="79">
        <v>13</v>
      </c>
      <c r="B16" s="84" t="s">
        <v>248</v>
      </c>
      <c r="C16" s="84" t="s">
        <v>1282</v>
      </c>
      <c r="D16" s="85" t="s">
        <v>362</v>
      </c>
      <c r="E16" s="82">
        <v>2</v>
      </c>
      <c r="F16" s="79">
        <v>3</v>
      </c>
      <c r="G16" s="144"/>
      <c r="H16" s="144"/>
      <c r="I16" s="144">
        <f t="shared" si="0"/>
        <v>3</v>
      </c>
    </row>
    <row r="17" spans="1:9" ht="15.75" customHeight="1">
      <c r="A17" s="79">
        <v>14</v>
      </c>
      <c r="B17" s="84" t="s">
        <v>249</v>
      </c>
      <c r="C17" s="84" t="s">
        <v>1283</v>
      </c>
      <c r="D17" s="85" t="s">
        <v>362</v>
      </c>
      <c r="E17" s="82">
        <v>2</v>
      </c>
      <c r="F17" s="79">
        <v>3</v>
      </c>
      <c r="G17" s="144"/>
      <c r="H17" s="144"/>
      <c r="I17" s="144">
        <f t="shared" si="0"/>
        <v>3</v>
      </c>
    </row>
    <row r="18" spans="1:9" ht="15.75" customHeight="1">
      <c r="A18" s="79">
        <v>15</v>
      </c>
      <c r="B18" s="84" t="s">
        <v>250</v>
      </c>
      <c r="C18" s="84" t="s">
        <v>1284</v>
      </c>
      <c r="D18" s="85" t="s">
        <v>362</v>
      </c>
      <c r="E18" s="82">
        <v>3</v>
      </c>
      <c r="F18" s="79">
        <v>25</v>
      </c>
      <c r="G18" s="144"/>
      <c r="H18" s="144"/>
      <c r="I18" s="144">
        <f t="shared" si="0"/>
        <v>25</v>
      </c>
    </row>
    <row r="19" spans="1:9" ht="15.75" customHeight="1">
      <c r="A19" s="79">
        <v>16</v>
      </c>
      <c r="B19" s="84" t="s">
        <v>251</v>
      </c>
      <c r="C19" s="84" t="s">
        <v>1285</v>
      </c>
      <c r="D19" s="85" t="s">
        <v>362</v>
      </c>
      <c r="E19" s="82">
        <v>2</v>
      </c>
      <c r="F19" s="79">
        <v>12</v>
      </c>
      <c r="G19" s="144"/>
      <c r="H19" s="144"/>
      <c r="I19" s="144">
        <f t="shared" si="0"/>
        <v>12</v>
      </c>
    </row>
    <row r="20" spans="1:9" ht="15.75" customHeight="1">
      <c r="A20" s="79">
        <v>17</v>
      </c>
      <c r="B20" s="84" t="s">
        <v>309</v>
      </c>
      <c r="C20" s="84" t="s">
        <v>1286</v>
      </c>
      <c r="D20" s="85" t="s">
        <v>362</v>
      </c>
      <c r="E20" s="82">
        <v>3</v>
      </c>
      <c r="F20" s="79">
        <v>10</v>
      </c>
      <c r="G20" s="144"/>
      <c r="H20" s="144"/>
      <c r="I20" s="144">
        <f t="shared" si="0"/>
        <v>10</v>
      </c>
    </row>
    <row r="21" spans="1:9" ht="15.75" customHeight="1">
      <c r="A21" s="79">
        <v>18</v>
      </c>
      <c r="B21" s="84" t="s">
        <v>220</v>
      </c>
      <c r="C21" s="84" t="s">
        <v>1287</v>
      </c>
      <c r="D21" s="85" t="s">
        <v>362</v>
      </c>
      <c r="E21" s="82">
        <v>1</v>
      </c>
      <c r="F21" s="79">
        <v>5</v>
      </c>
      <c r="G21" s="144"/>
      <c r="H21" s="144">
        <v>2</v>
      </c>
      <c r="I21" s="144">
        <f t="shared" si="0"/>
        <v>3</v>
      </c>
    </row>
    <row r="22" spans="1:9" ht="15.75" customHeight="1">
      <c r="A22" s="79">
        <v>19</v>
      </c>
      <c r="B22" s="84" t="s">
        <v>347</v>
      </c>
      <c r="C22" s="84" t="s">
        <v>1288</v>
      </c>
      <c r="D22" s="85" t="s">
        <v>362</v>
      </c>
      <c r="E22" s="82">
        <v>7</v>
      </c>
      <c r="F22" s="79">
        <v>0</v>
      </c>
      <c r="G22" s="144"/>
      <c r="H22" s="144"/>
      <c r="I22" s="144">
        <f t="shared" si="0"/>
        <v>0</v>
      </c>
    </row>
    <row r="23" spans="1:9" ht="15.75" customHeight="1">
      <c r="A23" s="79">
        <v>20</v>
      </c>
      <c r="B23" s="84" t="s">
        <v>252</v>
      </c>
      <c r="C23" s="84" t="s">
        <v>1289</v>
      </c>
      <c r="D23" s="85" t="s">
        <v>362</v>
      </c>
      <c r="E23" s="82">
        <v>2</v>
      </c>
      <c r="F23" s="79">
        <v>9</v>
      </c>
      <c r="G23" s="144"/>
      <c r="H23" s="144">
        <v>1</v>
      </c>
      <c r="I23" s="144">
        <f t="shared" si="0"/>
        <v>8</v>
      </c>
    </row>
    <row r="24" spans="1:9" ht="15.75" customHeight="1">
      <c r="A24" s="79">
        <v>21</v>
      </c>
      <c r="B24" s="84" t="s">
        <v>310</v>
      </c>
      <c r="C24" s="84" t="s">
        <v>1290</v>
      </c>
      <c r="D24" s="85" t="s">
        <v>362</v>
      </c>
      <c r="E24" s="82">
        <v>3</v>
      </c>
      <c r="F24" s="79">
        <v>10</v>
      </c>
      <c r="G24" s="144"/>
      <c r="H24" s="144"/>
      <c r="I24" s="144">
        <f t="shared" si="0"/>
        <v>10</v>
      </c>
    </row>
    <row r="25" spans="1:9" ht="15.75" customHeight="1">
      <c r="A25" s="79">
        <v>22</v>
      </c>
      <c r="B25" s="84" t="s">
        <v>253</v>
      </c>
      <c r="C25" s="84" t="s">
        <v>1291</v>
      </c>
      <c r="D25" s="85" t="s">
        <v>362</v>
      </c>
      <c r="E25" s="82">
        <v>2</v>
      </c>
      <c r="F25" s="79">
        <v>7</v>
      </c>
      <c r="G25" s="144"/>
      <c r="H25" s="144">
        <v>1</v>
      </c>
      <c r="I25" s="144">
        <f t="shared" si="0"/>
        <v>6</v>
      </c>
    </row>
    <row r="26" spans="1:9" ht="15.75" customHeight="1">
      <c r="A26" s="79">
        <v>23</v>
      </c>
      <c r="B26" s="84" t="s">
        <v>311</v>
      </c>
      <c r="C26" s="84" t="s">
        <v>1292</v>
      </c>
      <c r="D26" s="85" t="s">
        <v>362</v>
      </c>
      <c r="E26" s="82">
        <v>3</v>
      </c>
      <c r="F26" s="79">
        <v>2</v>
      </c>
      <c r="G26" s="144"/>
      <c r="H26" s="144"/>
      <c r="I26" s="144">
        <f t="shared" si="0"/>
        <v>2</v>
      </c>
    </row>
    <row r="27" spans="1:9" ht="15.75" customHeight="1">
      <c r="A27" s="79">
        <v>24</v>
      </c>
      <c r="B27" s="84" t="s">
        <v>254</v>
      </c>
      <c r="C27" s="84" t="s">
        <v>1293</v>
      </c>
      <c r="D27" s="85" t="s">
        <v>362</v>
      </c>
      <c r="E27" s="82">
        <v>2</v>
      </c>
      <c r="F27" s="79">
        <v>1</v>
      </c>
      <c r="G27" s="144"/>
      <c r="H27" s="144"/>
      <c r="I27" s="144">
        <f t="shared" si="0"/>
        <v>1</v>
      </c>
    </row>
    <row r="28" spans="1:9" ht="15.75" customHeight="1">
      <c r="A28" s="79">
        <v>25</v>
      </c>
      <c r="B28" s="84" t="s">
        <v>312</v>
      </c>
      <c r="C28" s="84" t="s">
        <v>1294</v>
      </c>
      <c r="D28" s="85" t="s">
        <v>362</v>
      </c>
      <c r="E28" s="82">
        <v>3</v>
      </c>
      <c r="F28" s="79">
        <v>4</v>
      </c>
      <c r="G28" s="144"/>
      <c r="H28" s="144"/>
      <c r="I28" s="144">
        <f t="shared" si="0"/>
        <v>4</v>
      </c>
    </row>
    <row r="29" spans="1:9" ht="15.75" customHeight="1">
      <c r="A29" s="79">
        <v>26</v>
      </c>
      <c r="B29" s="84" t="s">
        <v>221</v>
      </c>
      <c r="C29" s="84" t="s">
        <v>1295</v>
      </c>
      <c r="D29" s="85" t="s">
        <v>362</v>
      </c>
      <c r="E29" s="82">
        <v>1</v>
      </c>
      <c r="F29" s="79">
        <v>7</v>
      </c>
      <c r="G29" s="144"/>
      <c r="H29" s="144"/>
      <c r="I29" s="144">
        <f t="shared" si="0"/>
        <v>7</v>
      </c>
    </row>
    <row r="30" spans="1:9" ht="15.75" customHeight="1">
      <c r="A30" s="79">
        <v>27</v>
      </c>
      <c r="B30" s="84" t="s">
        <v>222</v>
      </c>
      <c r="C30" s="84" t="s">
        <v>1296</v>
      </c>
      <c r="D30" s="85" t="s">
        <v>362</v>
      </c>
      <c r="E30" s="82">
        <v>1</v>
      </c>
      <c r="F30" s="79">
        <v>4</v>
      </c>
      <c r="G30" s="144"/>
      <c r="H30" s="144"/>
      <c r="I30" s="144">
        <f t="shared" si="0"/>
        <v>4</v>
      </c>
    </row>
    <row r="31" spans="1:9" ht="15.75" customHeight="1">
      <c r="A31" s="79">
        <v>28</v>
      </c>
      <c r="B31" s="84" t="s">
        <v>223</v>
      </c>
      <c r="C31" s="84" t="s">
        <v>1297</v>
      </c>
      <c r="D31" s="85" t="s">
        <v>362</v>
      </c>
      <c r="E31" s="82">
        <v>1</v>
      </c>
      <c r="F31" s="79">
        <v>1</v>
      </c>
      <c r="G31" s="144"/>
      <c r="H31" s="144"/>
      <c r="I31" s="144">
        <f t="shared" si="0"/>
        <v>1</v>
      </c>
    </row>
    <row r="32" spans="1:9" ht="15.75" customHeight="1">
      <c r="A32" s="79">
        <v>29</v>
      </c>
      <c r="B32" s="84" t="s">
        <v>224</v>
      </c>
      <c r="C32" s="84" t="s">
        <v>1298</v>
      </c>
      <c r="D32" s="85" t="s">
        <v>362</v>
      </c>
      <c r="E32" s="82">
        <v>1</v>
      </c>
      <c r="F32" s="79">
        <v>3</v>
      </c>
      <c r="G32" s="144"/>
      <c r="H32" s="144">
        <v>3</v>
      </c>
      <c r="I32" s="144">
        <f t="shared" si="0"/>
        <v>0</v>
      </c>
    </row>
    <row r="33" spans="1:9" ht="15.75" customHeight="1">
      <c r="A33" s="79">
        <v>30</v>
      </c>
      <c r="B33" s="84" t="s">
        <v>225</v>
      </c>
      <c r="C33" s="84" t="s">
        <v>1299</v>
      </c>
      <c r="D33" s="85" t="s">
        <v>362</v>
      </c>
      <c r="E33" s="82">
        <v>1</v>
      </c>
      <c r="F33" s="79">
        <v>7</v>
      </c>
      <c r="G33" s="144"/>
      <c r="H33" s="144"/>
      <c r="I33" s="144">
        <f t="shared" si="0"/>
        <v>7</v>
      </c>
    </row>
    <row r="34" spans="1:9" ht="15.75" customHeight="1">
      <c r="A34" s="79">
        <v>31</v>
      </c>
      <c r="B34" s="84" t="s">
        <v>226</v>
      </c>
      <c r="C34" s="84" t="s">
        <v>1300</v>
      </c>
      <c r="D34" s="85" t="s">
        <v>362</v>
      </c>
      <c r="E34" s="82">
        <v>1</v>
      </c>
      <c r="F34" s="79">
        <v>10</v>
      </c>
      <c r="G34" s="144"/>
      <c r="H34" s="144">
        <v>1</v>
      </c>
      <c r="I34" s="144">
        <f t="shared" si="0"/>
        <v>9</v>
      </c>
    </row>
    <row r="35" spans="1:9" ht="15.75" customHeight="1">
      <c r="A35" s="79">
        <v>32</v>
      </c>
      <c r="B35" s="84" t="s">
        <v>227</v>
      </c>
      <c r="C35" s="84" t="s">
        <v>1301</v>
      </c>
      <c r="D35" s="85" t="s">
        <v>362</v>
      </c>
      <c r="E35" s="82">
        <v>1</v>
      </c>
      <c r="F35" s="79">
        <v>8</v>
      </c>
      <c r="G35" s="144"/>
      <c r="H35" s="144"/>
      <c r="I35" s="144">
        <f t="shared" si="0"/>
        <v>8</v>
      </c>
    </row>
    <row r="36" spans="1:9" ht="15.75" customHeight="1">
      <c r="A36" s="79">
        <v>33</v>
      </c>
      <c r="B36" s="84" t="s">
        <v>228</v>
      </c>
      <c r="C36" s="84" t="s">
        <v>1302</v>
      </c>
      <c r="D36" s="85" t="s">
        <v>362</v>
      </c>
      <c r="E36" s="82">
        <v>1</v>
      </c>
      <c r="F36" s="79">
        <v>8</v>
      </c>
      <c r="G36" s="144"/>
      <c r="H36" s="144"/>
      <c r="I36" s="144">
        <f t="shared" si="0"/>
        <v>8</v>
      </c>
    </row>
    <row r="37" spans="1:9" ht="15.75" customHeight="1">
      <c r="A37" s="79">
        <v>34</v>
      </c>
      <c r="B37" s="84" t="s">
        <v>327</v>
      </c>
      <c r="C37" s="84" t="s">
        <v>1303</v>
      </c>
      <c r="D37" s="85" t="s">
        <v>362</v>
      </c>
      <c r="E37" s="82">
        <v>5</v>
      </c>
      <c r="F37" s="79">
        <v>11</v>
      </c>
      <c r="G37" s="144"/>
      <c r="H37" s="144">
        <v>2</v>
      </c>
      <c r="I37" s="144">
        <f t="shared" si="0"/>
        <v>9</v>
      </c>
    </row>
    <row r="38" spans="1:9" ht="15.75" customHeight="1">
      <c r="A38" s="79">
        <v>35</v>
      </c>
      <c r="B38" s="84" t="s">
        <v>328</v>
      </c>
      <c r="C38" s="84" t="s">
        <v>1304</v>
      </c>
      <c r="D38" s="85" t="s">
        <v>362</v>
      </c>
      <c r="E38" s="82">
        <v>5</v>
      </c>
      <c r="F38" s="79">
        <v>10</v>
      </c>
      <c r="G38" s="144"/>
      <c r="H38" s="144"/>
      <c r="I38" s="144">
        <f t="shared" si="0"/>
        <v>10</v>
      </c>
    </row>
    <row r="39" spans="1:9" ht="15.75" customHeight="1">
      <c r="A39" s="79">
        <v>36</v>
      </c>
      <c r="B39" s="84" t="s">
        <v>329</v>
      </c>
      <c r="C39" s="84" t="s">
        <v>1305</v>
      </c>
      <c r="D39" s="85" t="s">
        <v>362</v>
      </c>
      <c r="E39" s="82">
        <v>5</v>
      </c>
      <c r="F39" s="79">
        <v>13</v>
      </c>
      <c r="G39" s="144"/>
      <c r="H39" s="144"/>
      <c r="I39" s="144">
        <f t="shared" si="0"/>
        <v>13</v>
      </c>
    </row>
    <row r="40" spans="1:9" ht="15.75" customHeight="1">
      <c r="A40" s="79">
        <v>37</v>
      </c>
      <c r="B40" s="84" t="s">
        <v>229</v>
      </c>
      <c r="C40" s="84" t="s">
        <v>1306</v>
      </c>
      <c r="D40" s="85" t="s">
        <v>362</v>
      </c>
      <c r="E40" s="82">
        <v>1</v>
      </c>
      <c r="F40" s="79">
        <v>6</v>
      </c>
      <c r="G40" s="144"/>
      <c r="H40" s="144"/>
      <c r="I40" s="144">
        <f t="shared" si="0"/>
        <v>6</v>
      </c>
    </row>
    <row r="41" spans="1:9" ht="15.75" customHeight="1">
      <c r="A41" s="79">
        <v>38</v>
      </c>
      <c r="B41" s="84" t="s">
        <v>330</v>
      </c>
      <c r="C41" s="84" t="s">
        <v>1307</v>
      </c>
      <c r="D41" s="85" t="s">
        <v>362</v>
      </c>
      <c r="E41" s="82">
        <v>5</v>
      </c>
      <c r="F41" s="79">
        <v>12</v>
      </c>
      <c r="G41" s="144"/>
      <c r="H41" s="144"/>
      <c r="I41" s="144">
        <f t="shared" si="0"/>
        <v>12</v>
      </c>
    </row>
    <row r="42" spans="1:9" ht="15.75" customHeight="1">
      <c r="A42" s="79">
        <v>39</v>
      </c>
      <c r="B42" s="84" t="s">
        <v>331</v>
      </c>
      <c r="C42" s="84" t="s">
        <v>1308</v>
      </c>
      <c r="D42" s="85" t="s">
        <v>362</v>
      </c>
      <c r="E42" s="82">
        <v>5</v>
      </c>
      <c r="F42" s="79">
        <v>16</v>
      </c>
      <c r="G42" s="144"/>
      <c r="H42" s="144"/>
      <c r="I42" s="144">
        <f t="shared" si="0"/>
        <v>16</v>
      </c>
    </row>
    <row r="43" spans="1:9" ht="15.75" customHeight="1">
      <c r="A43" s="79">
        <v>40</v>
      </c>
      <c r="B43" s="85" t="s">
        <v>317</v>
      </c>
      <c r="C43" s="84" t="s">
        <v>1309</v>
      </c>
      <c r="D43" s="85" t="s">
        <v>362</v>
      </c>
      <c r="E43" s="82">
        <v>4</v>
      </c>
      <c r="F43" s="79">
        <v>6</v>
      </c>
      <c r="G43" s="144"/>
      <c r="H43" s="144"/>
      <c r="I43" s="144">
        <f t="shared" si="0"/>
        <v>6</v>
      </c>
    </row>
    <row r="44" spans="1:9" ht="15.75" customHeight="1">
      <c r="A44" s="79">
        <v>41</v>
      </c>
      <c r="B44" s="84" t="s">
        <v>230</v>
      </c>
      <c r="C44" s="84" t="s">
        <v>1310</v>
      </c>
      <c r="D44" s="85" t="s">
        <v>362</v>
      </c>
      <c r="E44" s="82">
        <v>1</v>
      </c>
      <c r="F44" s="79">
        <v>19</v>
      </c>
      <c r="G44" s="144"/>
      <c r="H44" s="144"/>
      <c r="I44" s="144">
        <f t="shared" si="0"/>
        <v>19</v>
      </c>
    </row>
    <row r="45" spans="1:9" ht="15.75" customHeight="1">
      <c r="A45" s="79">
        <v>42</v>
      </c>
      <c r="B45" s="85" t="s">
        <v>318</v>
      </c>
      <c r="C45" s="84" t="s">
        <v>1311</v>
      </c>
      <c r="D45" s="85" t="s">
        <v>362</v>
      </c>
      <c r="E45" s="82">
        <v>4</v>
      </c>
      <c r="F45" s="79">
        <v>8</v>
      </c>
      <c r="G45" s="144"/>
      <c r="H45" s="144"/>
      <c r="I45" s="144">
        <f t="shared" si="0"/>
        <v>8</v>
      </c>
    </row>
    <row r="46" spans="1:9" ht="15.75" customHeight="1">
      <c r="A46" s="79">
        <v>43</v>
      </c>
      <c r="B46" s="85" t="s">
        <v>318</v>
      </c>
      <c r="C46" s="84" t="s">
        <v>1312</v>
      </c>
      <c r="D46" s="85" t="s">
        <v>362</v>
      </c>
      <c r="E46" s="82">
        <v>8</v>
      </c>
      <c r="F46" s="79">
        <v>6</v>
      </c>
      <c r="G46" s="144"/>
      <c r="H46" s="144"/>
      <c r="I46" s="144">
        <f t="shared" si="0"/>
        <v>6</v>
      </c>
    </row>
    <row r="47" spans="1:9" ht="15.75" customHeight="1">
      <c r="A47" s="79">
        <v>44</v>
      </c>
      <c r="B47" s="84" t="s">
        <v>333</v>
      </c>
      <c r="C47" s="84" t="s">
        <v>1313</v>
      </c>
      <c r="D47" s="85" t="s">
        <v>362</v>
      </c>
      <c r="E47" s="82">
        <v>6</v>
      </c>
      <c r="F47" s="79">
        <v>5</v>
      </c>
      <c r="G47" s="144"/>
      <c r="H47" s="144"/>
      <c r="I47" s="144">
        <f t="shared" si="0"/>
        <v>5</v>
      </c>
    </row>
    <row r="48" spans="1:9" ht="15.75" customHeight="1">
      <c r="A48" s="79">
        <v>45</v>
      </c>
      <c r="B48" s="84" t="s">
        <v>334</v>
      </c>
      <c r="C48" s="84" t="s">
        <v>1314</v>
      </c>
      <c r="D48" s="85" t="s">
        <v>362</v>
      </c>
      <c r="E48" s="82">
        <v>6</v>
      </c>
      <c r="F48" s="79">
        <v>14</v>
      </c>
      <c r="G48" s="144"/>
      <c r="H48" s="144"/>
      <c r="I48" s="144">
        <f t="shared" si="0"/>
        <v>14</v>
      </c>
    </row>
    <row r="49" spans="1:9" ht="15.75" customHeight="1">
      <c r="A49" s="79">
        <v>46</v>
      </c>
      <c r="B49" s="84" t="s">
        <v>335</v>
      </c>
      <c r="C49" s="84" t="s">
        <v>1315</v>
      </c>
      <c r="D49" s="85" t="s">
        <v>362</v>
      </c>
      <c r="E49" s="82">
        <v>6</v>
      </c>
      <c r="F49" s="79">
        <v>14</v>
      </c>
      <c r="G49" s="144"/>
      <c r="H49" s="144"/>
      <c r="I49" s="144">
        <f t="shared" si="0"/>
        <v>14</v>
      </c>
    </row>
    <row r="50" spans="1:9" ht="15.75" customHeight="1">
      <c r="A50" s="79">
        <v>47</v>
      </c>
      <c r="B50" s="84" t="s">
        <v>336</v>
      </c>
      <c r="C50" s="84" t="s">
        <v>1316</v>
      </c>
      <c r="D50" s="85" t="s">
        <v>362</v>
      </c>
      <c r="E50" s="82">
        <v>6</v>
      </c>
      <c r="F50" s="79">
        <v>7</v>
      </c>
      <c r="G50" s="144"/>
      <c r="H50" s="144"/>
      <c r="I50" s="144">
        <f t="shared" si="0"/>
        <v>7</v>
      </c>
    </row>
    <row r="51" spans="1:9" ht="15.75" customHeight="1">
      <c r="A51" s="79">
        <v>48</v>
      </c>
      <c r="B51" s="84" t="s">
        <v>337</v>
      </c>
      <c r="C51" s="84" t="s">
        <v>1317</v>
      </c>
      <c r="D51" s="85" t="s">
        <v>362</v>
      </c>
      <c r="E51" s="82">
        <v>6</v>
      </c>
      <c r="F51" s="79">
        <v>5</v>
      </c>
      <c r="G51" s="144"/>
      <c r="H51" s="144"/>
      <c r="I51" s="144">
        <f t="shared" si="0"/>
        <v>5</v>
      </c>
    </row>
    <row r="52" spans="1:9" ht="15.75" customHeight="1">
      <c r="A52" s="79">
        <v>49</v>
      </c>
      <c r="B52" s="84" t="s">
        <v>348</v>
      </c>
      <c r="C52" s="84" t="s">
        <v>1318</v>
      </c>
      <c r="D52" s="85" t="s">
        <v>362</v>
      </c>
      <c r="E52" s="82">
        <v>7</v>
      </c>
      <c r="F52" s="79">
        <v>18</v>
      </c>
      <c r="G52" s="144"/>
      <c r="H52" s="144"/>
      <c r="I52" s="144">
        <f t="shared" si="0"/>
        <v>18</v>
      </c>
    </row>
    <row r="53" spans="1:9" ht="15.75" customHeight="1">
      <c r="A53" s="79">
        <v>50</v>
      </c>
      <c r="B53" s="84" t="s">
        <v>349</v>
      </c>
      <c r="C53" s="84" t="s">
        <v>1319</v>
      </c>
      <c r="D53" s="85" t="s">
        <v>362</v>
      </c>
      <c r="E53" s="82">
        <v>7</v>
      </c>
      <c r="F53" s="79">
        <v>2</v>
      </c>
      <c r="G53" s="144"/>
      <c r="H53" s="144"/>
      <c r="I53" s="144">
        <f t="shared" si="0"/>
        <v>2</v>
      </c>
    </row>
    <row r="54" spans="1:9" ht="15.75" customHeight="1">
      <c r="A54" s="79">
        <v>51</v>
      </c>
      <c r="B54" s="84" t="s">
        <v>350</v>
      </c>
      <c r="C54" s="84" t="s">
        <v>1320</v>
      </c>
      <c r="D54" s="85" t="s">
        <v>362</v>
      </c>
      <c r="E54" s="82">
        <v>7</v>
      </c>
      <c r="F54" s="79">
        <v>11</v>
      </c>
      <c r="G54" s="144"/>
      <c r="H54" s="144"/>
      <c r="I54" s="144">
        <f t="shared" si="0"/>
        <v>11</v>
      </c>
    </row>
    <row r="55" spans="1:9" ht="15.75" customHeight="1">
      <c r="A55" s="79">
        <v>52</v>
      </c>
      <c r="B55" s="84" t="s">
        <v>351</v>
      </c>
      <c r="C55" s="84" t="s">
        <v>1321</v>
      </c>
      <c r="D55" s="85" t="s">
        <v>362</v>
      </c>
      <c r="E55" s="82">
        <v>7</v>
      </c>
      <c r="F55" s="79">
        <v>3</v>
      </c>
      <c r="G55" s="144"/>
      <c r="H55" s="144"/>
      <c r="I55" s="144">
        <f t="shared" si="0"/>
        <v>3</v>
      </c>
    </row>
    <row r="56" spans="1:9" ht="15.75" customHeight="1">
      <c r="A56" s="79">
        <v>53</v>
      </c>
      <c r="B56" s="84" t="s">
        <v>313</v>
      </c>
      <c r="C56" s="84" t="s">
        <v>1322</v>
      </c>
      <c r="D56" s="85" t="s">
        <v>362</v>
      </c>
      <c r="E56" s="82">
        <v>3</v>
      </c>
      <c r="F56" s="79">
        <v>12</v>
      </c>
      <c r="G56" s="144"/>
      <c r="H56" s="144"/>
      <c r="I56" s="144">
        <f t="shared" si="0"/>
        <v>12</v>
      </c>
    </row>
    <row r="57" spans="1:9" ht="15.75" customHeight="1">
      <c r="A57" s="79">
        <v>54</v>
      </c>
      <c r="B57" s="84" t="s">
        <v>352</v>
      </c>
      <c r="C57" s="84" t="s">
        <v>1323</v>
      </c>
      <c r="D57" s="85" t="s">
        <v>362</v>
      </c>
      <c r="E57" s="82">
        <v>7</v>
      </c>
      <c r="F57" s="79">
        <v>18</v>
      </c>
      <c r="G57" s="144"/>
      <c r="H57" s="144"/>
      <c r="I57" s="144">
        <f t="shared" si="0"/>
        <v>18</v>
      </c>
    </row>
    <row r="58" spans="1:9" ht="15.75" customHeight="1">
      <c r="A58" s="79">
        <v>55</v>
      </c>
      <c r="B58" s="85" t="s">
        <v>319</v>
      </c>
      <c r="C58" s="84" t="s">
        <v>1324</v>
      </c>
      <c r="D58" s="85" t="s">
        <v>362</v>
      </c>
      <c r="E58" s="82">
        <v>4</v>
      </c>
      <c r="F58" s="79">
        <v>7</v>
      </c>
      <c r="G58" s="144"/>
      <c r="H58" s="144"/>
      <c r="I58" s="144">
        <f t="shared" si="0"/>
        <v>7</v>
      </c>
    </row>
    <row r="59" spans="1:9" ht="15.75" customHeight="1">
      <c r="A59" s="79">
        <v>56</v>
      </c>
      <c r="B59" s="85" t="s">
        <v>320</v>
      </c>
      <c r="C59" s="84" t="s">
        <v>1325</v>
      </c>
      <c r="D59" s="85" t="s">
        <v>362</v>
      </c>
      <c r="E59" s="82">
        <v>4</v>
      </c>
      <c r="F59" s="79">
        <v>9</v>
      </c>
      <c r="G59" s="144"/>
      <c r="H59" s="144"/>
      <c r="I59" s="144">
        <f t="shared" si="0"/>
        <v>9</v>
      </c>
    </row>
    <row r="60" spans="1:9" ht="15.75" customHeight="1">
      <c r="A60" s="79">
        <v>57</v>
      </c>
      <c r="B60" s="85" t="s">
        <v>356</v>
      </c>
      <c r="C60" s="84" t="s">
        <v>1326</v>
      </c>
      <c r="D60" s="85" t="s">
        <v>362</v>
      </c>
      <c r="E60" s="82">
        <v>8</v>
      </c>
      <c r="F60" s="79">
        <v>6</v>
      </c>
      <c r="G60" s="144"/>
      <c r="H60" s="144"/>
      <c r="I60" s="144">
        <f t="shared" si="0"/>
        <v>6</v>
      </c>
    </row>
    <row r="61" spans="1:9" ht="15.75" customHeight="1">
      <c r="A61" s="79">
        <v>58</v>
      </c>
      <c r="B61" s="85" t="s">
        <v>357</v>
      </c>
      <c r="C61" s="84" t="s">
        <v>1327</v>
      </c>
      <c r="D61" s="85" t="s">
        <v>362</v>
      </c>
      <c r="E61" s="82">
        <v>8</v>
      </c>
      <c r="F61" s="79">
        <v>7</v>
      </c>
      <c r="G61" s="144"/>
      <c r="H61" s="144"/>
      <c r="I61" s="144">
        <f t="shared" si="0"/>
        <v>7</v>
      </c>
    </row>
    <row r="62" spans="1:9" ht="15.75" customHeight="1">
      <c r="A62" s="79">
        <v>59</v>
      </c>
      <c r="B62" s="85" t="s">
        <v>358</v>
      </c>
      <c r="C62" s="84" t="s">
        <v>1328</v>
      </c>
      <c r="D62" s="85" t="s">
        <v>362</v>
      </c>
      <c r="E62" s="82">
        <v>8</v>
      </c>
      <c r="F62" s="79">
        <v>9</v>
      </c>
      <c r="G62" s="144"/>
      <c r="H62" s="144"/>
      <c r="I62" s="144">
        <f t="shared" si="0"/>
        <v>9</v>
      </c>
    </row>
    <row r="63" spans="1:9" ht="15.75" customHeight="1">
      <c r="A63" s="79">
        <v>60</v>
      </c>
      <c r="B63" s="85" t="s">
        <v>359</v>
      </c>
      <c r="C63" s="84" t="s">
        <v>1329</v>
      </c>
      <c r="D63" s="85" t="s">
        <v>362</v>
      </c>
      <c r="E63" s="82">
        <v>8</v>
      </c>
      <c r="F63" s="79">
        <v>2</v>
      </c>
      <c r="G63" s="144"/>
      <c r="H63" s="144"/>
      <c r="I63" s="144">
        <f t="shared" si="0"/>
        <v>2</v>
      </c>
    </row>
    <row r="64" spans="1:9" ht="15.75" customHeight="1">
      <c r="A64" s="79">
        <v>61</v>
      </c>
      <c r="B64" s="84" t="s">
        <v>231</v>
      </c>
      <c r="C64" s="84" t="s">
        <v>1330</v>
      </c>
      <c r="D64" s="85" t="s">
        <v>362</v>
      </c>
      <c r="E64" s="82">
        <v>1</v>
      </c>
      <c r="F64" s="79">
        <v>5</v>
      </c>
      <c r="G64" s="144"/>
      <c r="H64" s="144">
        <v>1</v>
      </c>
      <c r="I64" s="144">
        <f t="shared" si="0"/>
        <v>4</v>
      </c>
    </row>
    <row r="65" spans="1:9" ht="15.75" customHeight="1">
      <c r="A65" s="79">
        <v>62</v>
      </c>
      <c r="B65" s="84" t="s">
        <v>255</v>
      </c>
      <c r="C65" s="84" t="s">
        <v>1331</v>
      </c>
      <c r="D65" s="85" t="s">
        <v>362</v>
      </c>
      <c r="E65" s="82">
        <v>2</v>
      </c>
      <c r="F65" s="79">
        <v>1</v>
      </c>
      <c r="G65" s="144"/>
      <c r="H65" s="144"/>
      <c r="I65" s="144">
        <f t="shared" si="0"/>
        <v>1</v>
      </c>
    </row>
    <row r="66" spans="1:9" ht="15.75" customHeight="1">
      <c r="A66" s="79">
        <v>63</v>
      </c>
      <c r="B66" s="84" t="s">
        <v>256</v>
      </c>
      <c r="C66" s="84" t="s">
        <v>1332</v>
      </c>
      <c r="D66" s="85" t="s">
        <v>362</v>
      </c>
      <c r="E66" s="82">
        <v>2</v>
      </c>
      <c r="F66" s="79">
        <v>1</v>
      </c>
      <c r="G66" s="144"/>
      <c r="H66" s="144"/>
      <c r="I66" s="144">
        <f t="shared" si="0"/>
        <v>1</v>
      </c>
    </row>
    <row r="67" spans="1:9" ht="15.75" customHeight="1">
      <c r="A67" s="79">
        <v>64</v>
      </c>
      <c r="B67" s="84" t="s">
        <v>257</v>
      </c>
      <c r="C67" s="84" t="s">
        <v>1333</v>
      </c>
      <c r="D67" s="85" t="s">
        <v>362</v>
      </c>
      <c r="E67" s="82">
        <v>2</v>
      </c>
      <c r="F67" s="79">
        <v>3</v>
      </c>
      <c r="G67" s="144"/>
      <c r="H67" s="144"/>
      <c r="I67" s="144">
        <f t="shared" si="0"/>
        <v>3</v>
      </c>
    </row>
    <row r="68" spans="1:9" ht="15.75" customHeight="1">
      <c r="A68" s="79">
        <v>65</v>
      </c>
      <c r="B68" s="84" t="s">
        <v>314</v>
      </c>
      <c r="C68" s="84" t="s">
        <v>1334</v>
      </c>
      <c r="D68" s="85" t="s">
        <v>362</v>
      </c>
      <c r="E68" s="82">
        <v>3</v>
      </c>
      <c r="F68" s="79">
        <v>1</v>
      </c>
      <c r="G68" s="144"/>
      <c r="H68" s="144"/>
      <c r="I68" s="144">
        <f t="shared" si="0"/>
        <v>1</v>
      </c>
    </row>
    <row r="69" spans="1:9" ht="15.75" customHeight="1">
      <c r="A69" s="79">
        <v>66</v>
      </c>
      <c r="B69" s="84" t="s">
        <v>315</v>
      </c>
      <c r="C69" s="84" t="s">
        <v>1335</v>
      </c>
      <c r="D69" s="85" t="s">
        <v>362</v>
      </c>
      <c r="E69" s="82">
        <v>3</v>
      </c>
      <c r="F69" s="79">
        <v>3</v>
      </c>
      <c r="G69" s="144"/>
      <c r="H69" s="144"/>
      <c r="I69" s="144">
        <f t="shared" ref="I69:I77" si="1">SUM(F69+G69)-H69</f>
        <v>3</v>
      </c>
    </row>
    <row r="70" spans="1:9" ht="15.75" customHeight="1">
      <c r="A70" s="79">
        <v>67</v>
      </c>
      <c r="B70" s="84" t="s">
        <v>341</v>
      </c>
      <c r="C70" s="84" t="s">
        <v>1336</v>
      </c>
      <c r="D70" s="85" t="s">
        <v>362</v>
      </c>
      <c r="E70" s="82">
        <v>6</v>
      </c>
      <c r="F70" s="79">
        <v>3</v>
      </c>
      <c r="G70" s="144"/>
      <c r="H70" s="144"/>
      <c r="I70" s="144">
        <f t="shared" si="1"/>
        <v>3</v>
      </c>
    </row>
    <row r="71" spans="1:9" ht="15.75" customHeight="1">
      <c r="A71" s="79">
        <v>68</v>
      </c>
      <c r="B71" s="84" t="s">
        <v>342</v>
      </c>
      <c r="C71" s="84" t="s">
        <v>1337</v>
      </c>
      <c r="D71" s="85" t="s">
        <v>362</v>
      </c>
      <c r="E71" s="82">
        <v>6</v>
      </c>
      <c r="F71" s="79">
        <v>1</v>
      </c>
      <c r="G71" s="144"/>
      <c r="H71" s="144"/>
      <c r="I71" s="144">
        <f t="shared" si="1"/>
        <v>1</v>
      </c>
    </row>
    <row r="72" spans="1:9" ht="15.75" customHeight="1">
      <c r="A72" s="79">
        <v>69</v>
      </c>
      <c r="B72" s="85" t="s">
        <v>360</v>
      </c>
      <c r="C72" s="84" t="s">
        <v>1338</v>
      </c>
      <c r="D72" s="85" t="s">
        <v>362</v>
      </c>
      <c r="E72" s="82">
        <v>8</v>
      </c>
      <c r="F72" s="79">
        <v>3</v>
      </c>
      <c r="G72" s="144"/>
      <c r="H72" s="144"/>
      <c r="I72" s="144">
        <f t="shared" si="1"/>
        <v>3</v>
      </c>
    </row>
    <row r="73" spans="1:9" ht="15.75" customHeight="1">
      <c r="A73" s="79">
        <v>70</v>
      </c>
      <c r="B73" s="84" t="s">
        <v>353</v>
      </c>
      <c r="C73" s="84" t="s">
        <v>1339</v>
      </c>
      <c r="D73" s="85" t="s">
        <v>362</v>
      </c>
      <c r="E73" s="82">
        <v>7</v>
      </c>
      <c r="F73" s="79">
        <v>1</v>
      </c>
      <c r="G73" s="144"/>
      <c r="H73" s="144"/>
      <c r="I73" s="144">
        <f t="shared" si="1"/>
        <v>1</v>
      </c>
    </row>
    <row r="74" spans="1:9" ht="21" customHeight="1">
      <c r="A74" s="79">
        <v>71</v>
      </c>
      <c r="B74" s="84" t="s">
        <v>365</v>
      </c>
      <c r="C74" s="84" t="s">
        <v>1340</v>
      </c>
      <c r="D74" s="85" t="s">
        <v>362</v>
      </c>
      <c r="E74" s="82">
        <v>0</v>
      </c>
      <c r="F74" s="79">
        <v>0</v>
      </c>
      <c r="G74" s="144"/>
      <c r="H74" s="144"/>
      <c r="I74" s="144">
        <f t="shared" si="1"/>
        <v>0</v>
      </c>
    </row>
    <row r="75" spans="1:9" ht="21" customHeight="1">
      <c r="A75" s="79">
        <v>72</v>
      </c>
      <c r="B75" s="84" t="s">
        <v>366</v>
      </c>
      <c r="C75" s="84" t="s">
        <v>1274</v>
      </c>
      <c r="D75" s="85" t="s">
        <v>362</v>
      </c>
      <c r="E75" s="82">
        <v>0</v>
      </c>
      <c r="F75" s="79">
        <v>0</v>
      </c>
      <c r="G75" s="144"/>
      <c r="H75" s="144"/>
      <c r="I75" s="144">
        <f t="shared" si="1"/>
        <v>0</v>
      </c>
    </row>
    <row r="76" spans="1:9" ht="21" customHeight="1">
      <c r="A76" s="79">
        <v>73</v>
      </c>
      <c r="B76" s="84" t="s">
        <v>367</v>
      </c>
      <c r="C76" s="84" t="s">
        <v>1341</v>
      </c>
      <c r="D76" s="85" t="s">
        <v>362</v>
      </c>
      <c r="E76" s="82">
        <v>1</v>
      </c>
      <c r="F76" s="79">
        <v>2</v>
      </c>
      <c r="G76" s="144"/>
      <c r="H76" s="144">
        <v>1</v>
      </c>
      <c r="I76" s="144">
        <f t="shared" si="1"/>
        <v>1</v>
      </c>
    </row>
    <row r="77" spans="1:9" ht="21" customHeight="1">
      <c r="A77" s="79">
        <v>74</v>
      </c>
      <c r="B77" s="84" t="s">
        <v>368</v>
      </c>
      <c r="C77" s="84" t="s">
        <v>1342</v>
      </c>
      <c r="D77" s="85" t="s">
        <v>362</v>
      </c>
      <c r="E77" s="82">
        <v>0</v>
      </c>
      <c r="F77" s="79">
        <v>0</v>
      </c>
      <c r="G77" s="144"/>
      <c r="H77" s="144"/>
      <c r="I77" s="144">
        <f t="shared" si="1"/>
        <v>0</v>
      </c>
    </row>
  </sheetData>
  <sortState ref="B2:H71">
    <sortCondition ref="B2"/>
  </sortState>
  <mergeCells count="1">
    <mergeCell ref="A2:I2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2:I181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7" sqref="B17"/>
    </sheetView>
  </sheetViews>
  <sheetFormatPr defaultColWidth="9.140625" defaultRowHeight="12"/>
  <cols>
    <col min="1" max="1" width="5.28515625" style="72" customWidth="1"/>
    <col min="2" max="2" width="8" style="72" customWidth="1"/>
    <col min="3" max="3" width="28.5703125" style="72" customWidth="1"/>
    <col min="4" max="4" width="9.5703125" style="72" customWidth="1"/>
    <col min="5" max="7" width="9.5703125" style="92" customWidth="1"/>
    <col min="8" max="8" width="6" style="72"/>
    <col min="9" max="9" width="26.140625" style="72" bestFit="1" customWidth="1"/>
    <col min="10" max="16384" width="9.140625" style="72"/>
  </cols>
  <sheetData>
    <row r="2" spans="1:7" ht="15.75" customHeight="1">
      <c r="A2" s="187" t="s">
        <v>1483</v>
      </c>
      <c r="B2" s="187"/>
      <c r="C2" s="187"/>
      <c r="D2" s="187"/>
      <c r="E2" s="187"/>
      <c r="F2" s="187"/>
      <c r="G2" s="187"/>
    </row>
    <row r="3" spans="1:7" s="77" customFormat="1" ht="24">
      <c r="A3" s="73" t="s">
        <v>0</v>
      </c>
      <c r="B3" s="74" t="s">
        <v>232</v>
      </c>
      <c r="C3" s="73" t="s">
        <v>1</v>
      </c>
      <c r="D3" s="75" t="s">
        <v>219</v>
      </c>
      <c r="E3" s="82" t="s">
        <v>218</v>
      </c>
      <c r="F3" s="75" t="s">
        <v>719</v>
      </c>
      <c r="G3" s="75" t="s">
        <v>219</v>
      </c>
    </row>
    <row r="4" spans="1:7">
      <c r="A4" s="78">
        <v>1</v>
      </c>
      <c r="B4" s="78" t="s">
        <v>401</v>
      </c>
      <c r="C4" s="7" t="s">
        <v>392</v>
      </c>
      <c r="D4" s="80">
        <v>1</v>
      </c>
      <c r="E4" s="91"/>
      <c r="F4" s="91"/>
      <c r="G4" s="91">
        <f>SUM(D4+E4)-F4</f>
        <v>1</v>
      </c>
    </row>
    <row r="5" spans="1:7">
      <c r="A5" s="78">
        <v>2</v>
      </c>
      <c r="B5" s="78" t="s">
        <v>402</v>
      </c>
      <c r="C5" s="7" t="s">
        <v>83</v>
      </c>
      <c r="D5" s="80">
        <v>3</v>
      </c>
      <c r="E5" s="91"/>
      <c r="F5" s="91">
        <v>1</v>
      </c>
      <c r="G5" s="91">
        <f t="shared" ref="G5:G68" si="0">SUM(D5+E5)-F5</f>
        <v>2</v>
      </c>
    </row>
    <row r="6" spans="1:7" s="204" customFormat="1">
      <c r="A6" s="200">
        <v>3</v>
      </c>
      <c r="B6" s="200" t="s">
        <v>402</v>
      </c>
      <c r="C6" s="201" t="s">
        <v>890</v>
      </c>
      <c r="D6" s="202">
        <v>5</v>
      </c>
      <c r="E6" s="203"/>
      <c r="F6" s="203">
        <v>2</v>
      </c>
      <c r="G6" s="203">
        <f t="shared" si="0"/>
        <v>3</v>
      </c>
    </row>
    <row r="7" spans="1:7">
      <c r="A7" s="78">
        <v>4</v>
      </c>
      <c r="B7" s="78" t="s">
        <v>403</v>
      </c>
      <c r="C7" s="7" t="s">
        <v>56</v>
      </c>
      <c r="D7" s="80">
        <v>3</v>
      </c>
      <c r="E7" s="91"/>
      <c r="F7" s="91"/>
      <c r="G7" s="91">
        <f t="shared" si="0"/>
        <v>3</v>
      </c>
    </row>
    <row r="8" spans="1:7">
      <c r="A8" s="78">
        <v>5</v>
      </c>
      <c r="B8" s="78" t="s">
        <v>404</v>
      </c>
      <c r="C8" s="7" t="s">
        <v>395</v>
      </c>
      <c r="D8" s="80">
        <v>4</v>
      </c>
      <c r="E8" s="91"/>
      <c r="F8" s="91"/>
      <c r="G8" s="91">
        <f t="shared" si="0"/>
        <v>4</v>
      </c>
    </row>
    <row r="9" spans="1:7">
      <c r="A9" s="78">
        <v>6</v>
      </c>
      <c r="B9" s="78" t="s">
        <v>405</v>
      </c>
      <c r="C9" s="7" t="s">
        <v>3</v>
      </c>
      <c r="D9" s="80">
        <v>4</v>
      </c>
      <c r="E9" s="91"/>
      <c r="F9" s="91"/>
      <c r="G9" s="91">
        <f t="shared" si="0"/>
        <v>4</v>
      </c>
    </row>
    <row r="10" spans="1:7">
      <c r="A10" s="78">
        <v>7</v>
      </c>
      <c r="B10" s="78" t="s">
        <v>406</v>
      </c>
      <c r="C10" s="7" t="s">
        <v>4</v>
      </c>
      <c r="D10" s="80">
        <v>10</v>
      </c>
      <c r="E10" s="91"/>
      <c r="F10" s="91"/>
      <c r="G10" s="91">
        <f t="shared" si="0"/>
        <v>10</v>
      </c>
    </row>
    <row r="11" spans="1:7">
      <c r="A11" s="78">
        <v>8</v>
      </c>
      <c r="B11" s="78" t="s">
        <v>407</v>
      </c>
      <c r="C11" s="7" t="s">
        <v>400</v>
      </c>
      <c r="D11" s="80">
        <v>2</v>
      </c>
      <c r="E11" s="91"/>
      <c r="F11" s="91"/>
      <c r="G11" s="91">
        <f t="shared" si="0"/>
        <v>2</v>
      </c>
    </row>
    <row r="12" spans="1:7">
      <c r="A12" s="78">
        <v>9</v>
      </c>
      <c r="B12" s="78" t="s">
        <v>408</v>
      </c>
      <c r="C12" s="7" t="s">
        <v>33</v>
      </c>
      <c r="D12" s="80">
        <v>6</v>
      </c>
      <c r="E12" s="91"/>
      <c r="F12" s="91"/>
      <c r="G12" s="91">
        <f t="shared" si="0"/>
        <v>6</v>
      </c>
    </row>
    <row r="13" spans="1:7">
      <c r="A13" s="78">
        <v>10</v>
      </c>
      <c r="B13" s="78" t="s">
        <v>409</v>
      </c>
      <c r="C13" s="7" t="s">
        <v>5</v>
      </c>
      <c r="D13" s="80">
        <v>1</v>
      </c>
      <c r="E13" s="91"/>
      <c r="F13" s="91"/>
      <c r="G13" s="91">
        <f t="shared" si="0"/>
        <v>1</v>
      </c>
    </row>
    <row r="14" spans="1:7">
      <c r="A14" s="78">
        <v>11</v>
      </c>
      <c r="B14" s="78" t="s">
        <v>410</v>
      </c>
      <c r="C14" s="7">
        <v>6012</v>
      </c>
      <c r="D14" s="80">
        <v>2</v>
      </c>
      <c r="E14" s="91"/>
      <c r="F14" s="91"/>
      <c r="G14" s="91">
        <f t="shared" si="0"/>
        <v>2</v>
      </c>
    </row>
    <row r="15" spans="1:7">
      <c r="A15" s="78">
        <v>12</v>
      </c>
      <c r="B15" s="78" t="s">
        <v>411</v>
      </c>
      <c r="C15" s="7" t="s">
        <v>6</v>
      </c>
      <c r="D15" s="80">
        <v>2</v>
      </c>
      <c r="E15" s="91"/>
      <c r="F15" s="91"/>
      <c r="G15" s="91">
        <f t="shared" si="0"/>
        <v>2</v>
      </c>
    </row>
    <row r="16" spans="1:7">
      <c r="A16" s="78">
        <v>13</v>
      </c>
      <c r="B16" s="78" t="s">
        <v>412</v>
      </c>
      <c r="C16" s="7" t="s">
        <v>7</v>
      </c>
      <c r="D16" s="80">
        <v>1</v>
      </c>
      <c r="E16" s="91"/>
      <c r="F16" s="91"/>
      <c r="G16" s="91">
        <f t="shared" si="0"/>
        <v>1</v>
      </c>
    </row>
    <row r="17" spans="1:9">
      <c r="A17" s="78">
        <v>14</v>
      </c>
      <c r="B17" s="78" t="s">
        <v>413</v>
      </c>
      <c r="C17" s="7" t="s">
        <v>8</v>
      </c>
      <c r="D17" s="80">
        <v>6</v>
      </c>
      <c r="E17" s="91"/>
      <c r="F17" s="91"/>
      <c r="G17" s="91">
        <f t="shared" si="0"/>
        <v>6</v>
      </c>
    </row>
    <row r="18" spans="1:9">
      <c r="A18" s="78">
        <v>15</v>
      </c>
      <c r="B18" s="78" t="s">
        <v>414</v>
      </c>
      <c r="C18" s="7" t="s">
        <v>399</v>
      </c>
      <c r="D18" s="80">
        <v>0</v>
      </c>
      <c r="E18" s="91"/>
      <c r="F18" s="91"/>
      <c r="G18" s="91">
        <f t="shared" si="0"/>
        <v>0</v>
      </c>
    </row>
    <row r="19" spans="1:9">
      <c r="A19" s="78">
        <v>16</v>
      </c>
      <c r="B19" s="78" t="s">
        <v>415</v>
      </c>
      <c r="C19" s="7" t="s">
        <v>9</v>
      </c>
      <c r="D19" s="80">
        <v>4</v>
      </c>
      <c r="E19" s="91">
        <v>6</v>
      </c>
      <c r="F19" s="91"/>
      <c r="G19" s="91">
        <f t="shared" si="0"/>
        <v>10</v>
      </c>
    </row>
    <row r="20" spans="1:9">
      <c r="A20" s="78">
        <v>17</v>
      </c>
      <c r="B20" s="78" t="s">
        <v>416</v>
      </c>
      <c r="C20" s="7" t="s">
        <v>10</v>
      </c>
      <c r="D20" s="80">
        <v>4</v>
      </c>
      <c r="E20" s="91">
        <v>6</v>
      </c>
      <c r="F20" s="91">
        <v>1</v>
      </c>
      <c r="G20" s="91">
        <f t="shared" si="0"/>
        <v>9</v>
      </c>
    </row>
    <row r="21" spans="1:9">
      <c r="A21" s="78">
        <v>18</v>
      </c>
      <c r="B21" s="78" t="s">
        <v>417</v>
      </c>
      <c r="C21" s="7" t="s">
        <v>11</v>
      </c>
      <c r="D21" s="80">
        <v>7</v>
      </c>
      <c r="E21" s="91"/>
      <c r="F21" s="91"/>
      <c r="G21" s="91">
        <f t="shared" si="0"/>
        <v>7</v>
      </c>
    </row>
    <row r="22" spans="1:9">
      <c r="A22" s="78">
        <v>19</v>
      </c>
      <c r="B22" s="78" t="s">
        <v>418</v>
      </c>
      <c r="C22" s="7" t="s">
        <v>12</v>
      </c>
      <c r="D22" s="80">
        <v>6</v>
      </c>
      <c r="E22" s="91"/>
      <c r="F22" s="91"/>
      <c r="G22" s="91">
        <f t="shared" si="0"/>
        <v>6</v>
      </c>
    </row>
    <row r="23" spans="1:9">
      <c r="A23" s="78">
        <v>20</v>
      </c>
      <c r="B23" s="78" t="s">
        <v>419</v>
      </c>
      <c r="C23" s="7">
        <v>6208</v>
      </c>
      <c r="D23" s="80">
        <v>6</v>
      </c>
      <c r="E23" s="91"/>
      <c r="F23" s="91"/>
      <c r="G23" s="91">
        <f t="shared" si="0"/>
        <v>6</v>
      </c>
      <c r="I23" s="72" t="s">
        <v>1486</v>
      </c>
    </row>
    <row r="24" spans="1:9">
      <c r="A24" s="78">
        <v>21</v>
      </c>
      <c r="B24" s="78" t="s">
        <v>420</v>
      </c>
      <c r="C24" s="7" t="s">
        <v>66</v>
      </c>
      <c r="D24" s="80">
        <v>2</v>
      </c>
      <c r="E24" s="91"/>
      <c r="F24" s="91">
        <v>2</v>
      </c>
      <c r="G24" s="91">
        <f t="shared" si="0"/>
        <v>0</v>
      </c>
      <c r="I24" s="72" t="s">
        <v>1486</v>
      </c>
    </row>
    <row r="25" spans="1:9">
      <c r="A25" s="78">
        <v>22</v>
      </c>
      <c r="B25" s="78" t="s">
        <v>421</v>
      </c>
      <c r="C25" s="7" t="s">
        <v>21</v>
      </c>
      <c r="D25" s="80">
        <v>13</v>
      </c>
      <c r="E25" s="91"/>
      <c r="F25" s="91"/>
      <c r="G25" s="91">
        <f t="shared" si="0"/>
        <v>13</v>
      </c>
    </row>
    <row r="26" spans="1:9">
      <c r="A26" s="78">
        <v>23</v>
      </c>
      <c r="B26" s="78" t="s">
        <v>422</v>
      </c>
      <c r="C26" s="7">
        <v>6210</v>
      </c>
      <c r="D26" s="80">
        <v>0</v>
      </c>
      <c r="E26" s="91"/>
      <c r="F26" s="91"/>
      <c r="G26" s="91">
        <f t="shared" si="0"/>
        <v>0</v>
      </c>
    </row>
    <row r="27" spans="1:9">
      <c r="A27" s="78">
        <v>24</v>
      </c>
      <c r="B27" s="78" t="s">
        <v>423</v>
      </c>
      <c r="C27" s="7" t="s">
        <v>13</v>
      </c>
      <c r="D27" s="80">
        <v>6</v>
      </c>
      <c r="E27" s="91"/>
      <c r="F27" s="91"/>
      <c r="G27" s="91">
        <f t="shared" si="0"/>
        <v>6</v>
      </c>
    </row>
    <row r="28" spans="1:9">
      <c r="A28" s="78">
        <v>25</v>
      </c>
      <c r="B28" s="78" t="s">
        <v>424</v>
      </c>
      <c r="C28" s="7" t="s">
        <v>396</v>
      </c>
      <c r="D28" s="80">
        <v>6</v>
      </c>
      <c r="E28" s="91"/>
      <c r="F28" s="91"/>
      <c r="G28" s="91">
        <f t="shared" si="0"/>
        <v>6</v>
      </c>
    </row>
    <row r="29" spans="1:9">
      <c r="A29" s="78">
        <v>26</v>
      </c>
      <c r="B29" s="78" t="s">
        <v>425</v>
      </c>
      <c r="C29" s="7" t="s">
        <v>58</v>
      </c>
      <c r="D29" s="80">
        <v>2</v>
      </c>
      <c r="E29" s="91"/>
      <c r="F29" s="91"/>
      <c r="G29" s="91">
        <f t="shared" si="0"/>
        <v>2</v>
      </c>
    </row>
    <row r="30" spans="1:9">
      <c r="A30" s="78">
        <v>27</v>
      </c>
      <c r="B30" s="78" t="s">
        <v>426</v>
      </c>
      <c r="C30" s="7" t="s">
        <v>84</v>
      </c>
      <c r="D30" s="80">
        <v>3</v>
      </c>
      <c r="E30" s="91"/>
      <c r="F30" s="91"/>
      <c r="G30" s="91">
        <f t="shared" si="0"/>
        <v>3</v>
      </c>
    </row>
    <row r="31" spans="1:9">
      <c r="A31" s="78">
        <v>28</v>
      </c>
      <c r="B31" s="78" t="s">
        <v>427</v>
      </c>
      <c r="C31" s="7" t="s">
        <v>15</v>
      </c>
      <c r="D31" s="80">
        <v>2</v>
      </c>
      <c r="E31" s="91"/>
      <c r="F31" s="91"/>
      <c r="G31" s="91">
        <f t="shared" si="0"/>
        <v>2</v>
      </c>
    </row>
    <row r="32" spans="1:9">
      <c r="A32" s="78">
        <v>29</v>
      </c>
      <c r="B32" s="78" t="s">
        <v>428</v>
      </c>
      <c r="C32" s="7" t="s">
        <v>14</v>
      </c>
      <c r="D32" s="80">
        <v>2</v>
      </c>
      <c r="E32" s="91"/>
      <c r="F32" s="91"/>
      <c r="G32" s="91">
        <f t="shared" si="0"/>
        <v>2</v>
      </c>
    </row>
    <row r="33" spans="1:7">
      <c r="A33" s="78">
        <v>30</v>
      </c>
      <c r="B33" s="78" t="s">
        <v>429</v>
      </c>
      <c r="C33" s="7" t="s">
        <v>16</v>
      </c>
      <c r="D33" s="80">
        <v>3</v>
      </c>
      <c r="E33" s="91"/>
      <c r="F33" s="91"/>
      <c r="G33" s="91">
        <f t="shared" si="0"/>
        <v>3</v>
      </c>
    </row>
    <row r="34" spans="1:7">
      <c r="A34" s="78">
        <v>31</v>
      </c>
      <c r="B34" s="78" t="s">
        <v>430</v>
      </c>
      <c r="C34" s="7" t="s">
        <v>17</v>
      </c>
      <c r="D34" s="80">
        <v>6</v>
      </c>
      <c r="E34" s="91"/>
      <c r="F34" s="91"/>
      <c r="G34" s="91">
        <f t="shared" si="0"/>
        <v>6</v>
      </c>
    </row>
    <row r="35" spans="1:7">
      <c r="A35" s="78">
        <v>32</v>
      </c>
      <c r="B35" s="78" t="s">
        <v>431</v>
      </c>
      <c r="C35" s="7" t="s">
        <v>214</v>
      </c>
      <c r="D35" s="80">
        <v>10</v>
      </c>
      <c r="E35" s="91"/>
      <c r="F35" s="91"/>
      <c r="G35" s="91">
        <f t="shared" si="0"/>
        <v>10</v>
      </c>
    </row>
    <row r="36" spans="1:7">
      <c r="A36" s="78">
        <v>33</v>
      </c>
      <c r="B36" s="78" t="s">
        <v>432</v>
      </c>
      <c r="C36" s="7" t="s">
        <v>18</v>
      </c>
      <c r="D36" s="80">
        <v>7</v>
      </c>
      <c r="E36" s="91"/>
      <c r="F36" s="91"/>
      <c r="G36" s="91">
        <f t="shared" si="0"/>
        <v>7</v>
      </c>
    </row>
    <row r="37" spans="1:7">
      <c r="A37" s="78">
        <v>34</v>
      </c>
      <c r="B37" s="78" t="s">
        <v>433</v>
      </c>
      <c r="C37" s="7" t="s">
        <v>215</v>
      </c>
      <c r="D37" s="80">
        <v>6</v>
      </c>
      <c r="E37" s="91"/>
      <c r="F37" s="91">
        <v>1</v>
      </c>
      <c r="G37" s="91">
        <f t="shared" si="0"/>
        <v>5</v>
      </c>
    </row>
    <row r="38" spans="1:7">
      <c r="A38" s="78">
        <v>35</v>
      </c>
      <c r="B38" s="78" t="s">
        <v>434</v>
      </c>
      <c r="C38" s="7" t="s">
        <v>369</v>
      </c>
      <c r="D38" s="80">
        <v>9</v>
      </c>
      <c r="E38" s="91"/>
      <c r="F38" s="91"/>
      <c r="G38" s="91">
        <f t="shared" si="0"/>
        <v>9</v>
      </c>
    </row>
    <row r="39" spans="1:7">
      <c r="A39" s="78">
        <v>36</v>
      </c>
      <c r="B39" s="78" t="s">
        <v>435</v>
      </c>
      <c r="C39" s="7" t="s">
        <v>19</v>
      </c>
      <c r="D39" s="80">
        <v>6</v>
      </c>
      <c r="E39" s="91"/>
      <c r="F39" s="91">
        <v>6</v>
      </c>
      <c r="G39" s="91">
        <f t="shared" si="0"/>
        <v>0</v>
      </c>
    </row>
    <row r="40" spans="1:7">
      <c r="A40" s="78">
        <v>37</v>
      </c>
      <c r="B40" s="78" t="s">
        <v>436</v>
      </c>
      <c r="C40" s="7" t="s">
        <v>853</v>
      </c>
      <c r="D40" s="80">
        <v>2</v>
      </c>
      <c r="E40" s="91"/>
      <c r="F40" s="91"/>
      <c r="G40" s="91">
        <f t="shared" si="0"/>
        <v>2</v>
      </c>
    </row>
    <row r="41" spans="1:7">
      <c r="A41" s="78">
        <v>38</v>
      </c>
      <c r="B41" s="78" t="s">
        <v>437</v>
      </c>
      <c r="C41" s="7" t="s">
        <v>22</v>
      </c>
      <c r="D41" s="80">
        <v>3</v>
      </c>
      <c r="E41" s="91"/>
      <c r="F41" s="91">
        <v>3</v>
      </c>
      <c r="G41" s="91">
        <f t="shared" si="0"/>
        <v>0</v>
      </c>
    </row>
    <row r="42" spans="1:7">
      <c r="A42" s="78">
        <v>39</v>
      </c>
      <c r="B42" s="78" t="s">
        <v>438</v>
      </c>
      <c r="C42" s="7" t="s">
        <v>23</v>
      </c>
      <c r="D42" s="80">
        <v>2</v>
      </c>
      <c r="E42" s="91"/>
      <c r="F42" s="91"/>
      <c r="G42" s="91">
        <f t="shared" si="0"/>
        <v>2</v>
      </c>
    </row>
    <row r="43" spans="1:7">
      <c r="A43" s="78">
        <v>40</v>
      </c>
      <c r="B43" s="78" t="s">
        <v>439</v>
      </c>
      <c r="C43" s="7" t="s">
        <v>24</v>
      </c>
      <c r="D43" s="80">
        <v>3</v>
      </c>
      <c r="E43" s="91"/>
      <c r="F43" s="91"/>
      <c r="G43" s="91">
        <f t="shared" si="0"/>
        <v>3</v>
      </c>
    </row>
    <row r="44" spans="1:7">
      <c r="A44" s="78">
        <v>41</v>
      </c>
      <c r="B44" s="78" t="s">
        <v>440</v>
      </c>
      <c r="C44" s="7" t="s">
        <v>25</v>
      </c>
      <c r="D44" s="80">
        <v>8</v>
      </c>
      <c r="E44" s="91"/>
      <c r="F44" s="91"/>
      <c r="G44" s="91">
        <f t="shared" si="0"/>
        <v>8</v>
      </c>
    </row>
    <row r="45" spans="1:7">
      <c r="A45" s="78">
        <v>42</v>
      </c>
      <c r="B45" s="78" t="s">
        <v>441</v>
      </c>
      <c r="C45" s="7" t="s">
        <v>85</v>
      </c>
      <c r="D45" s="80">
        <v>1</v>
      </c>
      <c r="E45" s="91"/>
      <c r="F45" s="91"/>
      <c r="G45" s="91">
        <f t="shared" si="0"/>
        <v>1</v>
      </c>
    </row>
    <row r="46" spans="1:7">
      <c r="A46" s="78">
        <v>43</v>
      </c>
      <c r="B46" s="78" t="s">
        <v>442</v>
      </c>
      <c r="C46" s="7" t="s">
        <v>86</v>
      </c>
      <c r="D46" s="80">
        <v>3</v>
      </c>
      <c r="E46" s="91"/>
      <c r="F46" s="91"/>
      <c r="G46" s="91">
        <f t="shared" si="0"/>
        <v>3</v>
      </c>
    </row>
    <row r="47" spans="1:7">
      <c r="A47" s="78">
        <v>44</v>
      </c>
      <c r="B47" s="78" t="s">
        <v>443</v>
      </c>
      <c r="C47" s="7" t="s">
        <v>101</v>
      </c>
      <c r="D47" s="80">
        <v>3</v>
      </c>
      <c r="E47" s="91"/>
      <c r="F47" s="91"/>
      <c r="G47" s="91">
        <f t="shared" si="0"/>
        <v>3</v>
      </c>
    </row>
    <row r="48" spans="1:7">
      <c r="A48" s="78">
        <v>45</v>
      </c>
      <c r="B48" s="78" t="s">
        <v>444</v>
      </c>
      <c r="C48" s="7" t="s">
        <v>144</v>
      </c>
      <c r="D48" s="80">
        <v>2</v>
      </c>
      <c r="E48" s="91"/>
      <c r="F48" s="91"/>
      <c r="G48" s="91">
        <f t="shared" si="0"/>
        <v>2</v>
      </c>
    </row>
    <row r="49" spans="1:7">
      <c r="A49" s="78">
        <v>46</v>
      </c>
      <c r="B49" s="78" t="s">
        <v>445</v>
      </c>
      <c r="C49" s="7" t="s">
        <v>114</v>
      </c>
      <c r="D49" s="80">
        <v>5</v>
      </c>
      <c r="E49" s="91"/>
      <c r="F49" s="91"/>
      <c r="G49" s="91">
        <f t="shared" si="0"/>
        <v>5</v>
      </c>
    </row>
    <row r="50" spans="1:7">
      <c r="A50" s="78">
        <v>47</v>
      </c>
      <c r="B50" s="78" t="s">
        <v>446</v>
      </c>
      <c r="C50" s="7" t="s">
        <v>145</v>
      </c>
      <c r="D50" s="80">
        <v>2</v>
      </c>
      <c r="E50" s="91"/>
      <c r="F50" s="91">
        <v>1</v>
      </c>
      <c r="G50" s="91">
        <f t="shared" si="0"/>
        <v>1</v>
      </c>
    </row>
    <row r="51" spans="1:7">
      <c r="A51" s="78">
        <v>48</v>
      </c>
      <c r="B51" s="78" t="s">
        <v>447</v>
      </c>
      <c r="C51" s="7" t="s">
        <v>126</v>
      </c>
      <c r="D51" s="80">
        <v>2</v>
      </c>
      <c r="E51" s="91"/>
      <c r="F51" s="91"/>
      <c r="G51" s="91">
        <f t="shared" si="0"/>
        <v>2</v>
      </c>
    </row>
    <row r="52" spans="1:7">
      <c r="A52" s="78">
        <v>49</v>
      </c>
      <c r="B52" s="78" t="s">
        <v>448</v>
      </c>
      <c r="C52" s="7" t="s">
        <v>127</v>
      </c>
      <c r="D52" s="80">
        <v>2</v>
      </c>
      <c r="E52" s="91"/>
      <c r="F52" s="91"/>
      <c r="G52" s="91">
        <f t="shared" si="0"/>
        <v>2</v>
      </c>
    </row>
    <row r="53" spans="1:7">
      <c r="A53" s="78">
        <v>50</v>
      </c>
      <c r="B53" s="78" t="s">
        <v>449</v>
      </c>
      <c r="C53" s="7" t="s">
        <v>128</v>
      </c>
      <c r="D53" s="80">
        <v>7</v>
      </c>
      <c r="E53" s="91"/>
      <c r="F53" s="91"/>
      <c r="G53" s="91">
        <f t="shared" si="0"/>
        <v>7</v>
      </c>
    </row>
    <row r="54" spans="1:7">
      <c r="A54" s="78">
        <v>51</v>
      </c>
      <c r="B54" s="78" t="s">
        <v>450</v>
      </c>
      <c r="C54" s="7" t="s">
        <v>26</v>
      </c>
      <c r="D54" s="80">
        <v>3</v>
      </c>
      <c r="E54" s="91"/>
      <c r="F54" s="91"/>
      <c r="G54" s="91">
        <f t="shared" si="0"/>
        <v>3</v>
      </c>
    </row>
    <row r="55" spans="1:7">
      <c r="A55" s="78">
        <v>52</v>
      </c>
      <c r="B55" s="78" t="s">
        <v>451</v>
      </c>
      <c r="C55" s="7">
        <v>6405</v>
      </c>
      <c r="D55" s="80">
        <v>1</v>
      </c>
      <c r="E55" s="91"/>
      <c r="F55" s="91"/>
      <c r="G55" s="91">
        <f t="shared" si="0"/>
        <v>1</v>
      </c>
    </row>
    <row r="56" spans="1:7">
      <c r="A56" s="78">
        <v>53</v>
      </c>
      <c r="B56" s="78" t="s">
        <v>452</v>
      </c>
      <c r="C56" s="7">
        <v>6406</v>
      </c>
      <c r="D56" s="80">
        <v>2</v>
      </c>
      <c r="E56" s="91"/>
      <c r="F56" s="91"/>
      <c r="G56" s="91">
        <f t="shared" si="0"/>
        <v>2</v>
      </c>
    </row>
    <row r="57" spans="1:7">
      <c r="A57" s="78">
        <v>54</v>
      </c>
      <c r="B57" s="78" t="s">
        <v>453</v>
      </c>
      <c r="C57" s="7">
        <v>6407</v>
      </c>
      <c r="D57" s="80">
        <v>1</v>
      </c>
      <c r="E57" s="91"/>
      <c r="F57" s="91"/>
      <c r="G57" s="91">
        <f t="shared" si="0"/>
        <v>1</v>
      </c>
    </row>
    <row r="58" spans="1:7">
      <c r="A58" s="78">
        <v>55</v>
      </c>
      <c r="B58" s="78" t="s">
        <v>454</v>
      </c>
      <c r="C58" s="7" t="s">
        <v>90</v>
      </c>
      <c r="D58" s="80">
        <v>2</v>
      </c>
      <c r="E58" s="91"/>
      <c r="F58" s="91"/>
      <c r="G58" s="91">
        <f t="shared" si="0"/>
        <v>2</v>
      </c>
    </row>
    <row r="59" spans="1:7">
      <c r="A59" s="78">
        <v>56</v>
      </c>
      <c r="B59" s="78" t="s">
        <v>455</v>
      </c>
      <c r="C59" s="7" t="s">
        <v>54</v>
      </c>
      <c r="D59" s="80">
        <v>8</v>
      </c>
      <c r="E59" s="91"/>
      <c r="F59" s="91"/>
      <c r="G59" s="91">
        <f t="shared" si="0"/>
        <v>8</v>
      </c>
    </row>
    <row r="60" spans="1:7">
      <c r="A60" s="78">
        <v>57</v>
      </c>
      <c r="B60" s="78" t="s">
        <v>456</v>
      </c>
      <c r="C60" s="7" t="s">
        <v>50</v>
      </c>
      <c r="D60" s="80">
        <v>4</v>
      </c>
      <c r="E60" s="91"/>
      <c r="F60" s="91"/>
      <c r="G60" s="91">
        <f t="shared" si="0"/>
        <v>4</v>
      </c>
    </row>
    <row r="61" spans="1:7">
      <c r="A61" s="78">
        <v>58</v>
      </c>
      <c r="B61" s="78" t="s">
        <v>457</v>
      </c>
      <c r="C61" s="7" t="s">
        <v>125</v>
      </c>
      <c r="D61" s="80">
        <v>2</v>
      </c>
      <c r="E61" s="91"/>
      <c r="F61" s="91"/>
      <c r="G61" s="91">
        <f t="shared" si="0"/>
        <v>2</v>
      </c>
    </row>
    <row r="62" spans="1:7">
      <c r="A62" s="78">
        <v>59</v>
      </c>
      <c r="B62" s="78" t="s">
        <v>458</v>
      </c>
      <c r="C62" s="7" t="s">
        <v>96</v>
      </c>
      <c r="D62" s="80">
        <v>4</v>
      </c>
      <c r="E62" s="91"/>
      <c r="F62" s="91"/>
      <c r="G62" s="91">
        <f t="shared" si="0"/>
        <v>4</v>
      </c>
    </row>
    <row r="63" spans="1:7">
      <c r="A63" s="78">
        <v>60</v>
      </c>
      <c r="B63" s="78" t="s">
        <v>459</v>
      </c>
      <c r="C63" s="7" t="s">
        <v>97</v>
      </c>
      <c r="D63" s="80">
        <v>5</v>
      </c>
      <c r="E63" s="91"/>
      <c r="F63" s="91"/>
      <c r="G63" s="91">
        <f t="shared" si="0"/>
        <v>5</v>
      </c>
    </row>
    <row r="64" spans="1:7">
      <c r="A64" s="78">
        <v>61</v>
      </c>
      <c r="B64" s="78" t="s">
        <v>460</v>
      </c>
      <c r="C64" s="7" t="s">
        <v>100</v>
      </c>
      <c r="D64" s="80">
        <v>2</v>
      </c>
      <c r="E64" s="91"/>
      <c r="F64" s="91"/>
      <c r="G64" s="91">
        <f t="shared" si="0"/>
        <v>2</v>
      </c>
    </row>
    <row r="65" spans="1:7">
      <c r="A65" s="78">
        <v>62</v>
      </c>
      <c r="B65" s="78" t="s">
        <v>461</v>
      </c>
      <c r="C65" s="7" t="s">
        <v>129</v>
      </c>
      <c r="D65" s="80">
        <v>2</v>
      </c>
      <c r="E65" s="91"/>
      <c r="F65" s="91"/>
      <c r="G65" s="91">
        <f t="shared" si="0"/>
        <v>2</v>
      </c>
    </row>
    <row r="66" spans="1:7">
      <c r="A66" s="78">
        <v>63</v>
      </c>
      <c r="B66" s="78" t="s">
        <v>462</v>
      </c>
      <c r="C66" s="7" t="s">
        <v>118</v>
      </c>
      <c r="D66" s="80">
        <v>1</v>
      </c>
      <c r="E66" s="91"/>
      <c r="F66" s="91"/>
      <c r="G66" s="91">
        <f t="shared" si="0"/>
        <v>1</v>
      </c>
    </row>
    <row r="67" spans="1:7">
      <c r="A67" s="78">
        <v>64</v>
      </c>
      <c r="B67" s="78" t="s">
        <v>463</v>
      </c>
      <c r="C67" s="7" t="s">
        <v>790</v>
      </c>
      <c r="D67" s="80">
        <v>2</v>
      </c>
      <c r="E67" s="91"/>
      <c r="F67" s="91"/>
      <c r="G67" s="91">
        <f t="shared" si="0"/>
        <v>2</v>
      </c>
    </row>
    <row r="68" spans="1:7">
      <c r="A68" s="78">
        <v>65</v>
      </c>
      <c r="B68" s="78" t="s">
        <v>464</v>
      </c>
      <c r="C68" s="7" t="s">
        <v>791</v>
      </c>
      <c r="D68" s="80">
        <v>2</v>
      </c>
      <c r="E68" s="91"/>
      <c r="F68" s="91"/>
      <c r="G68" s="91">
        <f t="shared" si="0"/>
        <v>2</v>
      </c>
    </row>
    <row r="69" spans="1:7">
      <c r="A69" s="78">
        <v>66</v>
      </c>
      <c r="B69" s="78" t="s">
        <v>465</v>
      </c>
      <c r="C69" s="7" t="s">
        <v>132</v>
      </c>
      <c r="D69" s="80">
        <v>2</v>
      </c>
      <c r="E69" s="91"/>
      <c r="F69" s="91"/>
      <c r="G69" s="91">
        <f t="shared" ref="G69:G132" si="1">SUM(D69+E69)-F69</f>
        <v>2</v>
      </c>
    </row>
    <row r="70" spans="1:7">
      <c r="A70" s="78">
        <v>67</v>
      </c>
      <c r="B70" s="78" t="s">
        <v>466</v>
      </c>
      <c r="C70" s="7" t="s">
        <v>121</v>
      </c>
      <c r="D70" s="80">
        <v>4</v>
      </c>
      <c r="E70" s="91"/>
      <c r="F70" s="91"/>
      <c r="G70" s="91">
        <f t="shared" si="1"/>
        <v>4</v>
      </c>
    </row>
    <row r="71" spans="1:7">
      <c r="A71" s="78">
        <v>68</v>
      </c>
      <c r="B71" s="78" t="s">
        <v>467</v>
      </c>
      <c r="C71" s="7" t="s">
        <v>119</v>
      </c>
      <c r="D71" s="80">
        <v>4</v>
      </c>
      <c r="E71" s="91"/>
      <c r="F71" s="91"/>
      <c r="G71" s="91">
        <f t="shared" si="1"/>
        <v>4</v>
      </c>
    </row>
    <row r="72" spans="1:7">
      <c r="A72" s="78">
        <v>69</v>
      </c>
      <c r="B72" s="78" t="s">
        <v>468</v>
      </c>
      <c r="C72" s="7" t="s">
        <v>113</v>
      </c>
      <c r="D72" s="80">
        <v>1</v>
      </c>
      <c r="E72" s="91"/>
      <c r="F72" s="91"/>
      <c r="G72" s="91">
        <f t="shared" si="1"/>
        <v>1</v>
      </c>
    </row>
    <row r="73" spans="1:7">
      <c r="A73" s="78">
        <v>70</v>
      </c>
      <c r="B73" s="78" t="s">
        <v>469</v>
      </c>
      <c r="C73" s="7" t="s">
        <v>80</v>
      </c>
      <c r="D73" s="80">
        <v>1</v>
      </c>
      <c r="E73" s="91"/>
      <c r="F73" s="91"/>
      <c r="G73" s="91">
        <f t="shared" si="1"/>
        <v>1</v>
      </c>
    </row>
    <row r="74" spans="1:7">
      <c r="A74" s="78">
        <v>71</v>
      </c>
      <c r="B74" s="78" t="s">
        <v>470</v>
      </c>
      <c r="C74" s="7" t="s">
        <v>81</v>
      </c>
      <c r="D74" s="80">
        <v>3</v>
      </c>
      <c r="E74" s="91"/>
      <c r="F74" s="91"/>
      <c r="G74" s="91">
        <f t="shared" si="1"/>
        <v>3</v>
      </c>
    </row>
    <row r="75" spans="1:7">
      <c r="A75" s="78">
        <v>72</v>
      </c>
      <c r="B75" s="78" t="s">
        <v>471</v>
      </c>
      <c r="C75" s="7" t="s">
        <v>98</v>
      </c>
      <c r="D75" s="80">
        <v>2</v>
      </c>
      <c r="E75" s="91"/>
      <c r="F75" s="91">
        <v>1</v>
      </c>
      <c r="G75" s="91">
        <f t="shared" si="1"/>
        <v>1</v>
      </c>
    </row>
    <row r="76" spans="1:7">
      <c r="A76" s="78">
        <v>73</v>
      </c>
      <c r="B76" s="78" t="s">
        <v>472</v>
      </c>
      <c r="C76" s="7" t="s">
        <v>99</v>
      </c>
      <c r="D76" s="80">
        <v>10</v>
      </c>
      <c r="E76" s="91"/>
      <c r="F76" s="91"/>
      <c r="G76" s="91">
        <f t="shared" si="1"/>
        <v>10</v>
      </c>
    </row>
    <row r="77" spans="1:7">
      <c r="A77" s="78">
        <v>74</v>
      </c>
      <c r="B77" s="78" t="s">
        <v>473</v>
      </c>
      <c r="C77" s="7" t="s">
        <v>116</v>
      </c>
      <c r="D77" s="80">
        <v>3</v>
      </c>
      <c r="E77" s="91"/>
      <c r="F77" s="91"/>
      <c r="G77" s="91">
        <f t="shared" si="1"/>
        <v>3</v>
      </c>
    </row>
    <row r="78" spans="1:7">
      <c r="A78" s="78">
        <v>75</v>
      </c>
      <c r="B78" s="78" t="s">
        <v>474</v>
      </c>
      <c r="C78" s="7">
        <v>51109</v>
      </c>
      <c r="D78" s="80">
        <v>0</v>
      </c>
      <c r="E78" s="91">
        <v>4</v>
      </c>
      <c r="F78" s="91"/>
      <c r="G78" s="91">
        <f t="shared" si="1"/>
        <v>4</v>
      </c>
    </row>
    <row r="79" spans="1:7">
      <c r="A79" s="78">
        <v>76</v>
      </c>
      <c r="B79" s="78" t="s">
        <v>475</v>
      </c>
      <c r="C79" s="7" t="s">
        <v>394</v>
      </c>
      <c r="D79" s="80">
        <v>1</v>
      </c>
      <c r="E79" s="91">
        <v>1</v>
      </c>
      <c r="F79" s="91"/>
      <c r="G79" s="91">
        <f t="shared" si="1"/>
        <v>2</v>
      </c>
    </row>
    <row r="80" spans="1:7">
      <c r="A80" s="78">
        <v>77</v>
      </c>
      <c r="B80" s="78" t="s">
        <v>476</v>
      </c>
      <c r="C80" s="7" t="s">
        <v>147</v>
      </c>
      <c r="D80" s="80">
        <v>2</v>
      </c>
      <c r="E80" s="91"/>
      <c r="F80" s="91"/>
      <c r="G80" s="91">
        <f t="shared" si="1"/>
        <v>2</v>
      </c>
    </row>
    <row r="81" spans="1:9">
      <c r="A81" s="78">
        <v>78</v>
      </c>
      <c r="B81" s="78" t="s">
        <v>477</v>
      </c>
      <c r="C81" s="7" t="s">
        <v>52</v>
      </c>
      <c r="D81" s="80">
        <v>0</v>
      </c>
      <c r="E81" s="91"/>
      <c r="F81" s="91"/>
      <c r="G81" s="91">
        <f t="shared" si="1"/>
        <v>0</v>
      </c>
    </row>
    <row r="82" spans="1:9">
      <c r="A82" s="78">
        <v>79</v>
      </c>
      <c r="B82" s="78" t="s">
        <v>478</v>
      </c>
      <c r="C82" s="7" t="s">
        <v>103</v>
      </c>
      <c r="D82" s="80">
        <v>0</v>
      </c>
      <c r="E82" s="91"/>
      <c r="F82" s="91"/>
      <c r="G82" s="91">
        <f t="shared" si="1"/>
        <v>0</v>
      </c>
    </row>
    <row r="83" spans="1:9">
      <c r="A83" s="78">
        <v>80</v>
      </c>
      <c r="B83" s="78" t="s">
        <v>479</v>
      </c>
      <c r="C83" s="7" t="s">
        <v>102</v>
      </c>
      <c r="D83" s="80">
        <v>2</v>
      </c>
      <c r="E83" s="91"/>
      <c r="F83" s="91"/>
      <c r="G83" s="91">
        <f t="shared" si="1"/>
        <v>2</v>
      </c>
    </row>
    <row r="84" spans="1:9">
      <c r="A84" s="78">
        <v>81</v>
      </c>
      <c r="B84" s="78" t="s">
        <v>480</v>
      </c>
      <c r="C84" s="7" t="s">
        <v>398</v>
      </c>
      <c r="D84" s="80">
        <v>2</v>
      </c>
      <c r="E84" s="91"/>
      <c r="F84" s="91"/>
      <c r="G84" s="91">
        <f t="shared" si="1"/>
        <v>2</v>
      </c>
    </row>
    <row r="85" spans="1:9">
      <c r="A85" s="78">
        <v>82</v>
      </c>
      <c r="B85" s="78" t="s">
        <v>481</v>
      </c>
      <c r="C85" s="7" t="s">
        <v>124</v>
      </c>
      <c r="D85" s="80">
        <v>1</v>
      </c>
      <c r="E85" s="91"/>
      <c r="F85" s="91"/>
      <c r="G85" s="91">
        <f t="shared" si="1"/>
        <v>1</v>
      </c>
    </row>
    <row r="86" spans="1:9">
      <c r="A86" s="78">
        <v>83</v>
      </c>
      <c r="B86" s="78" t="s">
        <v>482</v>
      </c>
      <c r="C86" s="7" t="s">
        <v>854</v>
      </c>
      <c r="D86" s="80">
        <v>0</v>
      </c>
      <c r="E86" s="91"/>
      <c r="F86" s="91"/>
      <c r="G86" s="91">
        <f t="shared" si="1"/>
        <v>0</v>
      </c>
    </row>
    <row r="87" spans="1:9">
      <c r="A87" s="78">
        <v>84</v>
      </c>
      <c r="B87" s="78" t="s">
        <v>483</v>
      </c>
      <c r="C87" s="7" t="s">
        <v>108</v>
      </c>
      <c r="D87" s="80">
        <v>1</v>
      </c>
      <c r="E87" s="91"/>
      <c r="F87" s="91"/>
      <c r="G87" s="91">
        <f t="shared" si="1"/>
        <v>1</v>
      </c>
    </row>
    <row r="88" spans="1:9">
      <c r="A88" s="78">
        <v>85</v>
      </c>
      <c r="B88" s="78" t="s">
        <v>484</v>
      </c>
      <c r="C88" s="7" t="s">
        <v>139</v>
      </c>
      <c r="D88" s="80">
        <v>1</v>
      </c>
      <c r="E88" s="91"/>
      <c r="F88" s="91"/>
      <c r="G88" s="91">
        <f t="shared" si="1"/>
        <v>1</v>
      </c>
    </row>
    <row r="89" spans="1:9">
      <c r="A89" s="78">
        <v>86</v>
      </c>
      <c r="B89" s="78" t="s">
        <v>485</v>
      </c>
      <c r="C89" s="7" t="s">
        <v>67</v>
      </c>
      <c r="D89" s="80">
        <v>1</v>
      </c>
      <c r="E89" s="91"/>
      <c r="F89" s="91"/>
      <c r="G89" s="91">
        <f t="shared" si="1"/>
        <v>1</v>
      </c>
    </row>
    <row r="90" spans="1:9">
      <c r="A90" s="78">
        <v>87</v>
      </c>
      <c r="B90" s="78" t="s">
        <v>486</v>
      </c>
      <c r="C90" s="7" t="s">
        <v>117</v>
      </c>
      <c r="D90" s="80">
        <v>5</v>
      </c>
      <c r="E90" s="91"/>
      <c r="F90" s="91"/>
      <c r="G90" s="91">
        <f t="shared" si="1"/>
        <v>5</v>
      </c>
    </row>
    <row r="91" spans="1:9">
      <c r="A91" s="78">
        <v>88</v>
      </c>
      <c r="B91" s="78" t="s">
        <v>487</v>
      </c>
      <c r="C91" s="7" t="s">
        <v>130</v>
      </c>
      <c r="D91" s="80">
        <v>1</v>
      </c>
      <c r="E91" s="91"/>
      <c r="F91" s="91"/>
      <c r="G91" s="91">
        <f t="shared" si="1"/>
        <v>1</v>
      </c>
    </row>
    <row r="92" spans="1:9">
      <c r="A92" s="78">
        <v>89</v>
      </c>
      <c r="B92" s="78" t="s">
        <v>488</v>
      </c>
      <c r="C92" s="7" t="s">
        <v>120</v>
      </c>
      <c r="D92" s="80">
        <v>2</v>
      </c>
      <c r="E92" s="91"/>
      <c r="F92" s="91"/>
      <c r="G92" s="91">
        <f t="shared" si="1"/>
        <v>2</v>
      </c>
    </row>
    <row r="93" spans="1:9">
      <c r="A93" s="78">
        <v>90</v>
      </c>
      <c r="B93" s="78" t="s">
        <v>489</v>
      </c>
      <c r="C93" s="7" t="s">
        <v>131</v>
      </c>
      <c r="D93" s="80">
        <v>1</v>
      </c>
      <c r="E93" s="91"/>
      <c r="F93" s="91"/>
      <c r="G93" s="91">
        <f t="shared" si="1"/>
        <v>1</v>
      </c>
    </row>
    <row r="94" spans="1:9">
      <c r="A94" s="78">
        <v>91</v>
      </c>
      <c r="B94" s="78" t="s">
        <v>490</v>
      </c>
      <c r="C94" s="7" t="s">
        <v>141</v>
      </c>
      <c r="D94" s="80">
        <v>5</v>
      </c>
      <c r="E94" s="91"/>
      <c r="F94" s="91"/>
      <c r="G94" s="91">
        <f t="shared" si="1"/>
        <v>5</v>
      </c>
    </row>
    <row r="95" spans="1:9">
      <c r="A95" s="78">
        <v>92</v>
      </c>
      <c r="B95" s="78" t="s">
        <v>491</v>
      </c>
      <c r="C95" s="7" t="s">
        <v>142</v>
      </c>
      <c r="D95" s="80">
        <v>2</v>
      </c>
      <c r="E95" s="91"/>
      <c r="F95" s="91"/>
      <c r="G95" s="91">
        <f t="shared" si="1"/>
        <v>2</v>
      </c>
    </row>
    <row r="96" spans="1:9">
      <c r="A96" s="78">
        <v>93</v>
      </c>
      <c r="B96" s="78" t="s">
        <v>492</v>
      </c>
      <c r="C96" s="7" t="s">
        <v>140</v>
      </c>
      <c r="D96" s="80">
        <v>3</v>
      </c>
      <c r="E96" s="91"/>
      <c r="F96" s="91"/>
      <c r="G96" s="91">
        <f t="shared" si="1"/>
        <v>3</v>
      </c>
      <c r="I96" s="72" t="s">
        <v>1485</v>
      </c>
    </row>
    <row r="97" spans="1:9">
      <c r="A97" s="78">
        <v>94</v>
      </c>
      <c r="B97" s="78" t="s">
        <v>493</v>
      </c>
      <c r="C97" s="7" t="s">
        <v>146</v>
      </c>
      <c r="D97" s="80">
        <v>1</v>
      </c>
      <c r="E97" s="91"/>
      <c r="F97" s="91"/>
      <c r="G97" s="91">
        <f t="shared" si="1"/>
        <v>1</v>
      </c>
      <c r="I97" s="72" t="s">
        <v>1484</v>
      </c>
    </row>
    <row r="98" spans="1:9">
      <c r="A98" s="78">
        <v>95</v>
      </c>
      <c r="B98" s="78" t="s">
        <v>494</v>
      </c>
      <c r="C98" s="7" t="s">
        <v>107</v>
      </c>
      <c r="D98" s="80">
        <v>1</v>
      </c>
      <c r="E98" s="91"/>
      <c r="F98" s="91"/>
      <c r="G98" s="91">
        <f t="shared" si="1"/>
        <v>1</v>
      </c>
    </row>
    <row r="99" spans="1:9">
      <c r="A99" s="78">
        <v>96</v>
      </c>
      <c r="B99" s="78" t="s">
        <v>495</v>
      </c>
      <c r="C99" s="7" t="s">
        <v>885</v>
      </c>
      <c r="D99" s="80">
        <v>1</v>
      </c>
      <c r="E99" s="91"/>
      <c r="F99" s="91">
        <v>1</v>
      </c>
      <c r="G99" s="91">
        <f t="shared" si="1"/>
        <v>0</v>
      </c>
    </row>
    <row r="100" spans="1:9">
      <c r="A100" s="78">
        <v>97</v>
      </c>
      <c r="B100" s="78" t="s">
        <v>496</v>
      </c>
      <c r="C100" s="7" t="s">
        <v>143</v>
      </c>
      <c r="D100" s="80">
        <v>0</v>
      </c>
      <c r="E100" s="91"/>
      <c r="F100" s="91"/>
      <c r="G100" s="91">
        <f t="shared" si="1"/>
        <v>0</v>
      </c>
    </row>
    <row r="101" spans="1:9">
      <c r="A101" s="78">
        <v>98</v>
      </c>
      <c r="B101" s="78" t="s">
        <v>497</v>
      </c>
      <c r="C101" s="7" t="s">
        <v>51</v>
      </c>
      <c r="D101" s="80">
        <v>0</v>
      </c>
      <c r="E101" s="91"/>
      <c r="F101" s="91"/>
      <c r="G101" s="91">
        <f t="shared" si="1"/>
        <v>0</v>
      </c>
      <c r="I101" s="72" t="s">
        <v>1487</v>
      </c>
    </row>
    <row r="102" spans="1:9">
      <c r="A102" s="78">
        <v>99</v>
      </c>
      <c r="B102" s="78" t="s">
        <v>498</v>
      </c>
      <c r="C102" s="7" t="s">
        <v>136</v>
      </c>
      <c r="D102" s="80">
        <v>2</v>
      </c>
      <c r="E102" s="91"/>
      <c r="F102" s="91"/>
      <c r="G102" s="91">
        <f t="shared" si="1"/>
        <v>2</v>
      </c>
    </row>
    <row r="103" spans="1:9">
      <c r="A103" s="78">
        <v>100</v>
      </c>
      <c r="B103" s="78" t="s">
        <v>499</v>
      </c>
      <c r="C103" s="7" t="s">
        <v>34</v>
      </c>
      <c r="D103" s="80">
        <v>2</v>
      </c>
      <c r="E103" s="91"/>
      <c r="F103" s="91"/>
      <c r="G103" s="91">
        <f t="shared" si="1"/>
        <v>2</v>
      </c>
    </row>
    <row r="104" spans="1:9">
      <c r="A104" s="78">
        <v>101</v>
      </c>
      <c r="B104" s="78" t="s">
        <v>500</v>
      </c>
      <c r="C104" s="7" t="s">
        <v>35</v>
      </c>
      <c r="D104" s="80">
        <v>3</v>
      </c>
      <c r="E104" s="91"/>
      <c r="F104" s="91"/>
      <c r="G104" s="91">
        <f t="shared" si="1"/>
        <v>3</v>
      </c>
    </row>
    <row r="105" spans="1:9">
      <c r="A105" s="78">
        <v>102</v>
      </c>
      <c r="B105" s="78" t="s">
        <v>501</v>
      </c>
      <c r="C105" s="7" t="s">
        <v>36</v>
      </c>
      <c r="D105" s="80">
        <v>4</v>
      </c>
      <c r="E105" s="91"/>
      <c r="F105" s="91"/>
      <c r="G105" s="91">
        <f t="shared" si="1"/>
        <v>4</v>
      </c>
    </row>
    <row r="106" spans="1:9">
      <c r="A106" s="78">
        <v>103</v>
      </c>
      <c r="B106" s="78" t="s">
        <v>502</v>
      </c>
      <c r="C106" s="7" t="s">
        <v>38</v>
      </c>
      <c r="D106" s="80">
        <v>7</v>
      </c>
      <c r="E106" s="91"/>
      <c r="F106" s="91"/>
      <c r="G106" s="91">
        <f t="shared" si="1"/>
        <v>7</v>
      </c>
    </row>
    <row r="107" spans="1:9">
      <c r="A107" s="78">
        <v>104</v>
      </c>
      <c r="B107" s="78" t="s">
        <v>503</v>
      </c>
      <c r="C107" s="7" t="s">
        <v>39</v>
      </c>
      <c r="D107" s="80">
        <v>0</v>
      </c>
      <c r="E107" s="91"/>
      <c r="F107" s="91"/>
      <c r="G107" s="91">
        <f t="shared" si="1"/>
        <v>0</v>
      </c>
    </row>
    <row r="108" spans="1:9">
      <c r="A108" s="78">
        <v>105</v>
      </c>
      <c r="B108" s="78" t="s">
        <v>504</v>
      </c>
      <c r="C108" s="7" t="s">
        <v>40</v>
      </c>
      <c r="D108" s="80">
        <v>4</v>
      </c>
      <c r="E108" s="91"/>
      <c r="F108" s="91"/>
      <c r="G108" s="91">
        <f t="shared" si="1"/>
        <v>4</v>
      </c>
    </row>
    <row r="109" spans="1:9">
      <c r="A109" s="78">
        <v>106</v>
      </c>
      <c r="B109" s="78" t="s">
        <v>505</v>
      </c>
      <c r="C109" s="7" t="s">
        <v>37</v>
      </c>
      <c r="D109" s="80">
        <v>7</v>
      </c>
      <c r="E109" s="91"/>
      <c r="F109" s="91">
        <v>4</v>
      </c>
      <c r="G109" s="91">
        <f t="shared" si="1"/>
        <v>3</v>
      </c>
    </row>
    <row r="110" spans="1:9">
      <c r="A110" s="78">
        <v>107</v>
      </c>
      <c r="B110" s="78" t="s">
        <v>506</v>
      </c>
      <c r="C110" s="7">
        <v>31316</v>
      </c>
      <c r="D110" s="80">
        <v>3</v>
      </c>
      <c r="E110" s="91"/>
      <c r="F110" s="91"/>
      <c r="G110" s="91">
        <f t="shared" si="1"/>
        <v>3</v>
      </c>
    </row>
    <row r="111" spans="1:9">
      <c r="A111" s="78">
        <v>108</v>
      </c>
      <c r="B111" s="78" t="s">
        <v>507</v>
      </c>
      <c r="C111" s="7" t="s">
        <v>41</v>
      </c>
      <c r="D111" s="80">
        <v>1</v>
      </c>
      <c r="E111" s="91"/>
      <c r="F111" s="91"/>
      <c r="G111" s="91">
        <f t="shared" si="1"/>
        <v>1</v>
      </c>
    </row>
    <row r="112" spans="1:9">
      <c r="A112" s="78">
        <v>109</v>
      </c>
      <c r="B112" s="78" t="s">
        <v>508</v>
      </c>
      <c r="C112" s="7" t="s">
        <v>42</v>
      </c>
      <c r="D112" s="80">
        <v>1</v>
      </c>
      <c r="E112" s="91"/>
      <c r="F112" s="91"/>
      <c r="G112" s="91">
        <f t="shared" si="1"/>
        <v>1</v>
      </c>
    </row>
    <row r="113" spans="1:7">
      <c r="A113" s="78">
        <v>110</v>
      </c>
      <c r="B113" s="78" t="s">
        <v>509</v>
      </c>
      <c r="C113" s="7" t="s">
        <v>43</v>
      </c>
      <c r="D113" s="80">
        <v>5</v>
      </c>
      <c r="E113" s="91"/>
      <c r="F113" s="91"/>
      <c r="G113" s="91">
        <f t="shared" si="1"/>
        <v>5</v>
      </c>
    </row>
    <row r="114" spans="1:7">
      <c r="A114" s="78">
        <v>111</v>
      </c>
      <c r="B114" s="78" t="s">
        <v>510</v>
      </c>
      <c r="C114" s="7" t="s">
        <v>95</v>
      </c>
      <c r="D114" s="80">
        <v>2</v>
      </c>
      <c r="E114" s="91"/>
      <c r="F114" s="91"/>
      <c r="G114" s="91">
        <f t="shared" si="1"/>
        <v>2</v>
      </c>
    </row>
    <row r="115" spans="1:7">
      <c r="A115" s="78">
        <v>112</v>
      </c>
      <c r="B115" s="78" t="s">
        <v>511</v>
      </c>
      <c r="C115" s="7" t="s">
        <v>89</v>
      </c>
      <c r="D115" s="80">
        <v>3</v>
      </c>
      <c r="E115" s="91"/>
      <c r="F115" s="91"/>
      <c r="G115" s="91">
        <f t="shared" si="1"/>
        <v>3</v>
      </c>
    </row>
    <row r="116" spans="1:7">
      <c r="A116" s="78">
        <v>113</v>
      </c>
      <c r="B116" s="78" t="s">
        <v>512</v>
      </c>
      <c r="C116" s="7" t="s">
        <v>134</v>
      </c>
      <c r="D116" s="80">
        <v>2</v>
      </c>
      <c r="E116" s="91"/>
      <c r="F116" s="91"/>
      <c r="G116" s="91">
        <f t="shared" si="1"/>
        <v>2</v>
      </c>
    </row>
    <row r="117" spans="1:7">
      <c r="A117" s="78">
        <v>114</v>
      </c>
      <c r="B117" s="78" t="s">
        <v>513</v>
      </c>
      <c r="C117" s="7" t="s">
        <v>133</v>
      </c>
      <c r="D117" s="80">
        <v>2</v>
      </c>
      <c r="E117" s="91"/>
      <c r="F117" s="91"/>
      <c r="G117" s="91">
        <f t="shared" si="1"/>
        <v>2</v>
      </c>
    </row>
    <row r="118" spans="1:7">
      <c r="A118" s="78">
        <v>115</v>
      </c>
      <c r="B118" s="78" t="s">
        <v>514</v>
      </c>
      <c r="C118" s="7">
        <v>51105</v>
      </c>
      <c r="D118" s="80">
        <v>5</v>
      </c>
      <c r="E118" s="91"/>
      <c r="F118" s="91"/>
      <c r="G118" s="91">
        <f t="shared" si="1"/>
        <v>5</v>
      </c>
    </row>
    <row r="119" spans="1:7">
      <c r="A119" s="78">
        <v>116</v>
      </c>
      <c r="B119" s="78" t="s">
        <v>515</v>
      </c>
      <c r="C119" s="7">
        <v>51211</v>
      </c>
      <c r="D119" s="80">
        <v>1</v>
      </c>
      <c r="E119" s="91"/>
      <c r="F119" s="91"/>
      <c r="G119" s="91">
        <f t="shared" si="1"/>
        <v>1</v>
      </c>
    </row>
    <row r="120" spans="1:7">
      <c r="A120" s="78">
        <v>117</v>
      </c>
      <c r="B120" s="78" t="s">
        <v>516</v>
      </c>
      <c r="C120" s="7">
        <v>51212</v>
      </c>
      <c r="D120" s="80">
        <v>8</v>
      </c>
      <c r="E120" s="91"/>
      <c r="F120" s="91"/>
      <c r="G120" s="91">
        <f t="shared" si="1"/>
        <v>8</v>
      </c>
    </row>
    <row r="121" spans="1:7">
      <c r="A121" s="78">
        <v>118</v>
      </c>
      <c r="B121" s="78" t="s">
        <v>517</v>
      </c>
      <c r="C121" s="7" t="s">
        <v>110</v>
      </c>
      <c r="D121" s="80">
        <v>0</v>
      </c>
      <c r="E121" s="91"/>
      <c r="F121" s="91"/>
      <c r="G121" s="91">
        <f t="shared" si="1"/>
        <v>0</v>
      </c>
    </row>
    <row r="122" spans="1:7">
      <c r="A122" s="78">
        <v>119</v>
      </c>
      <c r="B122" s="78" t="s">
        <v>518</v>
      </c>
      <c r="C122" s="7" t="s">
        <v>109</v>
      </c>
      <c r="D122" s="80">
        <v>1</v>
      </c>
      <c r="E122" s="91"/>
      <c r="F122" s="91"/>
      <c r="G122" s="91">
        <f t="shared" si="1"/>
        <v>1</v>
      </c>
    </row>
    <row r="123" spans="1:7">
      <c r="A123" s="78">
        <v>120</v>
      </c>
      <c r="B123" s="78" t="s">
        <v>519</v>
      </c>
      <c r="C123" s="7" t="s">
        <v>30</v>
      </c>
      <c r="D123" s="80">
        <v>2</v>
      </c>
      <c r="E123" s="91"/>
      <c r="F123" s="91"/>
      <c r="G123" s="91">
        <f t="shared" si="1"/>
        <v>2</v>
      </c>
    </row>
    <row r="124" spans="1:7">
      <c r="A124" s="78">
        <v>121</v>
      </c>
      <c r="B124" s="78" t="s">
        <v>520</v>
      </c>
      <c r="C124" s="7" t="s">
        <v>87</v>
      </c>
      <c r="D124" s="80">
        <v>8</v>
      </c>
      <c r="E124" s="91"/>
      <c r="F124" s="91"/>
      <c r="G124" s="91">
        <f t="shared" si="1"/>
        <v>8</v>
      </c>
    </row>
    <row r="125" spans="1:7">
      <c r="A125" s="78">
        <v>122</v>
      </c>
      <c r="B125" s="78" t="s">
        <v>521</v>
      </c>
      <c r="C125" s="7" t="s">
        <v>70</v>
      </c>
      <c r="D125" s="80">
        <v>0</v>
      </c>
      <c r="E125" s="91"/>
      <c r="F125" s="91"/>
      <c r="G125" s="91">
        <f t="shared" si="1"/>
        <v>0</v>
      </c>
    </row>
    <row r="126" spans="1:7">
      <c r="A126" s="78">
        <v>123</v>
      </c>
      <c r="B126" s="78" t="s">
        <v>522</v>
      </c>
      <c r="C126" s="7" t="s">
        <v>88</v>
      </c>
      <c r="D126" s="80">
        <v>1</v>
      </c>
      <c r="E126" s="91"/>
      <c r="F126" s="91"/>
      <c r="G126" s="91">
        <f t="shared" si="1"/>
        <v>1</v>
      </c>
    </row>
    <row r="127" spans="1:7">
      <c r="A127" s="78">
        <v>124</v>
      </c>
      <c r="B127" s="78" t="s">
        <v>523</v>
      </c>
      <c r="C127" s="7" t="s">
        <v>393</v>
      </c>
      <c r="D127" s="80">
        <v>3</v>
      </c>
      <c r="E127" s="91"/>
      <c r="F127" s="91"/>
      <c r="G127" s="91">
        <f t="shared" si="1"/>
        <v>3</v>
      </c>
    </row>
    <row r="128" spans="1:7">
      <c r="A128" s="78">
        <v>125</v>
      </c>
      <c r="B128" s="78" t="s">
        <v>524</v>
      </c>
      <c r="C128" s="7" t="s">
        <v>47</v>
      </c>
      <c r="D128" s="80">
        <v>4</v>
      </c>
      <c r="E128" s="91"/>
      <c r="F128" s="91"/>
      <c r="G128" s="91">
        <f t="shared" si="1"/>
        <v>4</v>
      </c>
    </row>
    <row r="129" spans="1:7">
      <c r="A129" s="78">
        <v>126</v>
      </c>
      <c r="B129" s="78" t="s">
        <v>525</v>
      </c>
      <c r="C129" s="7" t="s">
        <v>44</v>
      </c>
      <c r="D129" s="80">
        <v>1</v>
      </c>
      <c r="E129" s="91"/>
      <c r="F129" s="91"/>
      <c r="G129" s="91">
        <f t="shared" si="1"/>
        <v>1</v>
      </c>
    </row>
    <row r="130" spans="1:7">
      <c r="A130" s="78">
        <v>127</v>
      </c>
      <c r="B130" s="78" t="s">
        <v>526</v>
      </c>
      <c r="C130" s="7" t="s">
        <v>48</v>
      </c>
      <c r="D130" s="80">
        <v>1</v>
      </c>
      <c r="E130" s="91"/>
      <c r="F130" s="91"/>
      <c r="G130" s="91">
        <f t="shared" si="1"/>
        <v>1</v>
      </c>
    </row>
    <row r="131" spans="1:7">
      <c r="A131" s="78">
        <v>128</v>
      </c>
      <c r="B131" s="78" t="s">
        <v>527</v>
      </c>
      <c r="C131" s="7" t="s">
        <v>104</v>
      </c>
      <c r="D131" s="80">
        <v>3</v>
      </c>
      <c r="E131" s="91"/>
      <c r="F131" s="91"/>
      <c r="G131" s="91">
        <f t="shared" si="1"/>
        <v>3</v>
      </c>
    </row>
    <row r="132" spans="1:7">
      <c r="A132" s="78">
        <v>129</v>
      </c>
      <c r="B132" s="78" t="s">
        <v>528</v>
      </c>
      <c r="C132" s="7" t="s">
        <v>68</v>
      </c>
      <c r="D132" s="80">
        <v>0</v>
      </c>
      <c r="E132" s="91"/>
      <c r="F132" s="91"/>
      <c r="G132" s="91">
        <f t="shared" si="1"/>
        <v>0</v>
      </c>
    </row>
    <row r="133" spans="1:7">
      <c r="A133" s="78">
        <v>130</v>
      </c>
      <c r="B133" s="78" t="s">
        <v>529</v>
      </c>
      <c r="C133" s="7" t="s">
        <v>82</v>
      </c>
      <c r="D133" s="80">
        <v>1</v>
      </c>
      <c r="E133" s="91">
        <v>2</v>
      </c>
      <c r="F133" s="91"/>
      <c r="G133" s="91">
        <f t="shared" ref="G133:G178" si="2">SUM(D133+E133)-F133</f>
        <v>3</v>
      </c>
    </row>
    <row r="134" spans="1:7">
      <c r="A134" s="78">
        <v>131</v>
      </c>
      <c r="B134" s="78" t="s">
        <v>530</v>
      </c>
      <c r="C134" s="7" t="s">
        <v>135</v>
      </c>
      <c r="D134" s="80">
        <v>0</v>
      </c>
      <c r="E134" s="91"/>
      <c r="F134" s="91"/>
      <c r="G134" s="91">
        <f t="shared" si="2"/>
        <v>0</v>
      </c>
    </row>
    <row r="135" spans="1:7">
      <c r="A135" s="78">
        <v>132</v>
      </c>
      <c r="B135" s="78" t="s">
        <v>531</v>
      </c>
      <c r="C135" s="7" t="s">
        <v>115</v>
      </c>
      <c r="D135" s="80">
        <v>0</v>
      </c>
      <c r="E135" s="91"/>
      <c r="F135" s="91"/>
      <c r="G135" s="91">
        <f t="shared" si="2"/>
        <v>0</v>
      </c>
    </row>
    <row r="136" spans="1:7">
      <c r="A136" s="78">
        <v>133</v>
      </c>
      <c r="B136" s="78" t="s">
        <v>532</v>
      </c>
      <c r="C136" s="7" t="s">
        <v>111</v>
      </c>
      <c r="D136" s="80">
        <v>1</v>
      </c>
      <c r="E136" s="91"/>
      <c r="F136" s="91"/>
      <c r="G136" s="91">
        <f t="shared" si="2"/>
        <v>1</v>
      </c>
    </row>
    <row r="137" spans="1:7">
      <c r="A137" s="78">
        <v>134</v>
      </c>
      <c r="B137" s="78" t="s">
        <v>533</v>
      </c>
      <c r="C137" s="7" t="s">
        <v>123</v>
      </c>
      <c r="D137" s="80">
        <v>4</v>
      </c>
      <c r="E137" s="91"/>
      <c r="F137" s="91"/>
      <c r="G137" s="91">
        <f t="shared" si="2"/>
        <v>4</v>
      </c>
    </row>
    <row r="138" spans="1:7">
      <c r="A138" s="78">
        <v>135</v>
      </c>
      <c r="B138" s="78" t="s">
        <v>534</v>
      </c>
      <c r="C138" s="7" t="s">
        <v>53</v>
      </c>
      <c r="D138" s="80">
        <v>0</v>
      </c>
      <c r="E138" s="91"/>
      <c r="F138" s="91"/>
      <c r="G138" s="91">
        <f t="shared" si="2"/>
        <v>0</v>
      </c>
    </row>
    <row r="139" spans="1:7">
      <c r="A139" s="78">
        <v>136</v>
      </c>
      <c r="B139" s="78" t="s">
        <v>535</v>
      </c>
      <c r="C139" s="7" t="s">
        <v>93</v>
      </c>
      <c r="D139" s="80">
        <v>1</v>
      </c>
      <c r="E139" s="91"/>
      <c r="F139" s="91"/>
      <c r="G139" s="91">
        <f t="shared" si="2"/>
        <v>1</v>
      </c>
    </row>
    <row r="140" spans="1:7">
      <c r="A140" s="78">
        <v>137</v>
      </c>
      <c r="B140" s="78" t="s">
        <v>536</v>
      </c>
      <c r="C140" s="7" t="s">
        <v>55</v>
      </c>
      <c r="D140" s="80">
        <v>3</v>
      </c>
      <c r="E140" s="91"/>
      <c r="F140" s="91"/>
      <c r="G140" s="91">
        <f t="shared" si="2"/>
        <v>3</v>
      </c>
    </row>
    <row r="141" spans="1:7">
      <c r="A141" s="78">
        <v>138</v>
      </c>
      <c r="B141" s="78" t="s">
        <v>537</v>
      </c>
      <c r="C141" s="7" t="s">
        <v>57</v>
      </c>
      <c r="D141" s="80">
        <v>6</v>
      </c>
      <c r="E141" s="91"/>
      <c r="F141" s="91">
        <v>1</v>
      </c>
      <c r="G141" s="91">
        <f t="shared" si="2"/>
        <v>5</v>
      </c>
    </row>
    <row r="142" spans="1:7">
      <c r="A142" s="78">
        <v>139</v>
      </c>
      <c r="B142" s="78" t="s">
        <v>538</v>
      </c>
      <c r="C142" s="7" t="s">
        <v>45</v>
      </c>
      <c r="D142" s="80">
        <v>1</v>
      </c>
      <c r="E142" s="91"/>
      <c r="F142" s="91"/>
      <c r="G142" s="91">
        <f t="shared" si="2"/>
        <v>1</v>
      </c>
    </row>
    <row r="143" spans="1:7">
      <c r="A143" s="78">
        <v>140</v>
      </c>
      <c r="B143" s="78" t="s">
        <v>539</v>
      </c>
      <c r="C143" s="7" t="s">
        <v>49</v>
      </c>
      <c r="D143" s="80">
        <v>9</v>
      </c>
      <c r="E143" s="91"/>
      <c r="F143" s="91"/>
      <c r="G143" s="91">
        <f t="shared" si="2"/>
        <v>9</v>
      </c>
    </row>
    <row r="144" spans="1:7">
      <c r="A144" s="78">
        <v>141</v>
      </c>
      <c r="B144" s="78" t="s">
        <v>540</v>
      </c>
      <c r="C144" s="7" t="s">
        <v>105</v>
      </c>
      <c r="D144" s="80">
        <v>1</v>
      </c>
      <c r="E144" s="91"/>
      <c r="F144" s="91"/>
      <c r="G144" s="91">
        <f t="shared" si="2"/>
        <v>1</v>
      </c>
    </row>
    <row r="145" spans="1:7">
      <c r="A145" s="78">
        <v>142</v>
      </c>
      <c r="B145" s="78" t="s">
        <v>541</v>
      </c>
      <c r="C145" s="7" t="s">
        <v>106</v>
      </c>
      <c r="D145" s="80">
        <v>5</v>
      </c>
      <c r="E145" s="91"/>
      <c r="F145" s="91"/>
      <c r="G145" s="91">
        <f t="shared" si="2"/>
        <v>5</v>
      </c>
    </row>
    <row r="146" spans="1:7">
      <c r="A146" s="78">
        <v>143</v>
      </c>
      <c r="B146" s="78" t="s">
        <v>542</v>
      </c>
      <c r="C146" s="7" t="s">
        <v>46</v>
      </c>
      <c r="D146" s="80">
        <v>3</v>
      </c>
      <c r="E146" s="91"/>
      <c r="F146" s="91"/>
      <c r="G146" s="91">
        <f t="shared" si="2"/>
        <v>3</v>
      </c>
    </row>
    <row r="147" spans="1:7">
      <c r="A147" s="78">
        <v>144</v>
      </c>
      <c r="B147" s="78" t="s">
        <v>543</v>
      </c>
      <c r="C147" s="7" t="s">
        <v>112</v>
      </c>
      <c r="D147" s="80">
        <v>2</v>
      </c>
      <c r="E147" s="91"/>
      <c r="F147" s="91"/>
      <c r="G147" s="91">
        <f t="shared" si="2"/>
        <v>2</v>
      </c>
    </row>
    <row r="148" spans="1:7">
      <c r="A148" s="78">
        <v>145</v>
      </c>
      <c r="B148" s="78" t="s">
        <v>544</v>
      </c>
      <c r="C148" s="7" t="s">
        <v>91</v>
      </c>
      <c r="D148" s="80">
        <v>0</v>
      </c>
      <c r="E148" s="91"/>
      <c r="F148" s="91"/>
      <c r="G148" s="91">
        <f t="shared" si="2"/>
        <v>0</v>
      </c>
    </row>
    <row r="149" spans="1:7">
      <c r="A149" s="78">
        <v>146</v>
      </c>
      <c r="B149" s="78" t="s">
        <v>545</v>
      </c>
      <c r="C149" s="7" t="s">
        <v>92</v>
      </c>
      <c r="D149" s="80">
        <v>0</v>
      </c>
      <c r="E149" s="91"/>
      <c r="F149" s="91"/>
      <c r="G149" s="91">
        <f t="shared" si="2"/>
        <v>0</v>
      </c>
    </row>
    <row r="150" spans="1:7">
      <c r="A150" s="78">
        <v>147</v>
      </c>
      <c r="B150" s="78" t="s">
        <v>546</v>
      </c>
      <c r="C150" s="7" t="s">
        <v>79</v>
      </c>
      <c r="D150" s="80">
        <v>1</v>
      </c>
      <c r="E150" s="91"/>
      <c r="F150" s="91"/>
      <c r="G150" s="91">
        <f t="shared" si="2"/>
        <v>1</v>
      </c>
    </row>
    <row r="151" spans="1:7">
      <c r="A151" s="78">
        <v>148</v>
      </c>
      <c r="B151" s="78" t="s">
        <v>547</v>
      </c>
      <c r="C151" s="7" t="s">
        <v>72</v>
      </c>
      <c r="D151" s="80">
        <v>2</v>
      </c>
      <c r="E151" s="91"/>
      <c r="F151" s="91"/>
      <c r="G151" s="91">
        <f t="shared" si="2"/>
        <v>2</v>
      </c>
    </row>
    <row r="152" spans="1:7">
      <c r="A152" s="78">
        <v>149</v>
      </c>
      <c r="B152" s="78" t="s">
        <v>548</v>
      </c>
      <c r="C152" s="7" t="s">
        <v>73</v>
      </c>
      <c r="D152" s="80">
        <v>3</v>
      </c>
      <c r="E152" s="91"/>
      <c r="F152" s="91"/>
      <c r="G152" s="91">
        <f t="shared" si="2"/>
        <v>3</v>
      </c>
    </row>
    <row r="153" spans="1:7">
      <c r="A153" s="78">
        <v>150</v>
      </c>
      <c r="B153" s="78" t="s">
        <v>549</v>
      </c>
      <c r="C153" s="7" t="s">
        <v>27</v>
      </c>
      <c r="D153" s="80">
        <v>0</v>
      </c>
      <c r="E153" s="91"/>
      <c r="F153" s="91"/>
      <c r="G153" s="91">
        <f t="shared" si="2"/>
        <v>0</v>
      </c>
    </row>
    <row r="154" spans="1:7">
      <c r="A154" s="78">
        <v>151</v>
      </c>
      <c r="B154" s="78" t="s">
        <v>550</v>
      </c>
      <c r="C154" s="7" t="s">
        <v>61</v>
      </c>
      <c r="D154" s="80">
        <v>3</v>
      </c>
      <c r="E154" s="91"/>
      <c r="F154" s="91"/>
      <c r="G154" s="91">
        <f t="shared" si="2"/>
        <v>3</v>
      </c>
    </row>
    <row r="155" spans="1:7">
      <c r="A155" s="78">
        <v>152</v>
      </c>
      <c r="B155" s="78" t="s">
        <v>551</v>
      </c>
      <c r="C155" s="7" t="s">
        <v>64</v>
      </c>
      <c r="D155" s="80">
        <v>7</v>
      </c>
      <c r="E155" s="91"/>
      <c r="F155" s="91"/>
      <c r="G155" s="91">
        <f t="shared" si="2"/>
        <v>7</v>
      </c>
    </row>
    <row r="156" spans="1:7">
      <c r="A156" s="78">
        <v>153</v>
      </c>
      <c r="B156" s="78" t="s">
        <v>552</v>
      </c>
      <c r="C156" s="7" t="s">
        <v>71</v>
      </c>
      <c r="D156" s="80">
        <v>3</v>
      </c>
      <c r="E156" s="91"/>
      <c r="F156" s="91"/>
      <c r="G156" s="91">
        <f t="shared" si="2"/>
        <v>3</v>
      </c>
    </row>
    <row r="157" spans="1:7">
      <c r="A157" s="78">
        <v>154</v>
      </c>
      <c r="B157" s="78" t="s">
        <v>553</v>
      </c>
      <c r="C157" s="7" t="s">
        <v>31</v>
      </c>
      <c r="D157" s="80">
        <v>7</v>
      </c>
      <c r="E157" s="91"/>
      <c r="F157" s="91"/>
      <c r="G157" s="91">
        <f t="shared" si="2"/>
        <v>7</v>
      </c>
    </row>
    <row r="158" spans="1:7">
      <c r="A158" s="78">
        <v>155</v>
      </c>
      <c r="B158" s="78" t="s">
        <v>554</v>
      </c>
      <c r="C158" s="7" t="s">
        <v>74</v>
      </c>
      <c r="D158" s="80">
        <v>2</v>
      </c>
      <c r="E158" s="91"/>
      <c r="F158" s="91"/>
      <c r="G158" s="91">
        <f t="shared" si="2"/>
        <v>2</v>
      </c>
    </row>
    <row r="159" spans="1:7">
      <c r="A159" s="78">
        <v>156</v>
      </c>
      <c r="B159" s="78" t="s">
        <v>555</v>
      </c>
      <c r="C159" s="7" t="s">
        <v>75</v>
      </c>
      <c r="D159" s="80">
        <v>2</v>
      </c>
      <c r="E159" s="91"/>
      <c r="F159" s="91"/>
      <c r="G159" s="91">
        <f t="shared" si="2"/>
        <v>2</v>
      </c>
    </row>
    <row r="160" spans="1:7">
      <c r="A160" s="78">
        <v>157</v>
      </c>
      <c r="B160" s="78" t="s">
        <v>556</v>
      </c>
      <c r="C160" s="7" t="s">
        <v>62</v>
      </c>
      <c r="D160" s="80">
        <v>1</v>
      </c>
      <c r="E160" s="91"/>
      <c r="F160" s="91"/>
      <c r="G160" s="91">
        <f t="shared" si="2"/>
        <v>1</v>
      </c>
    </row>
    <row r="161" spans="1:7">
      <c r="A161" s="78">
        <v>158</v>
      </c>
      <c r="B161" s="78" t="s">
        <v>557</v>
      </c>
      <c r="C161" s="7" t="s">
        <v>29</v>
      </c>
      <c r="D161" s="80">
        <v>0</v>
      </c>
      <c r="E161" s="91"/>
      <c r="F161" s="91"/>
      <c r="G161" s="91">
        <f t="shared" si="2"/>
        <v>0</v>
      </c>
    </row>
    <row r="162" spans="1:7">
      <c r="A162" s="78">
        <v>159</v>
      </c>
      <c r="B162" s="78" t="s">
        <v>558</v>
      </c>
      <c r="C162" s="7" t="s">
        <v>59</v>
      </c>
      <c r="D162" s="80">
        <v>4</v>
      </c>
      <c r="E162" s="91"/>
      <c r="F162" s="91"/>
      <c r="G162" s="91">
        <f t="shared" si="2"/>
        <v>4</v>
      </c>
    </row>
    <row r="163" spans="1:7">
      <c r="A163" s="78">
        <v>160</v>
      </c>
      <c r="B163" s="78" t="s">
        <v>559</v>
      </c>
      <c r="C163" s="7" t="s">
        <v>65</v>
      </c>
      <c r="D163" s="80">
        <v>10</v>
      </c>
      <c r="E163" s="91"/>
      <c r="F163" s="91"/>
      <c r="G163" s="91">
        <f t="shared" si="2"/>
        <v>10</v>
      </c>
    </row>
    <row r="164" spans="1:7">
      <c r="A164" s="78">
        <v>161</v>
      </c>
      <c r="B164" s="78" t="s">
        <v>560</v>
      </c>
      <c r="C164" s="7" t="s">
        <v>60</v>
      </c>
      <c r="D164" s="80">
        <v>10</v>
      </c>
      <c r="E164" s="91"/>
      <c r="F164" s="91">
        <v>2</v>
      </c>
      <c r="G164" s="91">
        <f t="shared" si="2"/>
        <v>8</v>
      </c>
    </row>
    <row r="165" spans="1:7">
      <c r="A165" s="78">
        <v>162</v>
      </c>
      <c r="B165" s="78" t="s">
        <v>561</v>
      </c>
      <c r="C165" s="7" t="s">
        <v>63</v>
      </c>
      <c r="D165" s="80">
        <v>1</v>
      </c>
      <c r="E165" s="91"/>
      <c r="F165" s="91"/>
      <c r="G165" s="91">
        <f t="shared" si="2"/>
        <v>1</v>
      </c>
    </row>
    <row r="166" spans="1:7">
      <c r="A166" s="78">
        <v>163</v>
      </c>
      <c r="B166" s="78" t="s">
        <v>562</v>
      </c>
      <c r="C166" s="7" t="s">
        <v>397</v>
      </c>
      <c r="D166" s="80">
        <v>1</v>
      </c>
      <c r="E166" s="91"/>
      <c r="F166" s="91"/>
      <c r="G166" s="91">
        <f t="shared" si="2"/>
        <v>1</v>
      </c>
    </row>
    <row r="167" spans="1:7">
      <c r="A167" s="78">
        <v>164</v>
      </c>
      <c r="B167" s="78" t="s">
        <v>563</v>
      </c>
      <c r="C167" s="7" t="s">
        <v>69</v>
      </c>
      <c r="D167" s="80">
        <v>6</v>
      </c>
      <c r="E167" s="91"/>
      <c r="F167" s="91"/>
      <c r="G167" s="91">
        <f t="shared" si="2"/>
        <v>6</v>
      </c>
    </row>
    <row r="168" spans="1:7">
      <c r="A168" s="78">
        <v>165</v>
      </c>
      <c r="B168" s="78" t="s">
        <v>564</v>
      </c>
      <c r="C168" s="7" t="s">
        <v>32</v>
      </c>
      <c r="D168" s="80">
        <v>2</v>
      </c>
      <c r="E168" s="91"/>
      <c r="F168" s="91">
        <v>2</v>
      </c>
      <c r="G168" s="91">
        <f t="shared" si="2"/>
        <v>0</v>
      </c>
    </row>
    <row r="169" spans="1:7">
      <c r="A169" s="78">
        <v>166</v>
      </c>
      <c r="B169" s="78" t="s">
        <v>565</v>
      </c>
      <c r="C169" s="7" t="s">
        <v>76</v>
      </c>
      <c r="D169" s="80">
        <v>2</v>
      </c>
      <c r="E169" s="91"/>
      <c r="F169" s="91"/>
      <c r="G169" s="91">
        <f t="shared" si="2"/>
        <v>2</v>
      </c>
    </row>
    <row r="170" spans="1:7">
      <c r="A170" s="78">
        <v>167</v>
      </c>
      <c r="B170" s="78" t="s">
        <v>566</v>
      </c>
      <c r="C170" s="7" t="s">
        <v>77</v>
      </c>
      <c r="D170" s="80">
        <v>4</v>
      </c>
      <c r="E170" s="91"/>
      <c r="F170" s="91"/>
      <c r="G170" s="91">
        <f t="shared" si="2"/>
        <v>4</v>
      </c>
    </row>
    <row r="171" spans="1:7">
      <c r="A171" s="78">
        <v>168</v>
      </c>
      <c r="B171" s="78" t="s">
        <v>567</v>
      </c>
      <c r="C171" s="7" t="s">
        <v>78</v>
      </c>
      <c r="D171" s="80">
        <v>3</v>
      </c>
      <c r="E171" s="91"/>
      <c r="F171" s="91"/>
      <c r="G171" s="91">
        <f t="shared" si="2"/>
        <v>3</v>
      </c>
    </row>
    <row r="172" spans="1:7">
      <c r="A172" s="78">
        <v>169</v>
      </c>
      <c r="B172" s="78" t="s">
        <v>568</v>
      </c>
      <c r="C172" s="7" t="s">
        <v>28</v>
      </c>
      <c r="D172" s="80">
        <v>2</v>
      </c>
      <c r="E172" s="91">
        <v>5</v>
      </c>
      <c r="F172" s="91">
        <v>2</v>
      </c>
      <c r="G172" s="91">
        <f t="shared" si="2"/>
        <v>5</v>
      </c>
    </row>
    <row r="173" spans="1:7">
      <c r="A173" s="115">
        <v>170</v>
      </c>
      <c r="B173" s="115" t="s">
        <v>569</v>
      </c>
      <c r="C173" s="116" t="s">
        <v>138</v>
      </c>
      <c r="D173" s="117">
        <v>10</v>
      </c>
      <c r="E173" s="91"/>
      <c r="F173" s="91"/>
      <c r="G173" s="91">
        <f t="shared" si="2"/>
        <v>10</v>
      </c>
    </row>
    <row r="174" spans="1:7">
      <c r="A174" s="78">
        <v>171</v>
      </c>
      <c r="B174" s="91" t="s">
        <v>1216</v>
      </c>
      <c r="C174" s="120" t="s">
        <v>1217</v>
      </c>
      <c r="D174" s="80">
        <v>0</v>
      </c>
      <c r="E174" s="91"/>
      <c r="F174" s="91"/>
      <c r="G174" s="91">
        <f t="shared" si="2"/>
        <v>0</v>
      </c>
    </row>
    <row r="175" spans="1:7">
      <c r="A175" s="78">
        <v>172</v>
      </c>
      <c r="B175" s="91" t="s">
        <v>1218</v>
      </c>
      <c r="C175" s="120" t="s">
        <v>1219</v>
      </c>
      <c r="D175" s="80">
        <v>1</v>
      </c>
      <c r="E175" s="91"/>
      <c r="F175" s="91"/>
      <c r="G175" s="91">
        <f t="shared" si="2"/>
        <v>1</v>
      </c>
    </row>
    <row r="176" spans="1:7">
      <c r="A176" s="78">
        <v>173</v>
      </c>
      <c r="B176" s="91" t="s">
        <v>1220</v>
      </c>
      <c r="C176" s="120" t="s">
        <v>1221</v>
      </c>
      <c r="D176" s="80">
        <v>1</v>
      </c>
      <c r="E176" s="91"/>
      <c r="F176" s="91"/>
      <c r="G176" s="91">
        <f t="shared" si="2"/>
        <v>1</v>
      </c>
    </row>
    <row r="177" spans="1:9">
      <c r="A177" s="78">
        <v>174</v>
      </c>
      <c r="B177" s="91" t="s">
        <v>1418</v>
      </c>
      <c r="C177" s="120" t="s">
        <v>1458</v>
      </c>
      <c r="D177" s="80">
        <v>2</v>
      </c>
      <c r="E177" s="91"/>
      <c r="F177" s="91"/>
      <c r="G177" s="91">
        <f t="shared" si="2"/>
        <v>2</v>
      </c>
      <c r="I177" s="72" t="s">
        <v>1459</v>
      </c>
    </row>
    <row r="178" spans="1:9">
      <c r="A178" s="78">
        <v>175</v>
      </c>
      <c r="B178" s="91" t="s">
        <v>1419</v>
      </c>
      <c r="C178" s="120" t="s">
        <v>1420</v>
      </c>
      <c r="D178" s="80">
        <v>2</v>
      </c>
      <c r="E178" s="91"/>
      <c r="F178" s="91">
        <v>2</v>
      </c>
      <c r="G178" s="91">
        <f t="shared" si="2"/>
        <v>0</v>
      </c>
      <c r="I178" s="72" t="s">
        <v>1465</v>
      </c>
    </row>
    <row r="179" spans="1:9">
      <c r="A179" s="78">
        <v>176</v>
      </c>
      <c r="B179" s="91" t="s">
        <v>1457</v>
      </c>
      <c r="C179" s="120" t="s">
        <v>1460</v>
      </c>
      <c r="D179" s="80">
        <v>2</v>
      </c>
      <c r="E179" s="91"/>
      <c r="F179" s="91"/>
      <c r="G179" s="91">
        <f t="shared" ref="G179" si="3">SUM(D179+E179)-F179</f>
        <v>2</v>
      </c>
      <c r="I179" s="72" t="s">
        <v>1464</v>
      </c>
    </row>
    <row r="180" spans="1:9">
      <c r="A180" s="78">
        <v>177</v>
      </c>
      <c r="B180" s="91" t="s">
        <v>1461</v>
      </c>
      <c r="C180" s="120" t="s">
        <v>1462</v>
      </c>
      <c r="D180" s="80">
        <v>4</v>
      </c>
      <c r="E180" s="91"/>
      <c r="F180" s="91"/>
      <c r="G180" s="91">
        <f t="shared" ref="G180" si="4">SUM(D180+E180)-F180</f>
        <v>4</v>
      </c>
      <c r="I180" s="72" t="s">
        <v>1463</v>
      </c>
    </row>
    <row r="181" spans="1:9">
      <c r="A181" s="78">
        <v>178</v>
      </c>
      <c r="B181" s="91" t="s">
        <v>1466</v>
      </c>
      <c r="C181" s="120" t="s">
        <v>1467</v>
      </c>
      <c r="D181" s="80">
        <v>2</v>
      </c>
      <c r="E181" s="91"/>
      <c r="F181" s="91"/>
      <c r="G181" s="91">
        <f t="shared" ref="G181" si="5">SUM(D181+E181)-F181</f>
        <v>2</v>
      </c>
    </row>
  </sheetData>
  <autoFilter ref="D3:D173"/>
  <sortState ref="C2:D171">
    <sortCondition ref="C2"/>
  </sortState>
  <mergeCells count="1">
    <mergeCell ref="A2:G2"/>
  </mergeCells>
  <pageMargins left="0.25" right="0.25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8"/>
  <dimension ref="A2:H29"/>
  <sheetViews>
    <sheetView topLeftCell="A7" workbookViewId="0">
      <selection activeCell="A7" sqref="A1:A1048576"/>
    </sheetView>
  </sheetViews>
  <sheetFormatPr defaultRowHeight="15"/>
  <cols>
    <col min="1" max="1" width="6.85546875" bestFit="1" customWidth="1"/>
    <col min="2" max="2" width="9.7109375" customWidth="1"/>
    <col min="3" max="3" width="47.7109375" bestFit="1" customWidth="1"/>
    <col min="4" max="4" width="13.28515625" customWidth="1"/>
    <col min="5" max="5" width="11.28515625" customWidth="1"/>
    <col min="6" max="6" width="11" customWidth="1"/>
    <col min="7" max="7" width="9.140625" customWidth="1"/>
    <col min="8" max="8" width="11.85546875" bestFit="1" customWidth="1"/>
  </cols>
  <sheetData>
    <row r="2" spans="1:8" ht="18.75">
      <c r="A2" s="188" t="s">
        <v>1422</v>
      </c>
      <c r="B2" s="188"/>
      <c r="C2" s="188"/>
      <c r="D2" s="188"/>
      <c r="E2" s="188"/>
      <c r="F2" s="188"/>
      <c r="G2" s="188"/>
      <c r="H2" s="188"/>
    </row>
    <row r="3" spans="1:8" ht="31.5">
      <c r="A3" s="35" t="s">
        <v>388</v>
      </c>
      <c r="B3" s="36" t="s">
        <v>232</v>
      </c>
      <c r="C3" s="35" t="s">
        <v>1</v>
      </c>
      <c r="D3" s="35" t="s">
        <v>361</v>
      </c>
      <c r="E3" s="36" t="s">
        <v>233</v>
      </c>
      <c r="F3" s="49" t="s">
        <v>218</v>
      </c>
      <c r="G3" s="49" t="s">
        <v>719</v>
      </c>
      <c r="H3" s="49" t="s">
        <v>219</v>
      </c>
    </row>
    <row r="4" spans="1:8" ht="15.75">
      <c r="A4" s="37">
        <v>1</v>
      </c>
      <c r="B4" s="37" t="s">
        <v>378</v>
      </c>
      <c r="C4" s="38" t="s">
        <v>389</v>
      </c>
      <c r="D4" s="38" t="s">
        <v>391</v>
      </c>
      <c r="E4" s="37">
        <v>1</v>
      </c>
      <c r="F4" s="44"/>
      <c r="G4" s="43"/>
      <c r="H4" s="43">
        <f>SUM(E4+F4)-G4</f>
        <v>1</v>
      </c>
    </row>
    <row r="5" spans="1:8" ht="15.75">
      <c r="A5" s="37">
        <v>2</v>
      </c>
      <c r="B5" s="37" t="s">
        <v>379</v>
      </c>
      <c r="C5" s="38" t="s">
        <v>375</v>
      </c>
      <c r="D5" s="38" t="s">
        <v>391</v>
      </c>
      <c r="E5" s="37">
        <v>7</v>
      </c>
      <c r="F5" s="23"/>
      <c r="G5" s="23"/>
      <c r="H5" s="43">
        <f t="shared" ref="H5:H13" si="0">SUM(E5+F5)-G5</f>
        <v>7</v>
      </c>
    </row>
    <row r="6" spans="1:8" ht="15.75">
      <c r="A6" s="37">
        <v>3</v>
      </c>
      <c r="B6" s="37" t="s">
        <v>380</v>
      </c>
      <c r="C6" s="38" t="s">
        <v>390</v>
      </c>
      <c r="D6" s="38" t="s">
        <v>391</v>
      </c>
      <c r="E6" s="37">
        <v>7</v>
      </c>
      <c r="F6" s="23"/>
      <c r="G6" s="23"/>
      <c r="H6" s="43">
        <f t="shared" si="0"/>
        <v>7</v>
      </c>
    </row>
    <row r="7" spans="1:8" ht="15.75">
      <c r="A7" s="37">
        <v>4</v>
      </c>
      <c r="B7" s="37" t="s">
        <v>381</v>
      </c>
      <c r="C7" s="38" t="s">
        <v>376</v>
      </c>
      <c r="D7" s="38" t="s">
        <v>391</v>
      </c>
      <c r="E7" s="37">
        <v>1</v>
      </c>
      <c r="F7" s="23"/>
      <c r="G7" s="23"/>
      <c r="H7" s="43">
        <f t="shared" si="0"/>
        <v>1</v>
      </c>
    </row>
    <row r="8" spans="1:8" ht="15.75">
      <c r="A8" s="37">
        <v>5</v>
      </c>
      <c r="B8" s="37" t="s">
        <v>382</v>
      </c>
      <c r="C8" s="38" t="s">
        <v>377</v>
      </c>
      <c r="D8" s="38" t="s">
        <v>391</v>
      </c>
      <c r="E8" s="37">
        <v>2</v>
      </c>
      <c r="F8" s="23"/>
      <c r="G8" s="23"/>
      <c r="H8" s="43">
        <f t="shared" si="0"/>
        <v>2</v>
      </c>
    </row>
    <row r="9" spans="1:8" ht="15.75">
      <c r="A9" s="37">
        <v>6</v>
      </c>
      <c r="B9" s="37" t="s">
        <v>383</v>
      </c>
      <c r="C9" s="38" t="s">
        <v>370</v>
      </c>
      <c r="D9" s="38" t="s">
        <v>391</v>
      </c>
      <c r="E9" s="37">
        <v>2</v>
      </c>
      <c r="F9" s="23"/>
      <c r="G9" s="23"/>
      <c r="H9" s="43">
        <f t="shared" si="0"/>
        <v>2</v>
      </c>
    </row>
    <row r="10" spans="1:8" ht="15.75">
      <c r="A10" s="37">
        <v>7</v>
      </c>
      <c r="B10" s="37" t="s">
        <v>384</v>
      </c>
      <c r="C10" s="38" t="s">
        <v>371</v>
      </c>
      <c r="D10" s="38" t="s">
        <v>391</v>
      </c>
      <c r="E10" s="37">
        <v>7</v>
      </c>
      <c r="F10" s="23"/>
      <c r="G10" s="112">
        <v>1</v>
      </c>
      <c r="H10" s="43">
        <f t="shared" si="0"/>
        <v>6</v>
      </c>
    </row>
    <row r="11" spans="1:8" ht="15.75">
      <c r="A11" s="37">
        <v>8</v>
      </c>
      <c r="B11" s="37" t="s">
        <v>385</v>
      </c>
      <c r="C11" s="38" t="s">
        <v>372</v>
      </c>
      <c r="D11" s="38" t="s">
        <v>391</v>
      </c>
      <c r="E11" s="37">
        <v>8</v>
      </c>
      <c r="F11" s="23"/>
      <c r="G11" s="23"/>
      <c r="H11" s="43">
        <f t="shared" si="0"/>
        <v>8</v>
      </c>
    </row>
    <row r="12" spans="1:8" ht="15.75">
      <c r="A12" s="37">
        <v>9</v>
      </c>
      <c r="B12" s="37" t="s">
        <v>386</v>
      </c>
      <c r="C12" s="38" t="s">
        <v>373</v>
      </c>
      <c r="D12" s="38" t="s">
        <v>391</v>
      </c>
      <c r="E12" s="37">
        <v>4</v>
      </c>
      <c r="F12" s="23"/>
      <c r="G12" s="23"/>
      <c r="H12" s="43">
        <f t="shared" si="0"/>
        <v>4</v>
      </c>
    </row>
    <row r="13" spans="1:8" ht="15.75">
      <c r="A13" s="37">
        <v>10</v>
      </c>
      <c r="B13" s="37" t="s">
        <v>387</v>
      </c>
      <c r="C13" s="38" t="s">
        <v>374</v>
      </c>
      <c r="D13" s="38" t="s">
        <v>391</v>
      </c>
      <c r="E13" s="37">
        <v>6</v>
      </c>
      <c r="F13" s="23"/>
      <c r="G13" s="23"/>
      <c r="H13" s="43">
        <f t="shared" si="0"/>
        <v>6</v>
      </c>
    </row>
    <row r="15" spans="1:8">
      <c r="A15" s="189" t="s">
        <v>1423</v>
      </c>
      <c r="B15" s="189"/>
      <c r="C15" s="189"/>
      <c r="D15" s="189"/>
      <c r="E15" s="189"/>
      <c r="F15" s="189"/>
      <c r="G15" s="189"/>
      <c r="H15" s="189"/>
    </row>
    <row r="16" spans="1:8" ht="25.5">
      <c r="A16" s="138" t="s">
        <v>0</v>
      </c>
      <c r="B16" s="138" t="s">
        <v>232</v>
      </c>
      <c r="C16" s="139" t="s">
        <v>1</v>
      </c>
      <c r="D16" s="139" t="s">
        <v>361</v>
      </c>
      <c r="E16" s="138" t="s">
        <v>233</v>
      </c>
      <c r="F16" s="140" t="s">
        <v>218</v>
      </c>
      <c r="G16" s="140" t="s">
        <v>719</v>
      </c>
      <c r="H16" s="140" t="s">
        <v>219</v>
      </c>
    </row>
    <row r="17" spans="1:8" ht="15.75">
      <c r="A17" s="39">
        <v>1</v>
      </c>
      <c r="B17" s="39" t="s">
        <v>576</v>
      </c>
      <c r="C17" s="53" t="s">
        <v>570</v>
      </c>
      <c r="D17" s="53"/>
      <c r="E17" s="39">
        <v>1</v>
      </c>
      <c r="F17" s="44"/>
      <c r="G17" s="43"/>
      <c r="H17" s="43">
        <f>SUM(E17+F17)-G17</f>
        <v>1</v>
      </c>
    </row>
    <row r="18" spans="1:8" ht="15.75">
      <c r="A18" s="39">
        <v>2</v>
      </c>
      <c r="B18" s="39" t="s">
        <v>577</v>
      </c>
      <c r="C18" s="53" t="s">
        <v>571</v>
      </c>
      <c r="D18" s="53"/>
      <c r="E18" s="39">
        <v>1</v>
      </c>
      <c r="F18" s="23"/>
      <c r="G18" s="23"/>
      <c r="H18" s="43">
        <f t="shared" ref="H18:H23" si="1">SUM(E18+F18)-G18</f>
        <v>1</v>
      </c>
    </row>
    <row r="19" spans="1:8" ht="15.75">
      <c r="A19" s="39">
        <v>3</v>
      </c>
      <c r="B19" s="39" t="s">
        <v>578</v>
      </c>
      <c r="C19" s="53" t="s">
        <v>572</v>
      </c>
      <c r="D19" s="53"/>
      <c r="E19" s="39">
        <v>1</v>
      </c>
      <c r="F19" s="23"/>
      <c r="G19" s="23"/>
      <c r="H19" s="43">
        <f t="shared" si="1"/>
        <v>1</v>
      </c>
    </row>
    <row r="20" spans="1:8" ht="15.75">
      <c r="A20" s="39">
        <v>4</v>
      </c>
      <c r="B20" s="39" t="s">
        <v>579</v>
      </c>
      <c r="C20" s="53" t="s">
        <v>573</v>
      </c>
      <c r="D20" s="53"/>
      <c r="E20" s="39">
        <v>1</v>
      </c>
      <c r="F20" s="23"/>
      <c r="G20" s="23"/>
      <c r="H20" s="43">
        <f t="shared" si="1"/>
        <v>1</v>
      </c>
    </row>
    <row r="21" spans="1:8" ht="15.75">
      <c r="A21" s="39">
        <v>5</v>
      </c>
      <c r="B21" s="39" t="s">
        <v>580</v>
      </c>
      <c r="C21" s="53" t="s">
        <v>574</v>
      </c>
      <c r="D21" s="53"/>
      <c r="E21" s="39">
        <v>1</v>
      </c>
      <c r="F21" s="23"/>
      <c r="G21" s="23"/>
      <c r="H21" s="43">
        <f t="shared" si="1"/>
        <v>1</v>
      </c>
    </row>
    <row r="22" spans="1:8" ht="15.75">
      <c r="A22" s="39">
        <v>6</v>
      </c>
      <c r="B22" s="39" t="s">
        <v>581</v>
      </c>
      <c r="C22" s="53" t="s">
        <v>575</v>
      </c>
      <c r="D22" s="53"/>
      <c r="E22" s="39">
        <v>1</v>
      </c>
      <c r="F22" s="23"/>
      <c r="G22" s="23"/>
      <c r="H22" s="43">
        <f t="shared" si="1"/>
        <v>1</v>
      </c>
    </row>
    <row r="23" spans="1:8" ht="15.75">
      <c r="A23" s="39">
        <v>7</v>
      </c>
      <c r="B23" s="39" t="s">
        <v>582</v>
      </c>
      <c r="C23" s="53" t="s">
        <v>583</v>
      </c>
      <c r="D23" s="53"/>
      <c r="E23" s="39">
        <v>1</v>
      </c>
      <c r="F23" s="23"/>
      <c r="G23" s="23"/>
      <c r="H23" s="43">
        <f t="shared" si="1"/>
        <v>1</v>
      </c>
    </row>
    <row r="24" spans="1:8" ht="15.75">
      <c r="E24" s="55"/>
      <c r="F24" s="55"/>
      <c r="G24" s="55"/>
      <c r="H24" s="56"/>
    </row>
    <row r="25" spans="1:8" ht="15.75">
      <c r="A25" s="190" t="s">
        <v>584</v>
      </c>
      <c r="B25" s="190"/>
      <c r="C25" s="190"/>
      <c r="D25" s="190"/>
      <c r="E25" s="190"/>
      <c r="F25" s="190"/>
      <c r="G25" s="190"/>
      <c r="H25" s="190"/>
    </row>
    <row r="26" spans="1:8" ht="15.75">
      <c r="A26" s="24">
        <v>1</v>
      </c>
      <c r="B26" s="24" t="s">
        <v>585</v>
      </c>
      <c r="C26" s="54" t="s">
        <v>589</v>
      </c>
      <c r="D26" s="54"/>
      <c r="E26" s="24">
        <v>2</v>
      </c>
      <c r="F26" s="23"/>
      <c r="G26" s="23"/>
      <c r="H26" s="43">
        <f>SUM(E26+F26)-G26</f>
        <v>2</v>
      </c>
    </row>
    <row r="27" spans="1:8" ht="15.75">
      <c r="A27" s="24">
        <v>2</v>
      </c>
      <c r="B27" s="24" t="s">
        <v>586</v>
      </c>
      <c r="C27" s="54" t="s">
        <v>588</v>
      </c>
      <c r="D27" s="54"/>
      <c r="E27" s="24">
        <v>1</v>
      </c>
      <c r="F27" s="23"/>
      <c r="G27" s="23"/>
      <c r="H27" s="43">
        <f t="shared" ref="H27:H29" si="2">SUM(E27+F27)-G27</f>
        <v>1</v>
      </c>
    </row>
    <row r="28" spans="1:8" ht="15.75">
      <c r="A28" s="24">
        <v>3</v>
      </c>
      <c r="B28" s="24" t="s">
        <v>587</v>
      </c>
      <c r="C28" s="54" t="s">
        <v>591</v>
      </c>
      <c r="D28" s="54"/>
      <c r="E28" s="24">
        <v>1</v>
      </c>
      <c r="F28" s="23"/>
      <c r="G28" s="23"/>
      <c r="H28" s="43">
        <f t="shared" si="2"/>
        <v>1</v>
      </c>
    </row>
    <row r="29" spans="1:8" ht="15.75">
      <c r="A29" s="24">
        <v>4</v>
      </c>
      <c r="B29" s="24" t="s">
        <v>590</v>
      </c>
      <c r="C29" s="54" t="s">
        <v>644</v>
      </c>
      <c r="D29" s="54"/>
      <c r="E29" s="24">
        <v>1</v>
      </c>
      <c r="F29" s="23"/>
      <c r="G29" s="23"/>
      <c r="H29" s="43">
        <f t="shared" si="2"/>
        <v>1</v>
      </c>
    </row>
  </sheetData>
  <sortState ref="A4:D13">
    <sortCondition ref="C4"/>
  </sortState>
  <mergeCells count="3">
    <mergeCell ref="A2:H2"/>
    <mergeCell ref="A15:H15"/>
    <mergeCell ref="A25:H25"/>
  </mergeCells>
  <pageMargins left="0.7" right="0.7" top="0.75" bottom="0.75" header="0.3" footer="0.3"/>
  <pageSetup paperSize="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10"/>
  <dimension ref="A2:G30"/>
  <sheetViews>
    <sheetView workbookViewId="0">
      <selection sqref="A1:XFD1048576"/>
    </sheetView>
  </sheetViews>
  <sheetFormatPr defaultColWidth="9.140625" defaultRowHeight="15"/>
  <cols>
    <col min="1" max="1" width="6.85546875" style="57" bestFit="1" customWidth="1"/>
    <col min="2" max="2" width="10.5703125" style="57" customWidth="1"/>
    <col min="3" max="3" width="49.28515625" style="57" bestFit="1" customWidth="1"/>
    <col min="4" max="4" width="11.85546875" style="57" bestFit="1" customWidth="1"/>
    <col min="5" max="5" width="11.28515625" style="57" bestFit="1" customWidth="1"/>
    <col min="6" max="6" width="9.5703125" style="57"/>
    <col min="7" max="7" width="11.85546875" style="57" bestFit="1" customWidth="1"/>
    <col min="8" max="16384" width="9.140625" style="57"/>
  </cols>
  <sheetData>
    <row r="2" spans="1:7">
      <c r="A2" s="191" t="s">
        <v>613</v>
      </c>
      <c r="B2" s="191"/>
      <c r="C2" s="191"/>
      <c r="D2" s="143"/>
    </row>
    <row r="3" spans="1:7" s="52" customFormat="1" ht="31.5">
      <c r="A3" s="58" t="s">
        <v>592</v>
      </c>
      <c r="B3" s="59" t="s">
        <v>232</v>
      </c>
      <c r="C3" s="48" t="s">
        <v>593</v>
      </c>
      <c r="D3" s="49" t="s">
        <v>219</v>
      </c>
      <c r="E3" s="48" t="s">
        <v>218</v>
      </c>
      <c r="F3" s="49" t="s">
        <v>719</v>
      </c>
      <c r="G3" s="49" t="s">
        <v>219</v>
      </c>
    </row>
    <row r="4" spans="1:7" ht="21.75" customHeight="1">
      <c r="A4" s="60">
        <v>1</v>
      </c>
      <c r="B4" s="60" t="s">
        <v>614</v>
      </c>
      <c r="C4" s="41" t="s">
        <v>594</v>
      </c>
      <c r="D4" s="68">
        <v>4</v>
      </c>
      <c r="E4" s="68"/>
      <c r="F4" s="68"/>
      <c r="G4" s="68">
        <f>SUM(D4+E4)-F4</f>
        <v>4</v>
      </c>
    </row>
    <row r="5" spans="1:7" ht="21.75" customHeight="1">
      <c r="A5" s="60">
        <v>2</v>
      </c>
      <c r="B5" s="60" t="s">
        <v>615</v>
      </c>
      <c r="C5" s="41" t="s">
        <v>595</v>
      </c>
      <c r="D5" s="68">
        <v>5</v>
      </c>
      <c r="E5" s="68"/>
      <c r="F5" s="68"/>
      <c r="G5" s="68">
        <f t="shared" ref="G5:G30" si="0">SUM(D5+E5)-F5</f>
        <v>5</v>
      </c>
    </row>
    <row r="6" spans="1:7" ht="21.75" customHeight="1">
      <c r="A6" s="60">
        <v>3</v>
      </c>
      <c r="B6" s="60" t="s">
        <v>616</v>
      </c>
      <c r="C6" s="41" t="s">
        <v>788</v>
      </c>
      <c r="D6" s="68">
        <v>1</v>
      </c>
      <c r="E6" s="68"/>
      <c r="F6" s="68"/>
      <c r="G6" s="68">
        <f t="shared" si="0"/>
        <v>1</v>
      </c>
    </row>
    <row r="7" spans="1:7" ht="21.75" customHeight="1">
      <c r="A7" s="60">
        <v>4</v>
      </c>
      <c r="B7" s="60" t="s">
        <v>617</v>
      </c>
      <c r="C7" s="41" t="s">
        <v>643</v>
      </c>
      <c r="D7" s="68">
        <v>1</v>
      </c>
      <c r="E7" s="68"/>
      <c r="F7" s="68"/>
      <c r="G7" s="68">
        <f t="shared" si="0"/>
        <v>1</v>
      </c>
    </row>
    <row r="8" spans="1:7" ht="21.75" customHeight="1">
      <c r="A8" s="60">
        <v>5</v>
      </c>
      <c r="B8" s="60" t="s">
        <v>618</v>
      </c>
      <c r="C8" s="41" t="s">
        <v>596</v>
      </c>
      <c r="D8" s="68">
        <v>3</v>
      </c>
      <c r="E8" s="68"/>
      <c r="F8" s="68"/>
      <c r="G8" s="68">
        <f t="shared" si="0"/>
        <v>3</v>
      </c>
    </row>
    <row r="9" spans="1:7" ht="21.75" customHeight="1">
      <c r="A9" s="60">
        <v>6</v>
      </c>
      <c r="B9" s="60" t="s">
        <v>619</v>
      </c>
      <c r="C9" s="41" t="s">
        <v>597</v>
      </c>
      <c r="D9" s="68">
        <v>4</v>
      </c>
      <c r="E9" s="68"/>
      <c r="F9" s="68"/>
      <c r="G9" s="68">
        <f t="shared" si="0"/>
        <v>4</v>
      </c>
    </row>
    <row r="10" spans="1:7" ht="21.75" customHeight="1">
      <c r="A10" s="60">
        <v>7</v>
      </c>
      <c r="B10" s="60" t="s">
        <v>620</v>
      </c>
      <c r="C10" s="41" t="s">
        <v>598</v>
      </c>
      <c r="D10" s="68">
        <v>1</v>
      </c>
      <c r="E10" s="68"/>
      <c r="F10" s="68"/>
      <c r="G10" s="68">
        <f t="shared" si="0"/>
        <v>1</v>
      </c>
    </row>
    <row r="11" spans="1:7" ht="21.75" customHeight="1">
      <c r="A11" s="60">
        <v>8</v>
      </c>
      <c r="B11" s="60" t="s">
        <v>621</v>
      </c>
      <c r="C11" s="41" t="s">
        <v>599</v>
      </c>
      <c r="D11" s="68">
        <v>1</v>
      </c>
      <c r="E11" s="68"/>
      <c r="F11" s="68"/>
      <c r="G11" s="68">
        <f t="shared" si="0"/>
        <v>1</v>
      </c>
    </row>
    <row r="12" spans="1:7" ht="21.75" customHeight="1">
      <c r="A12" s="60">
        <v>9</v>
      </c>
      <c r="B12" s="60" t="s">
        <v>622</v>
      </c>
      <c r="C12" s="41" t="s">
        <v>600</v>
      </c>
      <c r="D12" s="68">
        <v>1</v>
      </c>
      <c r="E12" s="68"/>
      <c r="F12" s="68"/>
      <c r="G12" s="68">
        <f t="shared" si="0"/>
        <v>1</v>
      </c>
    </row>
    <row r="13" spans="1:7" ht="21.75" customHeight="1">
      <c r="A13" s="60">
        <v>10</v>
      </c>
      <c r="B13" s="60" t="s">
        <v>623</v>
      </c>
      <c r="C13" s="41" t="s">
        <v>601</v>
      </c>
      <c r="D13" s="68">
        <v>9</v>
      </c>
      <c r="E13" s="68"/>
      <c r="F13" s="68">
        <v>2</v>
      </c>
      <c r="G13" s="68">
        <f t="shared" si="0"/>
        <v>7</v>
      </c>
    </row>
    <row r="14" spans="1:7" ht="21.75" customHeight="1">
      <c r="A14" s="60">
        <v>11</v>
      </c>
      <c r="B14" s="60" t="s">
        <v>624</v>
      </c>
      <c r="C14" s="41" t="s">
        <v>602</v>
      </c>
      <c r="D14" s="68">
        <v>0</v>
      </c>
      <c r="E14" s="68"/>
      <c r="F14" s="68"/>
      <c r="G14" s="68">
        <f t="shared" si="0"/>
        <v>0</v>
      </c>
    </row>
    <row r="15" spans="1:7" ht="21.75" customHeight="1">
      <c r="A15" s="60">
        <v>12</v>
      </c>
      <c r="B15" s="60" t="s">
        <v>625</v>
      </c>
      <c r="C15" s="41" t="s">
        <v>603</v>
      </c>
      <c r="D15" s="68">
        <v>3</v>
      </c>
      <c r="E15" s="68"/>
      <c r="F15" s="68"/>
      <c r="G15" s="68">
        <f t="shared" si="0"/>
        <v>3</v>
      </c>
    </row>
    <row r="16" spans="1:7" ht="21.75" customHeight="1">
      <c r="A16" s="60">
        <v>13</v>
      </c>
      <c r="B16" s="60" t="s">
        <v>626</v>
      </c>
      <c r="C16" s="41" t="s">
        <v>604</v>
      </c>
      <c r="D16" s="68">
        <v>1</v>
      </c>
      <c r="E16" s="68"/>
      <c r="F16" s="68"/>
      <c r="G16" s="68">
        <f t="shared" si="0"/>
        <v>1</v>
      </c>
    </row>
    <row r="17" spans="1:7" ht="21.75" customHeight="1">
      <c r="A17" s="60">
        <v>14</v>
      </c>
      <c r="B17" s="60" t="s">
        <v>627</v>
      </c>
      <c r="C17" s="41" t="s">
        <v>605</v>
      </c>
      <c r="D17" s="68">
        <v>2</v>
      </c>
      <c r="E17" s="68"/>
      <c r="F17" s="68"/>
      <c r="G17" s="68">
        <f t="shared" si="0"/>
        <v>2</v>
      </c>
    </row>
    <row r="18" spans="1:7" ht="21.75" customHeight="1">
      <c r="A18" s="60">
        <v>15</v>
      </c>
      <c r="B18" s="60" t="s">
        <v>628</v>
      </c>
      <c r="C18" s="41" t="s">
        <v>606</v>
      </c>
      <c r="D18" s="68">
        <v>6</v>
      </c>
      <c r="E18" s="68"/>
      <c r="F18" s="68"/>
      <c r="G18" s="68">
        <f t="shared" si="0"/>
        <v>6</v>
      </c>
    </row>
    <row r="19" spans="1:7" ht="21.75" customHeight="1">
      <c r="A19" s="60">
        <v>16</v>
      </c>
      <c r="B19" s="60" t="s">
        <v>629</v>
      </c>
      <c r="C19" s="41" t="s">
        <v>786</v>
      </c>
      <c r="D19" s="68">
        <v>4</v>
      </c>
      <c r="E19" s="68"/>
      <c r="F19" s="68">
        <v>1</v>
      </c>
      <c r="G19" s="68">
        <f t="shared" si="0"/>
        <v>3</v>
      </c>
    </row>
    <row r="20" spans="1:7" ht="21.75" customHeight="1">
      <c r="A20" s="60">
        <v>17</v>
      </c>
      <c r="B20" s="60" t="s">
        <v>630</v>
      </c>
      <c r="C20" s="41" t="s">
        <v>607</v>
      </c>
      <c r="D20" s="68">
        <v>1</v>
      </c>
      <c r="E20" s="68"/>
      <c r="F20" s="68"/>
      <c r="G20" s="68">
        <f t="shared" si="0"/>
        <v>1</v>
      </c>
    </row>
    <row r="21" spans="1:7" ht="21.75" customHeight="1">
      <c r="A21" s="60">
        <v>18</v>
      </c>
      <c r="B21" s="60" t="s">
        <v>631</v>
      </c>
      <c r="C21" s="41" t="s">
        <v>608</v>
      </c>
      <c r="D21" s="68">
        <v>0</v>
      </c>
      <c r="E21" s="68"/>
      <c r="F21" s="68"/>
      <c r="G21" s="68">
        <f t="shared" si="0"/>
        <v>0</v>
      </c>
    </row>
    <row r="22" spans="1:7" ht="21.75" customHeight="1">
      <c r="A22" s="60">
        <v>19</v>
      </c>
      <c r="B22" s="60" t="s">
        <v>632</v>
      </c>
      <c r="C22" s="41" t="s">
        <v>609</v>
      </c>
      <c r="D22" s="68">
        <v>0</v>
      </c>
      <c r="E22" s="68"/>
      <c r="F22" s="68"/>
      <c r="G22" s="68">
        <f t="shared" si="0"/>
        <v>0</v>
      </c>
    </row>
    <row r="23" spans="1:7" ht="21.75" customHeight="1">
      <c r="A23" s="60">
        <v>20</v>
      </c>
      <c r="B23" s="60" t="s">
        <v>633</v>
      </c>
      <c r="C23" s="41" t="s">
        <v>610</v>
      </c>
      <c r="D23" s="68">
        <v>3</v>
      </c>
      <c r="E23" s="68"/>
      <c r="F23" s="68"/>
      <c r="G23" s="68">
        <f t="shared" si="0"/>
        <v>3</v>
      </c>
    </row>
    <row r="24" spans="1:7" ht="21.75" customHeight="1">
      <c r="A24" s="60">
        <v>21</v>
      </c>
      <c r="B24" s="60" t="s">
        <v>634</v>
      </c>
      <c r="C24" s="41" t="s">
        <v>611</v>
      </c>
      <c r="D24" s="68">
        <v>5</v>
      </c>
      <c r="E24" s="68"/>
      <c r="F24" s="68"/>
      <c r="G24" s="68">
        <f t="shared" si="0"/>
        <v>5</v>
      </c>
    </row>
    <row r="25" spans="1:7" ht="31.5">
      <c r="A25" s="60">
        <v>22</v>
      </c>
      <c r="B25" s="60" t="s">
        <v>635</v>
      </c>
      <c r="C25" s="61" t="s">
        <v>645</v>
      </c>
      <c r="D25" s="68">
        <v>3</v>
      </c>
      <c r="E25" s="68"/>
      <c r="F25" s="68"/>
      <c r="G25" s="68">
        <f t="shared" si="0"/>
        <v>3</v>
      </c>
    </row>
    <row r="26" spans="1:7" ht="31.5">
      <c r="A26" s="60">
        <v>23</v>
      </c>
      <c r="B26" s="60" t="s">
        <v>636</v>
      </c>
      <c r="C26" s="61" t="s">
        <v>787</v>
      </c>
      <c r="D26" s="68">
        <v>4</v>
      </c>
      <c r="E26" s="68"/>
      <c r="F26" s="68"/>
      <c r="G26" s="68">
        <f t="shared" si="0"/>
        <v>4</v>
      </c>
    </row>
    <row r="27" spans="1:7" ht="21.75" customHeight="1">
      <c r="A27" s="60">
        <v>24</v>
      </c>
      <c r="B27" s="60" t="s">
        <v>637</v>
      </c>
      <c r="C27" s="41" t="s">
        <v>709</v>
      </c>
      <c r="D27" s="68">
        <v>2</v>
      </c>
      <c r="E27" s="68"/>
      <c r="F27" s="68"/>
      <c r="G27" s="68">
        <f t="shared" si="0"/>
        <v>2</v>
      </c>
    </row>
    <row r="28" spans="1:7" ht="21.75" customHeight="1">
      <c r="A28" s="60">
        <v>25</v>
      </c>
      <c r="B28" s="60" t="s">
        <v>638</v>
      </c>
      <c r="C28" s="41" t="s">
        <v>612</v>
      </c>
      <c r="D28" s="68">
        <v>2</v>
      </c>
      <c r="E28" s="68"/>
      <c r="F28" s="68"/>
      <c r="G28" s="68">
        <f t="shared" si="0"/>
        <v>2</v>
      </c>
    </row>
    <row r="29" spans="1:7" ht="21.75" customHeight="1">
      <c r="A29" s="60">
        <v>26</v>
      </c>
      <c r="B29" s="60" t="s">
        <v>639</v>
      </c>
      <c r="C29" s="41" t="s">
        <v>641</v>
      </c>
      <c r="D29" s="68">
        <v>4</v>
      </c>
      <c r="E29" s="68"/>
      <c r="F29" s="68"/>
      <c r="G29" s="68">
        <f t="shared" si="0"/>
        <v>4</v>
      </c>
    </row>
    <row r="30" spans="1:7" ht="21.75" customHeight="1">
      <c r="A30" s="60">
        <v>27</v>
      </c>
      <c r="B30" s="60" t="s">
        <v>640</v>
      </c>
      <c r="C30" s="41" t="s">
        <v>642</v>
      </c>
      <c r="D30" s="68">
        <v>6</v>
      </c>
      <c r="E30" s="68"/>
      <c r="F30" s="68">
        <v>1</v>
      </c>
      <c r="G30" s="68">
        <f t="shared" si="0"/>
        <v>5</v>
      </c>
    </row>
  </sheetData>
  <mergeCells count="1">
    <mergeCell ref="A2:C2"/>
  </mergeCells>
  <hyperlinks>
    <hyperlink ref="A3" r:id="rId1" display="http://s.no/"/>
  </hyperlinks>
  <pageMargins left="0.7" right="0.7" top="0.75" bottom="0.75" header="0.3" footer="0.3"/>
  <pageSetup paperSize="9" orientation="portrait"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1"/>
  <dimension ref="A1:G30"/>
  <sheetViews>
    <sheetView workbookViewId="0">
      <selection sqref="A1:XFD1048576"/>
    </sheetView>
  </sheetViews>
  <sheetFormatPr defaultRowHeight="12"/>
  <cols>
    <col min="1" max="1" width="4.85546875" style="81" bestFit="1" customWidth="1"/>
    <col min="2" max="2" width="10.5703125" style="81" bestFit="1" customWidth="1"/>
    <col min="3" max="3" width="34.28515625" style="81" bestFit="1" customWidth="1"/>
    <col min="4" max="4" width="8" style="89" customWidth="1"/>
    <col min="5" max="5" width="9" style="81" customWidth="1"/>
    <col min="6" max="6" width="8.5703125" style="81" customWidth="1"/>
    <col min="7" max="7" width="9" style="81" bestFit="1" customWidth="1"/>
    <col min="8" max="16384" width="9.140625" style="81"/>
  </cols>
  <sheetData>
    <row r="1" spans="1:7">
      <c r="D1" s="81"/>
    </row>
    <row r="2" spans="1:7">
      <c r="A2" s="192" t="s">
        <v>1424</v>
      </c>
      <c r="B2" s="192"/>
      <c r="C2" s="192"/>
      <c r="D2" s="192"/>
      <c r="E2" s="192"/>
      <c r="F2" s="192"/>
      <c r="G2" s="192"/>
    </row>
    <row r="3" spans="1:7" ht="24">
      <c r="A3" s="82" t="s">
        <v>388</v>
      </c>
      <c r="B3" s="76" t="s">
        <v>232</v>
      </c>
      <c r="C3" s="90" t="s">
        <v>1</v>
      </c>
      <c r="D3" s="76" t="s">
        <v>233</v>
      </c>
      <c r="E3" s="75" t="s">
        <v>218</v>
      </c>
      <c r="F3" s="75" t="s">
        <v>719</v>
      </c>
      <c r="G3" s="75" t="s">
        <v>219</v>
      </c>
    </row>
    <row r="4" spans="1:7" ht="21.75" customHeight="1">
      <c r="A4" s="86">
        <v>1</v>
      </c>
      <c r="B4" s="86" t="s">
        <v>663</v>
      </c>
      <c r="C4" s="87" t="s">
        <v>710</v>
      </c>
      <c r="D4" s="88">
        <v>3</v>
      </c>
      <c r="E4" s="79"/>
      <c r="F4" s="79"/>
      <c r="G4" s="79">
        <f>SUM(D4+E4)-F4</f>
        <v>3</v>
      </c>
    </row>
    <row r="5" spans="1:7" ht="21.75" customHeight="1">
      <c r="A5" s="86">
        <v>2</v>
      </c>
      <c r="B5" s="86" t="s">
        <v>664</v>
      </c>
      <c r="C5" s="87" t="s">
        <v>712</v>
      </c>
      <c r="D5" s="88">
        <v>8</v>
      </c>
      <c r="E5" s="79">
        <v>6</v>
      </c>
      <c r="F5" s="79">
        <v>9</v>
      </c>
      <c r="G5" s="79">
        <f t="shared" ref="G5:G30" si="0">SUM(D5+E5)-F5</f>
        <v>5</v>
      </c>
    </row>
    <row r="6" spans="1:7" ht="21.75" customHeight="1">
      <c r="A6" s="86">
        <v>3</v>
      </c>
      <c r="B6" s="86" t="s">
        <v>665</v>
      </c>
      <c r="C6" s="87" t="s">
        <v>711</v>
      </c>
      <c r="D6" s="88">
        <v>3</v>
      </c>
      <c r="E6" s="79"/>
      <c r="F6" s="79"/>
      <c r="G6" s="79">
        <f t="shared" si="0"/>
        <v>3</v>
      </c>
    </row>
    <row r="7" spans="1:7" ht="21.75" customHeight="1">
      <c r="A7" s="86">
        <v>4</v>
      </c>
      <c r="B7" s="86" t="s">
        <v>666</v>
      </c>
      <c r="C7" s="87" t="s">
        <v>713</v>
      </c>
      <c r="D7" s="88">
        <v>12</v>
      </c>
      <c r="E7" s="79"/>
      <c r="F7" s="79"/>
      <c r="G7" s="79">
        <f t="shared" si="0"/>
        <v>12</v>
      </c>
    </row>
    <row r="8" spans="1:7" ht="21.75" customHeight="1">
      <c r="A8" s="86">
        <v>5</v>
      </c>
      <c r="B8" s="86" t="s">
        <v>667</v>
      </c>
      <c r="C8" s="87" t="s">
        <v>714</v>
      </c>
      <c r="D8" s="88">
        <v>3</v>
      </c>
      <c r="E8" s="79"/>
      <c r="F8" s="79"/>
      <c r="G8" s="79">
        <f t="shared" si="0"/>
        <v>3</v>
      </c>
    </row>
    <row r="9" spans="1:7" ht="21.75" customHeight="1">
      <c r="A9" s="86">
        <v>6</v>
      </c>
      <c r="B9" s="86" t="s">
        <v>668</v>
      </c>
      <c r="C9" s="87" t="s">
        <v>715</v>
      </c>
      <c r="D9" s="88">
        <v>3</v>
      </c>
      <c r="E9" s="79"/>
      <c r="F9" s="79"/>
      <c r="G9" s="79">
        <f t="shared" si="0"/>
        <v>3</v>
      </c>
    </row>
    <row r="10" spans="1:7" ht="21.75" customHeight="1">
      <c r="A10" s="86">
        <v>7</v>
      </c>
      <c r="B10" s="86" t="s">
        <v>669</v>
      </c>
      <c r="C10" s="87" t="s">
        <v>646</v>
      </c>
      <c r="D10" s="88">
        <v>10</v>
      </c>
      <c r="E10" s="79"/>
      <c r="F10" s="79"/>
      <c r="G10" s="79">
        <f t="shared" si="0"/>
        <v>10</v>
      </c>
    </row>
    <row r="11" spans="1:7" ht="21.75" customHeight="1">
      <c r="A11" s="86">
        <v>8</v>
      </c>
      <c r="B11" s="86" t="s">
        <v>670</v>
      </c>
      <c r="C11" s="87" t="s">
        <v>922</v>
      </c>
      <c r="D11" s="88">
        <v>9</v>
      </c>
      <c r="E11" s="79">
        <v>8</v>
      </c>
      <c r="F11" s="79">
        <v>4</v>
      </c>
      <c r="G11" s="79">
        <f t="shared" si="0"/>
        <v>13</v>
      </c>
    </row>
    <row r="12" spans="1:7" ht="21.75" customHeight="1">
      <c r="A12" s="86">
        <v>9</v>
      </c>
      <c r="B12" s="86" t="s">
        <v>671</v>
      </c>
      <c r="C12" s="87" t="s">
        <v>647</v>
      </c>
      <c r="D12" s="88">
        <v>10</v>
      </c>
      <c r="E12" s="79"/>
      <c r="F12" s="79"/>
      <c r="G12" s="79">
        <f t="shared" si="0"/>
        <v>10</v>
      </c>
    </row>
    <row r="13" spans="1:7" ht="21.75" customHeight="1">
      <c r="A13" s="86">
        <v>10</v>
      </c>
      <c r="B13" s="86" t="s">
        <v>672</v>
      </c>
      <c r="C13" s="87" t="s">
        <v>648</v>
      </c>
      <c r="D13" s="88">
        <v>10</v>
      </c>
      <c r="E13" s="79"/>
      <c r="F13" s="79"/>
      <c r="G13" s="79">
        <f t="shared" si="0"/>
        <v>10</v>
      </c>
    </row>
    <row r="14" spans="1:7" ht="21.75" customHeight="1">
      <c r="A14" s="86">
        <v>11</v>
      </c>
      <c r="B14" s="86" t="s">
        <v>673</v>
      </c>
      <c r="C14" s="87" t="s">
        <v>649</v>
      </c>
      <c r="D14" s="88">
        <v>11</v>
      </c>
      <c r="E14" s="79"/>
      <c r="F14" s="79"/>
      <c r="G14" s="79">
        <f t="shared" si="0"/>
        <v>11</v>
      </c>
    </row>
    <row r="15" spans="1:7" ht="21.75" customHeight="1">
      <c r="A15" s="86">
        <v>12</v>
      </c>
      <c r="B15" s="86" t="s">
        <v>674</v>
      </c>
      <c r="C15" s="87" t="s">
        <v>650</v>
      </c>
      <c r="D15" s="88">
        <v>4</v>
      </c>
      <c r="E15" s="79"/>
      <c r="F15" s="79"/>
      <c r="G15" s="79">
        <f t="shared" si="0"/>
        <v>4</v>
      </c>
    </row>
    <row r="16" spans="1:7" ht="21.75" customHeight="1">
      <c r="A16" s="86">
        <v>13</v>
      </c>
      <c r="B16" s="86" t="s">
        <v>675</v>
      </c>
      <c r="C16" s="87" t="s">
        <v>651</v>
      </c>
      <c r="D16" s="88">
        <v>9</v>
      </c>
      <c r="E16" s="79"/>
      <c r="F16" s="79"/>
      <c r="G16" s="79">
        <f t="shared" si="0"/>
        <v>9</v>
      </c>
    </row>
    <row r="17" spans="1:7" ht="21.75" customHeight="1">
      <c r="A17" s="86">
        <v>14</v>
      </c>
      <c r="B17" s="86" t="s">
        <v>676</v>
      </c>
      <c r="C17" s="87" t="s">
        <v>652</v>
      </c>
      <c r="D17" s="88">
        <v>3</v>
      </c>
      <c r="E17" s="79"/>
      <c r="F17" s="79"/>
      <c r="G17" s="79">
        <f t="shared" si="0"/>
        <v>3</v>
      </c>
    </row>
    <row r="18" spans="1:7" ht="21.75" customHeight="1">
      <c r="A18" s="86">
        <v>15</v>
      </c>
      <c r="B18" s="86" t="s">
        <v>677</v>
      </c>
      <c r="C18" s="87" t="s">
        <v>653</v>
      </c>
      <c r="D18" s="88">
        <v>1</v>
      </c>
      <c r="E18" s="79"/>
      <c r="F18" s="79"/>
      <c r="G18" s="79">
        <f t="shared" si="0"/>
        <v>1</v>
      </c>
    </row>
    <row r="19" spans="1:7" ht="21.75" customHeight="1">
      <c r="A19" s="86">
        <v>16</v>
      </c>
      <c r="B19" s="86" t="s">
        <v>678</v>
      </c>
      <c r="C19" s="87" t="s">
        <v>654</v>
      </c>
      <c r="D19" s="88">
        <v>7</v>
      </c>
      <c r="E19" s="79"/>
      <c r="F19" s="79"/>
      <c r="G19" s="79">
        <f t="shared" si="0"/>
        <v>7</v>
      </c>
    </row>
    <row r="20" spans="1:7" ht="21.75" customHeight="1">
      <c r="A20" s="86">
        <v>17</v>
      </c>
      <c r="B20" s="86" t="s">
        <v>679</v>
      </c>
      <c r="C20" s="87" t="s">
        <v>655</v>
      </c>
      <c r="D20" s="88">
        <v>4</v>
      </c>
      <c r="E20" s="79"/>
      <c r="F20" s="79"/>
      <c r="G20" s="79">
        <f t="shared" si="0"/>
        <v>4</v>
      </c>
    </row>
    <row r="21" spans="1:7" ht="21.75" customHeight="1">
      <c r="A21" s="86">
        <v>18</v>
      </c>
      <c r="B21" s="86" t="s">
        <v>680</v>
      </c>
      <c r="C21" s="87" t="s">
        <v>656</v>
      </c>
      <c r="D21" s="88">
        <v>5</v>
      </c>
      <c r="E21" s="79"/>
      <c r="F21" s="79"/>
      <c r="G21" s="79">
        <f t="shared" si="0"/>
        <v>5</v>
      </c>
    </row>
    <row r="22" spans="1:7" ht="21.75" customHeight="1">
      <c r="A22" s="86">
        <v>19</v>
      </c>
      <c r="B22" s="86" t="s">
        <v>681</v>
      </c>
      <c r="C22" s="87" t="s">
        <v>657</v>
      </c>
      <c r="D22" s="88">
        <v>2</v>
      </c>
      <c r="E22" s="79"/>
      <c r="F22" s="79"/>
      <c r="G22" s="79">
        <f t="shared" si="0"/>
        <v>2</v>
      </c>
    </row>
    <row r="23" spans="1:7" ht="21.75" customHeight="1">
      <c r="A23" s="86">
        <v>20</v>
      </c>
      <c r="B23" s="86" t="s">
        <v>682</v>
      </c>
      <c r="C23" s="87" t="s">
        <v>658</v>
      </c>
      <c r="D23" s="88">
        <v>2</v>
      </c>
      <c r="E23" s="79"/>
      <c r="F23" s="79"/>
      <c r="G23" s="79">
        <f t="shared" si="0"/>
        <v>2</v>
      </c>
    </row>
    <row r="24" spans="1:7" ht="21.75" customHeight="1">
      <c r="A24" s="86">
        <v>21</v>
      </c>
      <c r="B24" s="86" t="s">
        <v>683</v>
      </c>
      <c r="C24" s="87" t="s">
        <v>659</v>
      </c>
      <c r="D24" s="88">
        <v>3</v>
      </c>
      <c r="E24" s="79"/>
      <c r="F24" s="79"/>
      <c r="G24" s="79">
        <f t="shared" si="0"/>
        <v>3</v>
      </c>
    </row>
    <row r="25" spans="1:7" ht="21.75" customHeight="1">
      <c r="A25" s="86">
        <v>22</v>
      </c>
      <c r="B25" s="86" t="s">
        <v>684</v>
      </c>
      <c r="C25" s="87" t="s">
        <v>660</v>
      </c>
      <c r="D25" s="88">
        <v>3</v>
      </c>
      <c r="E25" s="79"/>
      <c r="F25" s="79"/>
      <c r="G25" s="79">
        <f t="shared" si="0"/>
        <v>3</v>
      </c>
    </row>
    <row r="26" spans="1:7" ht="21.75" customHeight="1">
      <c r="A26" s="86">
        <v>23</v>
      </c>
      <c r="B26" s="86" t="s">
        <v>685</v>
      </c>
      <c r="C26" s="87" t="s">
        <v>690</v>
      </c>
      <c r="D26" s="88">
        <v>5</v>
      </c>
      <c r="E26" s="79"/>
      <c r="F26" s="79">
        <v>2</v>
      </c>
      <c r="G26" s="79">
        <f t="shared" si="0"/>
        <v>3</v>
      </c>
    </row>
    <row r="27" spans="1:7" ht="21.75" customHeight="1">
      <c r="A27" s="86">
        <v>24</v>
      </c>
      <c r="B27" s="86" t="s">
        <v>686</v>
      </c>
      <c r="C27" s="87" t="s">
        <v>661</v>
      </c>
      <c r="D27" s="88">
        <v>4</v>
      </c>
      <c r="E27" s="79"/>
      <c r="F27" s="79"/>
      <c r="G27" s="79">
        <f t="shared" si="0"/>
        <v>4</v>
      </c>
    </row>
    <row r="28" spans="1:7" ht="21.75" customHeight="1">
      <c r="A28" s="86">
        <v>25</v>
      </c>
      <c r="B28" s="86" t="s">
        <v>687</v>
      </c>
      <c r="C28" s="87" t="s">
        <v>689</v>
      </c>
      <c r="D28" s="88">
        <v>5</v>
      </c>
      <c r="E28" s="79"/>
      <c r="F28" s="79"/>
      <c r="G28" s="79">
        <f t="shared" si="0"/>
        <v>5</v>
      </c>
    </row>
    <row r="29" spans="1:7" ht="21.75" customHeight="1">
      <c r="A29" s="86">
        <v>26</v>
      </c>
      <c r="B29" s="86" t="s">
        <v>688</v>
      </c>
      <c r="C29" s="87" t="s">
        <v>662</v>
      </c>
      <c r="D29" s="88">
        <v>2</v>
      </c>
      <c r="E29" s="79"/>
      <c r="F29" s="79"/>
      <c r="G29" s="79">
        <f t="shared" si="0"/>
        <v>2</v>
      </c>
    </row>
    <row r="30" spans="1:7">
      <c r="A30" s="86">
        <v>27</v>
      </c>
      <c r="B30" s="86" t="s">
        <v>716</v>
      </c>
      <c r="C30" s="87" t="s">
        <v>717</v>
      </c>
      <c r="D30" s="88">
        <v>3</v>
      </c>
      <c r="E30" s="79"/>
      <c r="F30" s="79"/>
      <c r="G30" s="79">
        <f t="shared" si="0"/>
        <v>3</v>
      </c>
    </row>
  </sheetData>
  <mergeCells count="1">
    <mergeCell ref="A2:G2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3"/>
  <dimension ref="A2:G10"/>
  <sheetViews>
    <sheetView workbookViewId="0">
      <selection sqref="A1:XFD1048576"/>
    </sheetView>
  </sheetViews>
  <sheetFormatPr defaultRowHeight="15"/>
  <cols>
    <col min="1" max="1" width="6.28515625" bestFit="1" customWidth="1"/>
    <col min="2" max="2" width="11.85546875" customWidth="1"/>
    <col min="3" max="3" width="48" bestFit="1" customWidth="1"/>
    <col min="4" max="4" width="10" customWidth="1"/>
    <col min="5" max="5" width="11.28515625" customWidth="1"/>
    <col min="6" max="6" width="9.140625" customWidth="1"/>
    <col min="7" max="7" width="11.85546875" bestFit="1" customWidth="1"/>
  </cols>
  <sheetData>
    <row r="2" spans="1:7" ht="15.75">
      <c r="A2" s="193" t="s">
        <v>1425</v>
      </c>
      <c r="B2" s="193"/>
      <c r="C2" s="193"/>
      <c r="D2" s="62"/>
    </row>
    <row r="3" spans="1:7" ht="31.5">
      <c r="A3" s="48" t="s">
        <v>259</v>
      </c>
      <c r="B3" s="47" t="s">
        <v>232</v>
      </c>
      <c r="C3" s="48" t="s">
        <v>691</v>
      </c>
      <c r="D3" s="47" t="s">
        <v>233</v>
      </c>
      <c r="E3" s="49" t="s">
        <v>218</v>
      </c>
      <c r="F3" s="49" t="s">
        <v>719</v>
      </c>
      <c r="G3" s="49" t="s">
        <v>219</v>
      </c>
    </row>
    <row r="4" spans="1:7" ht="15.75">
      <c r="A4" s="40">
        <v>1</v>
      </c>
      <c r="B4" s="40" t="s">
        <v>692</v>
      </c>
      <c r="C4" s="41" t="s">
        <v>1212</v>
      </c>
      <c r="D4" s="40">
        <v>2</v>
      </c>
      <c r="E4" s="44"/>
      <c r="F4" s="43"/>
      <c r="G4" s="43">
        <f>SUM(D4+E4)-F4</f>
        <v>2</v>
      </c>
    </row>
    <row r="5" spans="1:7" ht="15.75">
      <c r="A5" s="40">
        <v>2</v>
      </c>
      <c r="B5" s="40" t="s">
        <v>693</v>
      </c>
      <c r="C5" s="41" t="s">
        <v>720</v>
      </c>
      <c r="D5" s="40">
        <v>7</v>
      </c>
      <c r="E5" s="44"/>
      <c r="F5" s="43"/>
      <c r="G5" s="43">
        <f t="shared" ref="G5:G10" si="0">SUM(D5+E5)-F5</f>
        <v>7</v>
      </c>
    </row>
    <row r="6" spans="1:7" ht="15.75">
      <c r="A6" s="40">
        <v>3</v>
      </c>
      <c r="B6" s="40" t="s">
        <v>694</v>
      </c>
      <c r="C6" s="41" t="s">
        <v>721</v>
      </c>
      <c r="D6" s="40">
        <v>8</v>
      </c>
      <c r="E6" s="44"/>
      <c r="F6" s="43"/>
      <c r="G6" s="43">
        <f t="shared" si="0"/>
        <v>8</v>
      </c>
    </row>
    <row r="7" spans="1:7" ht="15.75">
      <c r="A7" s="40">
        <v>4</v>
      </c>
      <c r="B7" s="40" t="s">
        <v>695</v>
      </c>
      <c r="C7" s="41" t="s">
        <v>722</v>
      </c>
      <c r="D7" s="40">
        <v>17</v>
      </c>
      <c r="E7" s="44"/>
      <c r="F7" s="43">
        <v>1</v>
      </c>
      <c r="G7" s="43">
        <f t="shared" si="0"/>
        <v>16</v>
      </c>
    </row>
    <row r="8" spans="1:7" ht="15.75">
      <c r="A8" s="40">
        <v>5</v>
      </c>
      <c r="B8" s="40" t="s">
        <v>696</v>
      </c>
      <c r="C8" s="41" t="s">
        <v>723</v>
      </c>
      <c r="D8" s="40">
        <v>3</v>
      </c>
      <c r="E8" s="44"/>
      <c r="F8" s="43"/>
      <c r="G8" s="43">
        <f t="shared" si="0"/>
        <v>3</v>
      </c>
    </row>
    <row r="9" spans="1:7" ht="15.75">
      <c r="A9" s="40">
        <v>6</v>
      </c>
      <c r="B9" s="40" t="s">
        <v>1351</v>
      </c>
      <c r="C9" s="41" t="s">
        <v>1350</v>
      </c>
      <c r="D9" s="40">
        <v>20</v>
      </c>
      <c r="E9" s="44"/>
      <c r="F9" s="43"/>
      <c r="G9" s="43">
        <f t="shared" si="0"/>
        <v>20</v>
      </c>
    </row>
    <row r="10" spans="1:7" ht="15.75">
      <c r="A10" s="40">
        <v>7</v>
      </c>
      <c r="B10" s="40" t="s">
        <v>1352</v>
      </c>
      <c r="C10" s="41" t="s">
        <v>1353</v>
      </c>
      <c r="D10" s="40">
        <v>10</v>
      </c>
      <c r="E10" s="44"/>
      <c r="F10" s="43"/>
      <c r="G10" s="43">
        <f t="shared" si="0"/>
        <v>10</v>
      </c>
    </row>
  </sheetData>
  <mergeCells count="1">
    <mergeCell ref="A2:C2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4"/>
  <dimension ref="A1:G20"/>
  <sheetViews>
    <sheetView workbookViewId="0">
      <selection sqref="A1:XFD1048576"/>
    </sheetView>
  </sheetViews>
  <sheetFormatPr defaultRowHeight="15"/>
  <cols>
    <col min="1" max="1" width="6.85546875" style="102" bestFit="1" customWidth="1"/>
    <col min="2" max="2" width="13.140625" style="102" bestFit="1" customWidth="1"/>
    <col min="3" max="3" width="55" style="102" bestFit="1" customWidth="1"/>
    <col min="4" max="4" width="13.7109375" style="102" customWidth="1"/>
    <col min="5" max="5" width="11.28515625" style="107" customWidth="1"/>
    <col min="6" max="6" width="9.140625" style="102" customWidth="1"/>
    <col min="7" max="7" width="11.85546875" style="102" bestFit="1" customWidth="1"/>
    <col min="8" max="16384" width="9.140625" style="102"/>
  </cols>
  <sheetData>
    <row r="1" spans="1:7">
      <c r="A1" t="s">
        <v>1428</v>
      </c>
    </row>
    <row r="3" spans="1:7">
      <c r="A3" s="191" t="s">
        <v>1426</v>
      </c>
      <c r="B3" s="191"/>
      <c r="C3" s="191"/>
      <c r="D3" s="145"/>
    </row>
    <row r="4" spans="1:7">
      <c r="A4" s="146" t="s">
        <v>0</v>
      </c>
      <c r="B4" s="146" t="s">
        <v>232</v>
      </c>
      <c r="C4" s="146" t="s">
        <v>1</v>
      </c>
      <c r="D4" s="146" t="s">
        <v>233</v>
      </c>
      <c r="E4" s="68" t="s">
        <v>218</v>
      </c>
      <c r="F4" s="68" t="s">
        <v>719</v>
      </c>
      <c r="G4" s="68" t="s">
        <v>219</v>
      </c>
    </row>
    <row r="5" spans="1:7">
      <c r="A5" s="146">
        <v>1</v>
      </c>
      <c r="B5" s="146" t="s">
        <v>697</v>
      </c>
      <c r="C5" s="147" t="s">
        <v>1363</v>
      </c>
      <c r="D5" s="146">
        <v>9</v>
      </c>
      <c r="E5" s="68"/>
      <c r="F5" s="68">
        <v>3</v>
      </c>
      <c r="G5" s="68">
        <f>SUM(D5+E5)-F5</f>
        <v>6</v>
      </c>
    </row>
    <row r="6" spans="1:7">
      <c r="A6" s="146">
        <v>2</v>
      </c>
      <c r="B6" s="146" t="s">
        <v>698</v>
      </c>
      <c r="C6" s="147" t="s">
        <v>1362</v>
      </c>
      <c r="D6" s="146">
        <v>9</v>
      </c>
      <c r="E6" s="68"/>
      <c r="F6" s="68"/>
      <c r="G6" s="68">
        <f t="shared" ref="G6:G7" si="0">SUM(D6+E6)-F6</f>
        <v>9</v>
      </c>
    </row>
    <row r="7" spans="1:7">
      <c r="A7" s="146">
        <v>3</v>
      </c>
      <c r="B7" s="146" t="s">
        <v>699</v>
      </c>
      <c r="C7" s="147" t="s">
        <v>1361</v>
      </c>
      <c r="D7" s="146">
        <v>7</v>
      </c>
      <c r="E7" s="68"/>
      <c r="F7" s="68"/>
      <c r="G7" s="68">
        <f t="shared" si="0"/>
        <v>7</v>
      </c>
    </row>
    <row r="8" spans="1:7">
      <c r="E8" s="102"/>
    </row>
    <row r="9" spans="1:7">
      <c r="E9" s="102"/>
    </row>
    <row r="10" spans="1:7">
      <c r="A10" s="194" t="s">
        <v>1427</v>
      </c>
      <c r="B10" s="194"/>
      <c r="C10" s="194"/>
      <c r="E10" s="102"/>
    </row>
    <row r="11" spans="1:7">
      <c r="A11" s="68">
        <v>1</v>
      </c>
      <c r="B11" s="168" t="s">
        <v>1203</v>
      </c>
      <c r="C11" s="169" t="s">
        <v>700</v>
      </c>
      <c r="D11" s="148">
        <v>64</v>
      </c>
      <c r="E11" s="68"/>
      <c r="F11" s="68">
        <v>26</v>
      </c>
      <c r="G11" s="68">
        <f t="shared" ref="G11:G20" si="1">SUM(D11+E11)-F11</f>
        <v>38</v>
      </c>
    </row>
    <row r="12" spans="1:7">
      <c r="A12" s="166">
        <v>2</v>
      </c>
      <c r="B12" s="172" t="s">
        <v>1204</v>
      </c>
      <c r="C12" s="173" t="s">
        <v>701</v>
      </c>
      <c r="D12" s="167">
        <v>59</v>
      </c>
      <c r="E12" s="68"/>
      <c r="F12" s="68">
        <v>5</v>
      </c>
      <c r="G12" s="68">
        <f t="shared" si="1"/>
        <v>54</v>
      </c>
    </row>
    <row r="13" spans="1:7">
      <c r="A13" s="68">
        <v>3</v>
      </c>
      <c r="B13" s="170" t="s">
        <v>1205</v>
      </c>
      <c r="C13" s="171" t="s">
        <v>702</v>
      </c>
      <c r="D13" s="148">
        <v>200</v>
      </c>
      <c r="E13" s="68"/>
      <c r="F13" s="68">
        <v>32</v>
      </c>
      <c r="G13" s="68">
        <f t="shared" si="1"/>
        <v>168</v>
      </c>
    </row>
    <row r="14" spans="1:7">
      <c r="A14" s="68">
        <v>4</v>
      </c>
      <c r="B14" s="68" t="s">
        <v>1206</v>
      </c>
      <c r="C14" s="51" t="s">
        <v>703</v>
      </c>
      <c r="D14" s="148">
        <v>40</v>
      </c>
      <c r="E14" s="68"/>
      <c r="F14" s="68"/>
      <c r="G14" s="68">
        <f t="shared" si="1"/>
        <v>40</v>
      </c>
    </row>
    <row r="15" spans="1:7">
      <c r="A15" s="68">
        <v>5</v>
      </c>
      <c r="B15" s="68" t="s">
        <v>1207</v>
      </c>
      <c r="C15" s="51" t="s">
        <v>704</v>
      </c>
      <c r="D15" s="148">
        <v>29</v>
      </c>
      <c r="E15" s="68"/>
      <c r="F15" s="68">
        <v>6</v>
      </c>
      <c r="G15" s="68">
        <f t="shared" si="1"/>
        <v>23</v>
      </c>
    </row>
    <row r="16" spans="1:7">
      <c r="A16" s="68">
        <v>6</v>
      </c>
      <c r="B16" s="68" t="s">
        <v>1206</v>
      </c>
      <c r="C16" s="51" t="s">
        <v>705</v>
      </c>
      <c r="D16" s="148">
        <v>17</v>
      </c>
      <c r="E16" s="68"/>
      <c r="F16" s="68"/>
      <c r="G16" s="68">
        <f t="shared" si="1"/>
        <v>17</v>
      </c>
    </row>
    <row r="17" spans="1:7">
      <c r="A17" s="68">
        <v>7</v>
      </c>
      <c r="B17" s="68" t="s">
        <v>1208</v>
      </c>
      <c r="C17" s="51" t="s">
        <v>706</v>
      </c>
      <c r="D17" s="148">
        <v>50</v>
      </c>
      <c r="E17" s="68"/>
      <c r="F17" s="68"/>
      <c r="G17" s="68">
        <f t="shared" si="1"/>
        <v>50</v>
      </c>
    </row>
    <row r="18" spans="1:7">
      <c r="A18" s="68">
        <v>8</v>
      </c>
      <c r="B18" s="68" t="s">
        <v>1209</v>
      </c>
      <c r="C18" s="51" t="s">
        <v>718</v>
      </c>
      <c r="D18" s="148">
        <v>50</v>
      </c>
      <c r="E18" s="68"/>
      <c r="F18" s="68"/>
      <c r="G18" s="68">
        <f t="shared" si="1"/>
        <v>50</v>
      </c>
    </row>
    <row r="19" spans="1:7">
      <c r="A19" s="68">
        <v>9</v>
      </c>
      <c r="B19" s="68" t="s">
        <v>1210</v>
      </c>
      <c r="C19" s="51" t="s">
        <v>707</v>
      </c>
      <c r="D19" s="148">
        <v>10</v>
      </c>
      <c r="E19" s="68"/>
      <c r="F19" s="68"/>
      <c r="G19" s="68">
        <f t="shared" si="1"/>
        <v>10</v>
      </c>
    </row>
    <row r="20" spans="1:7">
      <c r="A20" s="149">
        <v>10</v>
      </c>
      <c r="B20" s="149" t="s">
        <v>1211</v>
      </c>
      <c r="C20" s="150" t="s">
        <v>708</v>
      </c>
      <c r="D20" s="148">
        <v>0</v>
      </c>
      <c r="E20" s="68"/>
      <c r="F20" s="68"/>
      <c r="G20" s="68">
        <f t="shared" si="1"/>
        <v>0</v>
      </c>
    </row>
  </sheetData>
  <mergeCells count="2">
    <mergeCell ref="A10:C10"/>
    <mergeCell ref="A3:C3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8"/>
  <dimension ref="A2:I57"/>
  <sheetViews>
    <sheetView topLeftCell="A49" workbookViewId="0">
      <selection activeCell="A49" sqref="A1:XFD1048576"/>
    </sheetView>
  </sheetViews>
  <sheetFormatPr defaultRowHeight="15"/>
  <cols>
    <col min="1" max="1" width="5.28515625" bestFit="1" customWidth="1"/>
    <col min="2" max="2" width="11.140625" bestFit="1" customWidth="1"/>
    <col min="3" max="3" width="57.42578125" bestFit="1" customWidth="1"/>
    <col min="4" max="4" width="8.85546875" customWidth="1"/>
    <col min="5" max="5" width="9.140625" customWidth="1"/>
    <col min="6" max="6" width="9.140625" style="111" customWidth="1"/>
  </cols>
  <sheetData>
    <row r="2" spans="1:9" ht="15.75">
      <c r="A2" s="195" t="s">
        <v>1430</v>
      </c>
      <c r="B2" s="195"/>
      <c r="C2" s="195"/>
      <c r="D2" s="195"/>
    </row>
    <row r="3" spans="1:9" ht="15.75">
      <c r="A3" s="64"/>
      <c r="B3" s="64"/>
      <c r="C3" s="64"/>
      <c r="D3" s="64"/>
    </row>
    <row r="4" spans="1:9" s="25" customFormat="1" ht="25.5">
      <c r="A4" s="70" t="s">
        <v>388</v>
      </c>
      <c r="B4" s="71" t="s">
        <v>232</v>
      </c>
      <c r="C4" s="70" t="s">
        <v>1</v>
      </c>
      <c r="D4" s="71" t="s">
        <v>233</v>
      </c>
      <c r="E4" s="103" t="s">
        <v>218</v>
      </c>
      <c r="F4" s="103" t="s">
        <v>719</v>
      </c>
      <c r="G4" s="103" t="s">
        <v>219</v>
      </c>
    </row>
    <row r="5" spans="1:9" s="17" customFormat="1" ht="21.75" customHeight="1">
      <c r="A5" s="42">
        <v>1</v>
      </c>
      <c r="B5" s="42" t="s">
        <v>733</v>
      </c>
      <c r="C5" s="63" t="s">
        <v>768</v>
      </c>
      <c r="D5" s="42">
        <v>0</v>
      </c>
      <c r="E5" s="16"/>
      <c r="F5" s="24"/>
      <c r="G5" s="16">
        <f>SUM(D5+E5-F5)</f>
        <v>0</v>
      </c>
    </row>
    <row r="6" spans="1:9" s="17" customFormat="1" ht="21.75" customHeight="1">
      <c r="A6" s="42">
        <v>2</v>
      </c>
      <c r="B6" s="42" t="s">
        <v>734</v>
      </c>
      <c r="C6" s="63" t="s">
        <v>1374</v>
      </c>
      <c r="D6" s="42">
        <v>12</v>
      </c>
      <c r="E6" s="16"/>
      <c r="F6" s="24"/>
      <c r="G6" s="16">
        <f t="shared" ref="G6:G57" si="0">SUM(D6+E6-F6)</f>
        <v>12</v>
      </c>
    </row>
    <row r="7" spans="1:9" s="17" customFormat="1" ht="21.75" customHeight="1">
      <c r="A7" s="42">
        <v>3</v>
      </c>
      <c r="B7" s="42" t="s">
        <v>735</v>
      </c>
      <c r="C7" s="63" t="s">
        <v>1375</v>
      </c>
      <c r="D7" s="42">
        <v>1</v>
      </c>
      <c r="E7" s="16"/>
      <c r="F7" s="24"/>
      <c r="G7" s="16">
        <f t="shared" si="0"/>
        <v>1</v>
      </c>
      <c r="H7" s="65"/>
      <c r="I7" s="65"/>
    </row>
    <row r="8" spans="1:9" s="17" customFormat="1" ht="21.75" customHeight="1">
      <c r="A8" s="42">
        <v>4</v>
      </c>
      <c r="B8" s="42" t="s">
        <v>736</v>
      </c>
      <c r="C8" s="63" t="s">
        <v>769</v>
      </c>
      <c r="D8" s="42">
        <v>0</v>
      </c>
      <c r="E8" s="16"/>
      <c r="F8" s="24"/>
      <c r="G8" s="16">
        <f t="shared" si="0"/>
        <v>0</v>
      </c>
      <c r="H8" s="65"/>
      <c r="I8" s="65"/>
    </row>
    <row r="9" spans="1:9" s="17" customFormat="1" ht="21.75" customHeight="1">
      <c r="A9" s="42">
        <v>5</v>
      </c>
      <c r="B9" s="42" t="s">
        <v>737</v>
      </c>
      <c r="C9" s="63" t="s">
        <v>770</v>
      </c>
      <c r="D9" s="42">
        <v>4</v>
      </c>
      <c r="E9" s="16"/>
      <c r="F9" s="24"/>
      <c r="G9" s="16">
        <f t="shared" si="0"/>
        <v>4</v>
      </c>
      <c r="H9" s="65"/>
      <c r="I9" s="65"/>
    </row>
    <row r="10" spans="1:9" s="17" customFormat="1" ht="21.75" customHeight="1">
      <c r="A10" s="42">
        <v>6</v>
      </c>
      <c r="B10" s="42" t="s">
        <v>738</v>
      </c>
      <c r="C10" s="63" t="s">
        <v>771</v>
      </c>
      <c r="D10" s="42">
        <v>4</v>
      </c>
      <c r="E10" s="16"/>
      <c r="F10" s="24"/>
      <c r="G10" s="16">
        <f t="shared" si="0"/>
        <v>4</v>
      </c>
      <c r="H10" s="65"/>
      <c r="I10" s="65"/>
    </row>
    <row r="11" spans="1:9" s="17" customFormat="1" ht="21.75" customHeight="1">
      <c r="A11" s="42">
        <v>7</v>
      </c>
      <c r="B11" s="42" t="s">
        <v>739</v>
      </c>
      <c r="C11" s="63" t="s">
        <v>772</v>
      </c>
      <c r="D11" s="42">
        <v>1</v>
      </c>
      <c r="E11" s="16"/>
      <c r="F11" s="24"/>
      <c r="G11" s="16">
        <f t="shared" si="0"/>
        <v>1</v>
      </c>
      <c r="H11" s="65"/>
      <c r="I11" s="65"/>
    </row>
    <row r="12" spans="1:9" s="17" customFormat="1" ht="21.75" customHeight="1">
      <c r="A12" s="42">
        <v>8</v>
      </c>
      <c r="B12" s="42" t="s">
        <v>740</v>
      </c>
      <c r="C12" s="63" t="s">
        <v>773</v>
      </c>
      <c r="D12" s="42">
        <v>7</v>
      </c>
      <c r="E12" s="16"/>
      <c r="F12" s="24"/>
      <c r="G12" s="16">
        <f t="shared" si="0"/>
        <v>7</v>
      </c>
      <c r="H12" s="65"/>
      <c r="I12" s="65"/>
    </row>
    <row r="13" spans="1:9" s="17" customFormat="1" ht="21.75" customHeight="1">
      <c r="A13" s="42">
        <v>9</v>
      </c>
      <c r="B13" s="42" t="s">
        <v>741</v>
      </c>
      <c r="C13" s="63" t="s">
        <v>774</v>
      </c>
      <c r="D13" s="42">
        <v>1</v>
      </c>
      <c r="E13" s="16"/>
      <c r="F13" s="24"/>
      <c r="G13" s="16">
        <f t="shared" si="0"/>
        <v>1</v>
      </c>
      <c r="H13" s="65"/>
      <c r="I13" s="65"/>
    </row>
    <row r="14" spans="1:9" s="17" customFormat="1" ht="21.75" customHeight="1">
      <c r="A14" s="42">
        <v>10</v>
      </c>
      <c r="B14" s="42" t="s">
        <v>742</v>
      </c>
      <c r="C14" s="63" t="s">
        <v>845</v>
      </c>
      <c r="D14" s="42">
        <v>2</v>
      </c>
      <c r="E14" s="16"/>
      <c r="F14" s="24"/>
      <c r="G14" s="16">
        <f t="shared" si="0"/>
        <v>2</v>
      </c>
      <c r="H14" s="65"/>
      <c r="I14" s="65"/>
    </row>
    <row r="15" spans="1:9" s="17" customFormat="1" ht="21.75" customHeight="1">
      <c r="A15" s="42">
        <v>11</v>
      </c>
      <c r="B15" s="42" t="s">
        <v>743</v>
      </c>
      <c r="C15" s="63" t="s">
        <v>844</v>
      </c>
      <c r="D15" s="42">
        <v>4</v>
      </c>
      <c r="E15" s="16"/>
      <c r="F15" s="24"/>
      <c r="G15" s="16">
        <f t="shared" si="0"/>
        <v>4</v>
      </c>
      <c r="H15" s="65"/>
      <c r="I15" s="65"/>
    </row>
    <row r="16" spans="1:9" s="17" customFormat="1" ht="21.75" customHeight="1">
      <c r="A16" s="42">
        <v>12</v>
      </c>
      <c r="B16" s="42" t="s">
        <v>744</v>
      </c>
      <c r="C16" s="63" t="s">
        <v>783</v>
      </c>
      <c r="D16" s="42">
        <v>3</v>
      </c>
      <c r="E16" s="16"/>
      <c r="F16" s="24"/>
      <c r="G16" s="16">
        <f t="shared" si="0"/>
        <v>3</v>
      </c>
      <c r="H16" s="65"/>
      <c r="I16" s="65"/>
    </row>
    <row r="17" spans="1:9" s="17" customFormat="1" ht="21.75" customHeight="1">
      <c r="A17" s="42">
        <v>13</v>
      </c>
      <c r="B17" s="42" t="s">
        <v>745</v>
      </c>
      <c r="C17" s="63" t="s">
        <v>846</v>
      </c>
      <c r="D17" s="42">
        <v>1</v>
      </c>
      <c r="E17" s="16"/>
      <c r="F17" s="24"/>
      <c r="G17" s="16">
        <f t="shared" si="0"/>
        <v>1</v>
      </c>
      <c r="H17" s="65"/>
      <c r="I17" s="65"/>
    </row>
    <row r="18" spans="1:9" s="17" customFormat="1" ht="21.75" customHeight="1">
      <c r="A18" s="42">
        <v>14</v>
      </c>
      <c r="B18" s="42" t="s">
        <v>746</v>
      </c>
      <c r="C18" s="63" t="s">
        <v>847</v>
      </c>
      <c r="D18" s="42">
        <v>17</v>
      </c>
      <c r="E18" s="16"/>
      <c r="F18" s="24"/>
      <c r="G18" s="16">
        <f t="shared" si="0"/>
        <v>17</v>
      </c>
      <c r="H18" s="65"/>
      <c r="I18" s="65"/>
    </row>
    <row r="19" spans="1:9" s="17" customFormat="1" ht="21.75" customHeight="1">
      <c r="A19" s="42">
        <v>15</v>
      </c>
      <c r="B19" s="42" t="s">
        <v>747</v>
      </c>
      <c r="C19" s="63" t="s">
        <v>775</v>
      </c>
      <c r="D19" s="42">
        <v>0</v>
      </c>
      <c r="E19" s="16"/>
      <c r="F19" s="24"/>
      <c r="G19" s="16">
        <f t="shared" si="0"/>
        <v>0</v>
      </c>
      <c r="H19" s="65"/>
      <c r="I19" s="65"/>
    </row>
    <row r="20" spans="1:9" s="17" customFormat="1" ht="21.75" customHeight="1">
      <c r="A20" s="42">
        <v>16</v>
      </c>
      <c r="B20" s="42" t="s">
        <v>748</v>
      </c>
      <c r="C20" s="63" t="s">
        <v>778</v>
      </c>
      <c r="D20" s="42">
        <v>1</v>
      </c>
      <c r="E20" s="16"/>
      <c r="F20" s="24"/>
      <c r="G20" s="16">
        <f t="shared" si="0"/>
        <v>1</v>
      </c>
    </row>
    <row r="21" spans="1:9" s="17" customFormat="1" ht="21.75" customHeight="1">
      <c r="A21" s="42">
        <v>17</v>
      </c>
      <c r="B21" s="42" t="s">
        <v>749</v>
      </c>
      <c r="C21" s="63" t="s">
        <v>779</v>
      </c>
      <c r="D21" s="42">
        <v>0</v>
      </c>
      <c r="E21" s="16"/>
      <c r="F21" s="24"/>
      <c r="G21" s="16">
        <f t="shared" si="0"/>
        <v>0</v>
      </c>
    </row>
    <row r="22" spans="1:9" s="17" customFormat="1" ht="21.75" customHeight="1">
      <c r="A22" s="42">
        <v>18</v>
      </c>
      <c r="B22" s="42" t="s">
        <v>750</v>
      </c>
      <c r="C22" s="63" t="s">
        <v>780</v>
      </c>
      <c r="D22" s="42">
        <v>1</v>
      </c>
      <c r="E22" s="16"/>
      <c r="F22" s="24"/>
      <c r="G22" s="16">
        <f t="shared" si="0"/>
        <v>1</v>
      </c>
    </row>
    <row r="23" spans="1:9" s="17" customFormat="1" ht="21.75" customHeight="1">
      <c r="A23" s="42">
        <v>19</v>
      </c>
      <c r="B23" s="42" t="s">
        <v>751</v>
      </c>
      <c r="C23" s="63" t="s">
        <v>781</v>
      </c>
      <c r="D23" s="42">
        <v>3</v>
      </c>
      <c r="E23" s="16"/>
      <c r="F23" s="24"/>
      <c r="G23" s="16">
        <f t="shared" si="0"/>
        <v>3</v>
      </c>
    </row>
    <row r="24" spans="1:9" s="17" customFormat="1" ht="21.75" customHeight="1">
      <c r="A24" s="42">
        <v>20</v>
      </c>
      <c r="B24" s="42" t="s">
        <v>752</v>
      </c>
      <c r="C24" s="63" t="s">
        <v>782</v>
      </c>
      <c r="D24" s="42">
        <v>0</v>
      </c>
      <c r="E24" s="16"/>
      <c r="F24" s="24"/>
      <c r="G24" s="16">
        <f t="shared" si="0"/>
        <v>0</v>
      </c>
    </row>
    <row r="25" spans="1:9" s="17" customFormat="1" ht="21.75" customHeight="1">
      <c r="A25" s="42">
        <v>21</v>
      </c>
      <c r="B25" s="42" t="s">
        <v>753</v>
      </c>
      <c r="C25" s="63" t="s">
        <v>850</v>
      </c>
      <c r="D25" s="42">
        <v>0</v>
      </c>
      <c r="E25" s="16"/>
      <c r="F25" s="24"/>
      <c r="G25" s="16">
        <f t="shared" si="0"/>
        <v>0</v>
      </c>
    </row>
    <row r="26" spans="1:9" s="17" customFormat="1" ht="21.75" customHeight="1">
      <c r="A26" s="42">
        <v>22</v>
      </c>
      <c r="B26" s="42" t="s">
        <v>754</v>
      </c>
      <c r="C26" s="63" t="s">
        <v>848</v>
      </c>
      <c r="D26" s="42">
        <v>18</v>
      </c>
      <c r="E26" s="16"/>
      <c r="F26" s="24"/>
      <c r="G26" s="16">
        <f t="shared" si="0"/>
        <v>18</v>
      </c>
    </row>
    <row r="27" spans="1:9" s="17" customFormat="1" ht="21.75" customHeight="1">
      <c r="A27" s="42">
        <v>23</v>
      </c>
      <c r="B27" s="42" t="s">
        <v>755</v>
      </c>
      <c r="C27" s="63" t="s">
        <v>784</v>
      </c>
      <c r="D27" s="42">
        <v>4</v>
      </c>
      <c r="E27" s="16"/>
      <c r="F27" s="24"/>
      <c r="G27" s="16">
        <f t="shared" si="0"/>
        <v>4</v>
      </c>
    </row>
    <row r="28" spans="1:9" s="17" customFormat="1" ht="21.75" customHeight="1">
      <c r="A28" s="42">
        <v>24</v>
      </c>
      <c r="B28" s="42" t="s">
        <v>756</v>
      </c>
      <c r="C28" s="63" t="s">
        <v>849</v>
      </c>
      <c r="D28" s="42">
        <v>2</v>
      </c>
      <c r="E28" s="16"/>
      <c r="F28" s="24"/>
      <c r="G28" s="16">
        <f t="shared" si="0"/>
        <v>2</v>
      </c>
    </row>
    <row r="29" spans="1:9" s="17" customFormat="1" ht="21.75" customHeight="1">
      <c r="A29" s="42">
        <v>25</v>
      </c>
      <c r="B29" s="42" t="s">
        <v>757</v>
      </c>
      <c r="C29" s="63" t="s">
        <v>724</v>
      </c>
      <c r="D29" s="42">
        <v>17</v>
      </c>
      <c r="E29" s="16"/>
      <c r="F29" s="24"/>
      <c r="G29" s="16">
        <f t="shared" si="0"/>
        <v>17</v>
      </c>
    </row>
    <row r="30" spans="1:9" s="17" customFormat="1" ht="21.75" customHeight="1">
      <c r="A30" s="42">
        <v>26</v>
      </c>
      <c r="B30" s="42" t="s">
        <v>758</v>
      </c>
      <c r="C30" s="63" t="s">
        <v>725</v>
      </c>
      <c r="D30" s="42">
        <v>10</v>
      </c>
      <c r="E30" s="16"/>
      <c r="F30" s="24"/>
      <c r="G30" s="16">
        <f t="shared" si="0"/>
        <v>10</v>
      </c>
    </row>
    <row r="31" spans="1:9" s="17" customFormat="1" ht="21.75" customHeight="1">
      <c r="A31" s="42">
        <v>27</v>
      </c>
      <c r="B31" s="42" t="s">
        <v>759</v>
      </c>
      <c r="C31" s="63" t="s">
        <v>726</v>
      </c>
      <c r="D31" s="42">
        <v>6</v>
      </c>
      <c r="E31" s="16"/>
      <c r="F31" s="24"/>
      <c r="G31" s="16">
        <f t="shared" si="0"/>
        <v>6</v>
      </c>
    </row>
    <row r="32" spans="1:9" s="17" customFormat="1" ht="21.75" customHeight="1">
      <c r="A32" s="42">
        <v>28</v>
      </c>
      <c r="B32" s="42" t="s">
        <v>760</v>
      </c>
      <c r="C32" s="63" t="s">
        <v>727</v>
      </c>
      <c r="D32" s="42">
        <v>2</v>
      </c>
      <c r="E32" s="16"/>
      <c r="F32" s="24"/>
      <c r="G32" s="16">
        <f t="shared" si="0"/>
        <v>2</v>
      </c>
    </row>
    <row r="33" spans="1:7" s="17" customFormat="1" ht="21.75" customHeight="1">
      <c r="A33" s="42">
        <v>29</v>
      </c>
      <c r="B33" s="42" t="s">
        <v>761</v>
      </c>
      <c r="C33" s="63" t="s">
        <v>728</v>
      </c>
      <c r="D33" s="42">
        <v>8</v>
      </c>
      <c r="E33" s="16"/>
      <c r="F33" s="24">
        <v>1</v>
      </c>
      <c r="G33" s="16">
        <f t="shared" si="0"/>
        <v>7</v>
      </c>
    </row>
    <row r="34" spans="1:7" s="17" customFormat="1" ht="21.75" customHeight="1">
      <c r="A34" s="42">
        <v>30</v>
      </c>
      <c r="B34" s="42" t="s">
        <v>762</v>
      </c>
      <c r="C34" s="63" t="s">
        <v>785</v>
      </c>
      <c r="D34" s="42">
        <v>2</v>
      </c>
      <c r="E34" s="16"/>
      <c r="F34" s="24">
        <v>1</v>
      </c>
      <c r="G34" s="16">
        <f t="shared" si="0"/>
        <v>1</v>
      </c>
    </row>
    <row r="35" spans="1:7" s="17" customFormat="1" ht="21.75" customHeight="1">
      <c r="A35" s="42">
        <v>31</v>
      </c>
      <c r="B35" s="42" t="s">
        <v>763</v>
      </c>
      <c r="C35" s="63" t="s">
        <v>729</v>
      </c>
      <c r="D35" s="42">
        <v>0</v>
      </c>
      <c r="E35" s="16"/>
      <c r="F35" s="24"/>
      <c r="G35" s="16">
        <f t="shared" si="0"/>
        <v>0</v>
      </c>
    </row>
    <row r="36" spans="1:7" s="17" customFormat="1" ht="21.75" customHeight="1">
      <c r="A36" s="42">
        <v>32</v>
      </c>
      <c r="B36" s="42" t="s">
        <v>764</v>
      </c>
      <c r="C36" s="63" t="s">
        <v>730</v>
      </c>
      <c r="D36" s="42">
        <v>0</v>
      </c>
      <c r="E36" s="16"/>
      <c r="F36" s="24"/>
      <c r="G36" s="16">
        <f t="shared" si="0"/>
        <v>0</v>
      </c>
    </row>
    <row r="37" spans="1:7" s="17" customFormat="1" ht="21.75" customHeight="1">
      <c r="A37" s="42">
        <v>33</v>
      </c>
      <c r="B37" s="42" t="s">
        <v>765</v>
      </c>
      <c r="C37" s="63" t="s">
        <v>731</v>
      </c>
      <c r="D37" s="42">
        <v>0</v>
      </c>
      <c r="E37" s="16"/>
      <c r="F37" s="24"/>
      <c r="G37" s="16">
        <f t="shared" si="0"/>
        <v>0</v>
      </c>
    </row>
    <row r="38" spans="1:7" s="17" customFormat="1" ht="21.75" customHeight="1">
      <c r="A38" s="42">
        <v>34</v>
      </c>
      <c r="B38" s="42" t="s">
        <v>766</v>
      </c>
      <c r="C38" s="63" t="s">
        <v>732</v>
      </c>
      <c r="D38" s="42">
        <v>0</v>
      </c>
      <c r="E38" s="16"/>
      <c r="F38" s="24"/>
      <c r="G38" s="16">
        <f t="shared" si="0"/>
        <v>0</v>
      </c>
    </row>
    <row r="39" spans="1:7" s="17" customFormat="1" ht="21.75" customHeight="1">
      <c r="A39" s="42">
        <v>35</v>
      </c>
      <c r="B39" s="42" t="s">
        <v>767</v>
      </c>
      <c r="C39" s="63" t="s">
        <v>776</v>
      </c>
      <c r="D39" s="42">
        <v>1</v>
      </c>
      <c r="E39" s="16"/>
      <c r="F39" s="24"/>
      <c r="G39" s="16">
        <f t="shared" si="0"/>
        <v>1</v>
      </c>
    </row>
    <row r="40" spans="1:7" s="17" customFormat="1" ht="21.75" customHeight="1">
      <c r="A40" s="42">
        <v>36</v>
      </c>
      <c r="B40" s="42" t="s">
        <v>789</v>
      </c>
      <c r="C40" s="63" t="s">
        <v>777</v>
      </c>
      <c r="D40" s="42">
        <v>0</v>
      </c>
      <c r="E40" s="16"/>
      <c r="F40" s="24"/>
      <c r="G40" s="16">
        <f t="shared" si="0"/>
        <v>0</v>
      </c>
    </row>
    <row r="41" spans="1:7" ht="21.75" customHeight="1">
      <c r="A41" s="42">
        <v>37</v>
      </c>
      <c r="B41" s="42" t="s">
        <v>851</v>
      </c>
      <c r="C41" s="63" t="s">
        <v>852</v>
      </c>
      <c r="D41" s="42">
        <v>1</v>
      </c>
      <c r="E41" s="16"/>
      <c r="F41" s="24"/>
      <c r="G41" s="16">
        <f t="shared" si="0"/>
        <v>1</v>
      </c>
    </row>
    <row r="42" spans="1:7" ht="21.75" customHeight="1">
      <c r="A42" s="42">
        <v>38</v>
      </c>
      <c r="B42" s="42" t="s">
        <v>855</v>
      </c>
      <c r="C42" s="63" t="s">
        <v>859</v>
      </c>
      <c r="D42" s="42">
        <v>4</v>
      </c>
      <c r="E42" s="16"/>
      <c r="F42" s="24"/>
      <c r="G42" s="16">
        <f t="shared" si="0"/>
        <v>4</v>
      </c>
    </row>
    <row r="43" spans="1:7" ht="21.75" customHeight="1">
      <c r="A43" s="42">
        <v>39</v>
      </c>
      <c r="B43" s="42" t="s">
        <v>856</v>
      </c>
      <c r="C43" s="63" t="s">
        <v>860</v>
      </c>
      <c r="D43" s="42">
        <v>1</v>
      </c>
      <c r="E43" s="16"/>
      <c r="F43" s="24"/>
      <c r="G43" s="16">
        <f t="shared" si="0"/>
        <v>1</v>
      </c>
    </row>
    <row r="44" spans="1:7" ht="21.75" customHeight="1">
      <c r="A44" s="42">
        <v>40</v>
      </c>
      <c r="B44" s="42" t="s">
        <v>857</v>
      </c>
      <c r="C44" s="63" t="s">
        <v>858</v>
      </c>
      <c r="D44" s="42">
        <v>2</v>
      </c>
      <c r="E44" s="16"/>
      <c r="F44" s="24"/>
      <c r="G44" s="16">
        <f t="shared" si="0"/>
        <v>2</v>
      </c>
    </row>
    <row r="45" spans="1:7" ht="21.75" customHeight="1">
      <c r="A45" s="42">
        <v>41</v>
      </c>
      <c r="B45" s="42" t="s">
        <v>861</v>
      </c>
      <c r="C45" s="63" t="s">
        <v>862</v>
      </c>
      <c r="D45" s="42">
        <v>1</v>
      </c>
      <c r="E45" s="16"/>
      <c r="F45" s="24"/>
      <c r="G45" s="16">
        <f t="shared" si="0"/>
        <v>1</v>
      </c>
    </row>
    <row r="46" spans="1:7" ht="21.75" customHeight="1">
      <c r="A46" s="42">
        <v>42</v>
      </c>
      <c r="B46" s="42" t="s">
        <v>863</v>
      </c>
      <c r="C46" s="63" t="s">
        <v>864</v>
      </c>
      <c r="D46" s="42">
        <v>2</v>
      </c>
      <c r="E46" s="16"/>
      <c r="F46" s="24"/>
      <c r="G46" s="16">
        <f t="shared" si="0"/>
        <v>2</v>
      </c>
    </row>
    <row r="47" spans="1:7" ht="21.75" customHeight="1">
      <c r="A47" s="42">
        <v>32</v>
      </c>
      <c r="B47" s="42" t="s">
        <v>865</v>
      </c>
      <c r="C47" s="63" t="s">
        <v>866</v>
      </c>
      <c r="D47" s="42">
        <v>2</v>
      </c>
      <c r="E47" s="16"/>
      <c r="F47" s="24"/>
      <c r="G47" s="16">
        <f t="shared" si="0"/>
        <v>2</v>
      </c>
    </row>
    <row r="48" spans="1:7" ht="21.75" customHeight="1">
      <c r="A48" s="42">
        <v>33</v>
      </c>
      <c r="B48" s="42" t="s">
        <v>867</v>
      </c>
      <c r="C48" s="63" t="s">
        <v>868</v>
      </c>
      <c r="D48" s="42">
        <v>2</v>
      </c>
      <c r="E48" s="16"/>
      <c r="F48" s="24"/>
      <c r="G48" s="16">
        <f t="shared" si="0"/>
        <v>2</v>
      </c>
    </row>
    <row r="49" spans="1:7" ht="21.75" customHeight="1">
      <c r="A49" s="42">
        <v>34</v>
      </c>
      <c r="B49" s="42" t="s">
        <v>869</v>
      </c>
      <c r="C49" s="63" t="s">
        <v>870</v>
      </c>
      <c r="D49" s="42">
        <v>1</v>
      </c>
      <c r="E49" s="16"/>
      <c r="F49" s="24"/>
      <c r="G49" s="16">
        <f t="shared" si="0"/>
        <v>1</v>
      </c>
    </row>
    <row r="50" spans="1:7" ht="21.75" customHeight="1">
      <c r="A50" s="42">
        <v>35</v>
      </c>
      <c r="B50" s="42" t="s">
        <v>871</v>
      </c>
      <c r="C50" s="63" t="s">
        <v>872</v>
      </c>
      <c r="D50" s="42">
        <v>2</v>
      </c>
      <c r="E50" s="16"/>
      <c r="F50" s="24">
        <v>1</v>
      </c>
      <c r="G50" s="16">
        <f t="shared" si="0"/>
        <v>1</v>
      </c>
    </row>
    <row r="51" spans="1:7" ht="21.75" customHeight="1">
      <c r="A51" s="42">
        <v>36</v>
      </c>
      <c r="B51" s="42" t="s">
        <v>873</v>
      </c>
      <c r="C51" s="63" t="s">
        <v>874</v>
      </c>
      <c r="D51" s="42">
        <v>7</v>
      </c>
      <c r="E51" s="16"/>
      <c r="F51" s="24"/>
      <c r="G51" s="16">
        <f t="shared" si="0"/>
        <v>7</v>
      </c>
    </row>
    <row r="52" spans="1:7" ht="21.75" customHeight="1">
      <c r="A52" s="42">
        <v>37</v>
      </c>
      <c r="B52" s="42" t="s">
        <v>875</v>
      </c>
      <c r="C52" s="63" t="s">
        <v>876</v>
      </c>
      <c r="D52" s="42">
        <v>1</v>
      </c>
      <c r="E52" s="16"/>
      <c r="F52" s="24"/>
      <c r="G52" s="16">
        <f t="shared" si="0"/>
        <v>1</v>
      </c>
    </row>
    <row r="53" spans="1:7" ht="21.75" customHeight="1">
      <c r="A53" s="42">
        <v>38</v>
      </c>
      <c r="B53" s="42" t="s">
        <v>877</v>
      </c>
      <c r="C53" s="63" t="s">
        <v>878</v>
      </c>
      <c r="D53" s="42">
        <v>4</v>
      </c>
      <c r="E53" s="16"/>
      <c r="F53" s="24"/>
      <c r="G53" s="16">
        <f t="shared" si="0"/>
        <v>4</v>
      </c>
    </row>
    <row r="54" spans="1:7" ht="21.75" customHeight="1">
      <c r="A54" s="42">
        <v>39</v>
      </c>
      <c r="B54" s="42" t="s">
        <v>879</v>
      </c>
      <c r="C54" s="63" t="s">
        <v>880</v>
      </c>
      <c r="D54" s="42">
        <v>3</v>
      </c>
      <c r="E54" s="16"/>
      <c r="F54" s="24"/>
      <c r="G54" s="16">
        <f t="shared" si="0"/>
        <v>3</v>
      </c>
    </row>
    <row r="55" spans="1:7" ht="21.75" customHeight="1">
      <c r="A55" s="42">
        <v>40</v>
      </c>
      <c r="B55" s="42" t="s">
        <v>881</v>
      </c>
      <c r="C55" s="63" t="s">
        <v>882</v>
      </c>
      <c r="D55" s="42">
        <v>3</v>
      </c>
      <c r="E55" s="16"/>
      <c r="F55" s="24"/>
      <c r="G55" s="16">
        <f t="shared" si="0"/>
        <v>3</v>
      </c>
    </row>
    <row r="56" spans="1:7" ht="21.75" customHeight="1">
      <c r="A56" s="42">
        <v>41</v>
      </c>
      <c r="B56" s="42" t="s">
        <v>883</v>
      </c>
      <c r="C56" s="63" t="s">
        <v>884</v>
      </c>
      <c r="D56" s="42">
        <v>2</v>
      </c>
      <c r="E56" s="16"/>
      <c r="F56" s="162"/>
      <c r="G56" s="16">
        <f t="shared" si="0"/>
        <v>2</v>
      </c>
    </row>
    <row r="57" spans="1:7" ht="27" customHeight="1">
      <c r="A57" s="42">
        <v>42</v>
      </c>
      <c r="B57" s="42" t="s">
        <v>1481</v>
      </c>
      <c r="C57" s="63" t="s">
        <v>1482</v>
      </c>
      <c r="D57" s="42">
        <v>1</v>
      </c>
      <c r="E57" s="23"/>
      <c r="F57" s="112"/>
      <c r="G57" s="163">
        <f t="shared" si="0"/>
        <v>1</v>
      </c>
    </row>
  </sheetData>
  <mergeCells count="1">
    <mergeCell ref="A2:D2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9"/>
  <dimension ref="A2:G30"/>
  <sheetViews>
    <sheetView topLeftCell="A13" workbookViewId="0">
      <selection activeCell="A13" sqref="A1:XFD1048576"/>
    </sheetView>
  </sheetViews>
  <sheetFormatPr defaultRowHeight="15.75"/>
  <cols>
    <col min="1" max="1" width="6.85546875" style="64" bestFit="1" customWidth="1"/>
    <col min="2" max="2" width="13.140625" style="64" bestFit="1" customWidth="1"/>
    <col min="3" max="3" width="30.7109375" style="64" bestFit="1" customWidth="1"/>
    <col min="4" max="4" width="8.5703125" style="64" bestFit="1" customWidth="1"/>
    <col min="5" max="16384" width="9.140625" style="64"/>
  </cols>
  <sheetData>
    <row r="2" spans="1:7">
      <c r="A2" s="195" t="s">
        <v>1431</v>
      </c>
      <c r="B2" s="195"/>
      <c r="C2" s="195"/>
      <c r="D2" s="154"/>
    </row>
    <row r="4" spans="1:7" ht="33.75" customHeight="1">
      <c r="A4" s="47" t="s">
        <v>0</v>
      </c>
      <c r="B4" s="47" t="s">
        <v>232</v>
      </c>
      <c r="C4" s="47" t="s">
        <v>1</v>
      </c>
      <c r="D4" s="71" t="s">
        <v>233</v>
      </c>
      <c r="E4" s="103" t="s">
        <v>218</v>
      </c>
      <c r="F4" s="103" t="s">
        <v>719</v>
      </c>
      <c r="G4" s="103" t="s">
        <v>219</v>
      </c>
    </row>
    <row r="5" spans="1:7" s="66" customFormat="1" ht="21.75" customHeight="1">
      <c r="A5" s="40">
        <v>1</v>
      </c>
      <c r="B5" s="40" t="s">
        <v>814</v>
      </c>
      <c r="C5" s="41" t="s">
        <v>792</v>
      </c>
      <c r="D5" s="40">
        <v>2</v>
      </c>
      <c r="E5" s="43"/>
      <c r="F5" s="43"/>
      <c r="G5" s="43">
        <f>SUM(D5+E5)-F5</f>
        <v>2</v>
      </c>
    </row>
    <row r="6" spans="1:7" s="66" customFormat="1" ht="21.75" customHeight="1">
      <c r="A6" s="40">
        <v>2</v>
      </c>
      <c r="B6" s="40" t="s">
        <v>815</v>
      </c>
      <c r="C6" s="41" t="s">
        <v>793</v>
      </c>
      <c r="D6" s="40">
        <v>0</v>
      </c>
      <c r="E6" s="43"/>
      <c r="F6" s="43"/>
      <c r="G6" s="43">
        <f t="shared" ref="G6:G30" si="0">SUM(D6+E6)-F6</f>
        <v>0</v>
      </c>
    </row>
    <row r="7" spans="1:7" s="66" customFormat="1" ht="21.75" customHeight="1">
      <c r="A7" s="40">
        <v>3</v>
      </c>
      <c r="B7" s="40" t="s">
        <v>816</v>
      </c>
      <c r="C7" s="41" t="s">
        <v>794</v>
      </c>
      <c r="D7" s="40">
        <v>10</v>
      </c>
      <c r="E7" s="43"/>
      <c r="F7" s="43"/>
      <c r="G7" s="43">
        <f t="shared" si="0"/>
        <v>10</v>
      </c>
    </row>
    <row r="8" spans="1:7" s="66" customFormat="1" ht="21.75" customHeight="1">
      <c r="A8" s="40">
        <v>4</v>
      </c>
      <c r="B8" s="40" t="s">
        <v>817</v>
      </c>
      <c r="C8" s="41" t="s">
        <v>795</v>
      </c>
      <c r="D8" s="40">
        <v>29</v>
      </c>
      <c r="E8" s="43"/>
      <c r="F8" s="43"/>
      <c r="G8" s="43">
        <f t="shared" si="0"/>
        <v>29</v>
      </c>
    </row>
    <row r="9" spans="1:7" s="66" customFormat="1" ht="21.75" customHeight="1">
      <c r="A9" s="40">
        <v>5</v>
      </c>
      <c r="B9" s="40" t="s">
        <v>818</v>
      </c>
      <c r="C9" s="41" t="s">
        <v>839</v>
      </c>
      <c r="D9" s="40">
        <v>7</v>
      </c>
      <c r="E9" s="43"/>
      <c r="F9" s="43"/>
      <c r="G9" s="43">
        <f t="shared" si="0"/>
        <v>7</v>
      </c>
    </row>
    <row r="10" spans="1:7" s="66" customFormat="1" ht="21.75" customHeight="1">
      <c r="A10" s="40">
        <v>6</v>
      </c>
      <c r="B10" s="40" t="s">
        <v>819</v>
      </c>
      <c r="C10" s="41" t="s">
        <v>796</v>
      </c>
      <c r="D10" s="40">
        <v>2</v>
      </c>
      <c r="E10" s="43"/>
      <c r="F10" s="43"/>
      <c r="G10" s="43">
        <f t="shared" si="0"/>
        <v>2</v>
      </c>
    </row>
    <row r="11" spans="1:7" s="66" customFormat="1" ht="21.75" customHeight="1">
      <c r="A11" s="40">
        <v>7</v>
      </c>
      <c r="B11" s="40" t="s">
        <v>820</v>
      </c>
      <c r="C11" s="41" t="s">
        <v>797</v>
      </c>
      <c r="D11" s="40">
        <v>2</v>
      </c>
      <c r="E11" s="43"/>
      <c r="F11" s="43"/>
      <c r="G11" s="43">
        <f t="shared" si="0"/>
        <v>2</v>
      </c>
    </row>
    <row r="12" spans="1:7" s="66" customFormat="1" ht="21.75" customHeight="1">
      <c r="A12" s="40">
        <v>8</v>
      </c>
      <c r="B12" s="40" t="s">
        <v>821</v>
      </c>
      <c r="C12" s="41" t="s">
        <v>798</v>
      </c>
      <c r="D12" s="40">
        <v>7</v>
      </c>
      <c r="E12" s="43"/>
      <c r="F12" s="43"/>
      <c r="G12" s="43">
        <f t="shared" si="0"/>
        <v>7</v>
      </c>
    </row>
    <row r="13" spans="1:7" s="66" customFormat="1" ht="21.75" customHeight="1">
      <c r="A13" s="40">
        <v>9</v>
      </c>
      <c r="B13" s="40" t="s">
        <v>822</v>
      </c>
      <c r="C13" s="41" t="s">
        <v>799</v>
      </c>
      <c r="D13" s="40">
        <v>1</v>
      </c>
      <c r="E13" s="43"/>
      <c r="F13" s="43"/>
      <c r="G13" s="43">
        <f t="shared" si="0"/>
        <v>1</v>
      </c>
    </row>
    <row r="14" spans="1:7" s="66" customFormat="1" ht="21.75" customHeight="1">
      <c r="A14" s="40">
        <v>10</v>
      </c>
      <c r="B14" s="40" t="s">
        <v>823</v>
      </c>
      <c r="C14" s="41" t="s">
        <v>800</v>
      </c>
      <c r="D14" s="40">
        <v>3</v>
      </c>
      <c r="E14" s="43"/>
      <c r="F14" s="43"/>
      <c r="G14" s="43">
        <f t="shared" si="0"/>
        <v>3</v>
      </c>
    </row>
    <row r="15" spans="1:7" s="66" customFormat="1" ht="21.75" customHeight="1">
      <c r="A15" s="40">
        <v>11</v>
      </c>
      <c r="B15" s="40" t="s">
        <v>824</v>
      </c>
      <c r="C15" s="41" t="s">
        <v>801</v>
      </c>
      <c r="D15" s="40">
        <v>4</v>
      </c>
      <c r="E15" s="43"/>
      <c r="F15" s="43"/>
      <c r="G15" s="43">
        <f t="shared" si="0"/>
        <v>4</v>
      </c>
    </row>
    <row r="16" spans="1:7" s="66" customFormat="1" ht="21.75" customHeight="1">
      <c r="A16" s="40">
        <v>12</v>
      </c>
      <c r="B16" s="40" t="s">
        <v>825</v>
      </c>
      <c r="C16" s="69" t="s">
        <v>802</v>
      </c>
      <c r="D16" s="40">
        <v>0</v>
      </c>
      <c r="E16" s="43"/>
      <c r="F16" s="43"/>
      <c r="G16" s="43">
        <f t="shared" si="0"/>
        <v>0</v>
      </c>
    </row>
    <row r="17" spans="1:7" s="66" customFormat="1" ht="21.75" customHeight="1">
      <c r="A17" s="40">
        <v>13</v>
      </c>
      <c r="B17" s="40" t="s">
        <v>826</v>
      </c>
      <c r="C17" s="69" t="s">
        <v>840</v>
      </c>
      <c r="D17" s="40">
        <v>23</v>
      </c>
      <c r="E17" s="43"/>
      <c r="F17" s="43"/>
      <c r="G17" s="43">
        <f t="shared" si="0"/>
        <v>23</v>
      </c>
    </row>
    <row r="18" spans="1:7" s="66" customFormat="1" ht="21.75" customHeight="1">
      <c r="A18" s="40">
        <v>14</v>
      </c>
      <c r="B18" s="40" t="s">
        <v>827</v>
      </c>
      <c r="C18" s="41" t="s">
        <v>803</v>
      </c>
      <c r="D18" s="40">
        <v>0</v>
      </c>
      <c r="E18" s="43"/>
      <c r="F18" s="43"/>
      <c r="G18" s="43">
        <f t="shared" si="0"/>
        <v>0</v>
      </c>
    </row>
    <row r="19" spans="1:7" s="66" customFormat="1" ht="21.75" customHeight="1">
      <c r="A19" s="40">
        <v>15</v>
      </c>
      <c r="B19" s="40" t="s">
        <v>828</v>
      </c>
      <c r="C19" s="41" t="s">
        <v>804</v>
      </c>
      <c r="D19" s="40">
        <v>11</v>
      </c>
      <c r="E19" s="43"/>
      <c r="F19" s="43"/>
      <c r="G19" s="43">
        <f t="shared" si="0"/>
        <v>11</v>
      </c>
    </row>
    <row r="20" spans="1:7" s="66" customFormat="1" ht="21.75" customHeight="1">
      <c r="A20" s="40">
        <v>16</v>
      </c>
      <c r="B20" s="40" t="s">
        <v>829</v>
      </c>
      <c r="C20" s="41" t="s">
        <v>805</v>
      </c>
      <c r="D20" s="40">
        <v>15</v>
      </c>
      <c r="E20" s="43"/>
      <c r="F20" s="43"/>
      <c r="G20" s="43">
        <f t="shared" si="0"/>
        <v>15</v>
      </c>
    </row>
    <row r="21" spans="1:7" s="66" customFormat="1" ht="21.75" customHeight="1">
      <c r="A21" s="40">
        <v>17</v>
      </c>
      <c r="B21" s="40" t="s">
        <v>830</v>
      </c>
      <c r="C21" s="41" t="s">
        <v>806</v>
      </c>
      <c r="D21" s="40">
        <v>29</v>
      </c>
      <c r="E21" s="43"/>
      <c r="F21" s="43"/>
      <c r="G21" s="43">
        <f t="shared" si="0"/>
        <v>29</v>
      </c>
    </row>
    <row r="22" spans="1:7" s="66" customFormat="1" ht="21.75" customHeight="1">
      <c r="A22" s="40">
        <v>18</v>
      </c>
      <c r="B22" s="40" t="s">
        <v>831</v>
      </c>
      <c r="C22" s="41" t="s">
        <v>807</v>
      </c>
      <c r="D22" s="40">
        <v>10</v>
      </c>
      <c r="E22" s="43"/>
      <c r="F22" s="43"/>
      <c r="G22" s="43">
        <f t="shared" si="0"/>
        <v>10</v>
      </c>
    </row>
    <row r="23" spans="1:7" s="66" customFormat="1" ht="21.75" customHeight="1">
      <c r="A23" s="40">
        <v>19</v>
      </c>
      <c r="B23" s="40" t="s">
        <v>832</v>
      </c>
      <c r="C23" s="41" t="s">
        <v>808</v>
      </c>
      <c r="D23" s="40">
        <v>2</v>
      </c>
      <c r="E23" s="43"/>
      <c r="F23" s="43">
        <v>1</v>
      </c>
      <c r="G23" s="43">
        <f t="shared" si="0"/>
        <v>1</v>
      </c>
    </row>
    <row r="24" spans="1:7" s="66" customFormat="1" ht="21.75" customHeight="1">
      <c r="A24" s="40">
        <v>20</v>
      </c>
      <c r="B24" s="40" t="s">
        <v>833</v>
      </c>
      <c r="C24" s="41" t="s">
        <v>809</v>
      </c>
      <c r="D24" s="40">
        <v>3</v>
      </c>
      <c r="E24" s="43"/>
      <c r="F24" s="43"/>
      <c r="G24" s="43">
        <f t="shared" si="0"/>
        <v>3</v>
      </c>
    </row>
    <row r="25" spans="1:7" s="66" customFormat="1" ht="21.75" customHeight="1">
      <c r="A25" s="40">
        <v>21</v>
      </c>
      <c r="B25" s="40" t="s">
        <v>834</v>
      </c>
      <c r="C25" s="41" t="s">
        <v>810</v>
      </c>
      <c r="D25" s="40">
        <v>8</v>
      </c>
      <c r="E25" s="43"/>
      <c r="F25" s="43"/>
      <c r="G25" s="43">
        <f t="shared" si="0"/>
        <v>8</v>
      </c>
    </row>
    <row r="26" spans="1:7" s="66" customFormat="1" ht="21.75" customHeight="1">
      <c r="A26" s="40">
        <v>22</v>
      </c>
      <c r="B26" s="40" t="s">
        <v>835</v>
      </c>
      <c r="C26" s="41" t="s">
        <v>811</v>
      </c>
      <c r="D26" s="40">
        <v>7</v>
      </c>
      <c r="E26" s="43"/>
      <c r="F26" s="43"/>
      <c r="G26" s="43">
        <f t="shared" si="0"/>
        <v>7</v>
      </c>
    </row>
    <row r="27" spans="1:7" ht="21.75" customHeight="1">
      <c r="A27" s="40">
        <v>23</v>
      </c>
      <c r="B27" s="40" t="s">
        <v>836</v>
      </c>
      <c r="C27" s="41" t="s">
        <v>812</v>
      </c>
      <c r="D27" s="40"/>
      <c r="E27" s="50"/>
      <c r="F27" s="50"/>
      <c r="G27" s="43">
        <f t="shared" si="0"/>
        <v>0</v>
      </c>
    </row>
    <row r="28" spans="1:7" ht="21.75" customHeight="1">
      <c r="A28" s="40">
        <v>24</v>
      </c>
      <c r="B28" s="40" t="s">
        <v>841</v>
      </c>
      <c r="C28" s="41" t="s">
        <v>813</v>
      </c>
      <c r="D28" s="40">
        <v>1</v>
      </c>
      <c r="E28" s="50"/>
      <c r="F28" s="50"/>
      <c r="G28" s="43">
        <f t="shared" si="0"/>
        <v>1</v>
      </c>
    </row>
    <row r="29" spans="1:7" ht="21.75" customHeight="1">
      <c r="A29" s="40">
        <v>25</v>
      </c>
      <c r="B29" s="40" t="s">
        <v>842</v>
      </c>
      <c r="C29" s="41" t="s">
        <v>837</v>
      </c>
      <c r="D29" s="40">
        <v>1</v>
      </c>
      <c r="E29" s="50"/>
      <c r="F29" s="50"/>
      <c r="G29" s="43">
        <f t="shared" si="0"/>
        <v>1</v>
      </c>
    </row>
    <row r="30" spans="1:7" ht="21.75" customHeight="1">
      <c r="A30" s="40">
        <v>26</v>
      </c>
      <c r="B30" s="40" t="s">
        <v>843</v>
      </c>
      <c r="C30" s="41" t="s">
        <v>838</v>
      </c>
      <c r="D30" s="40">
        <v>2</v>
      </c>
      <c r="E30" s="50"/>
      <c r="F30" s="50"/>
      <c r="G30" s="43">
        <f t="shared" si="0"/>
        <v>2</v>
      </c>
    </row>
  </sheetData>
  <mergeCells count="1">
    <mergeCell ref="A2:C2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20"/>
  <dimension ref="A1:G16"/>
  <sheetViews>
    <sheetView workbookViewId="0">
      <selection sqref="A1:XFD1048576"/>
    </sheetView>
  </sheetViews>
  <sheetFormatPr defaultRowHeight="15"/>
  <cols>
    <col min="1" max="1" width="6.85546875" bestFit="1" customWidth="1"/>
    <col min="2" max="2" width="12.28515625" style="25" customWidth="1"/>
    <col min="3" max="3" width="57.7109375" bestFit="1" customWidth="1"/>
    <col min="4" max="4" width="8.7109375" style="25" customWidth="1"/>
    <col min="5" max="6" width="9.140625" style="111" customWidth="1"/>
    <col min="7" max="7" width="9.140625" style="111"/>
  </cols>
  <sheetData>
    <row r="1" spans="1:7" ht="15.75">
      <c r="A1" s="195" t="s">
        <v>1432</v>
      </c>
      <c r="B1" s="195"/>
      <c r="C1" s="195"/>
      <c r="D1" s="195"/>
    </row>
    <row r="2" spans="1:7" ht="31.5">
      <c r="A2" s="47" t="s">
        <v>0</v>
      </c>
      <c r="B2" s="47" t="s">
        <v>232</v>
      </c>
      <c r="C2" s="47" t="s">
        <v>1</v>
      </c>
      <c r="D2" s="47" t="s">
        <v>233</v>
      </c>
      <c r="E2" s="47" t="s">
        <v>218</v>
      </c>
      <c r="F2" s="47" t="s">
        <v>719</v>
      </c>
      <c r="G2" s="47" t="s">
        <v>219</v>
      </c>
    </row>
    <row r="3" spans="1:7" s="17" customFormat="1" ht="17.25">
      <c r="A3" s="24">
        <v>1</v>
      </c>
      <c r="B3" s="24" t="s">
        <v>900</v>
      </c>
      <c r="C3" s="16" t="s">
        <v>895</v>
      </c>
      <c r="D3" s="24">
        <v>1</v>
      </c>
      <c r="E3" s="24"/>
      <c r="F3" s="24"/>
      <c r="G3" s="24">
        <f>SUM(D3+E3)-F3</f>
        <v>1</v>
      </c>
    </row>
    <row r="4" spans="1:7" s="17" customFormat="1">
      <c r="A4" s="24">
        <v>2</v>
      </c>
      <c r="B4" s="24" t="s">
        <v>901</v>
      </c>
      <c r="C4" s="16" t="s">
        <v>898</v>
      </c>
      <c r="D4" s="24">
        <v>1</v>
      </c>
      <c r="E4" s="24"/>
      <c r="F4" s="24"/>
      <c r="G4" s="24">
        <f t="shared" ref="G4:G16" si="0">SUM(D4+E4)-F4</f>
        <v>1</v>
      </c>
    </row>
    <row r="5" spans="1:7" s="17" customFormat="1">
      <c r="A5" s="24">
        <v>3</v>
      </c>
      <c r="B5" s="24" t="s">
        <v>902</v>
      </c>
      <c r="C5" s="16" t="s">
        <v>886</v>
      </c>
      <c r="D5" s="24">
        <v>1</v>
      </c>
      <c r="E5" s="24"/>
      <c r="F5" s="24"/>
      <c r="G5" s="24">
        <f t="shared" si="0"/>
        <v>1</v>
      </c>
    </row>
    <row r="6" spans="1:7" s="17" customFormat="1" ht="17.25">
      <c r="A6" s="24">
        <v>4</v>
      </c>
      <c r="B6" s="24" t="s">
        <v>903</v>
      </c>
      <c r="C6" s="16" t="s">
        <v>887</v>
      </c>
      <c r="D6" s="24">
        <v>3</v>
      </c>
      <c r="E6" s="24"/>
      <c r="F6" s="24"/>
      <c r="G6" s="24">
        <f t="shared" si="0"/>
        <v>3</v>
      </c>
    </row>
    <row r="7" spans="1:7" s="17" customFormat="1" ht="17.25">
      <c r="A7" s="24">
        <v>5</v>
      </c>
      <c r="B7" s="24" t="s">
        <v>904</v>
      </c>
      <c r="C7" s="16" t="s">
        <v>888</v>
      </c>
      <c r="D7" s="24">
        <v>1</v>
      </c>
      <c r="E7" s="24"/>
      <c r="F7" s="24"/>
      <c r="G7" s="24">
        <f t="shared" si="0"/>
        <v>1</v>
      </c>
    </row>
    <row r="8" spans="1:7" s="17" customFormat="1" ht="17.25">
      <c r="A8" s="24">
        <v>6</v>
      </c>
      <c r="B8" s="24" t="s">
        <v>905</v>
      </c>
      <c r="C8" s="16" t="s">
        <v>889</v>
      </c>
      <c r="D8" s="24">
        <v>1</v>
      </c>
      <c r="E8" s="24"/>
      <c r="F8" s="24"/>
      <c r="G8" s="24">
        <f t="shared" si="0"/>
        <v>1</v>
      </c>
    </row>
    <row r="9" spans="1:7" s="17" customFormat="1" ht="17.25">
      <c r="A9" s="24">
        <v>7</v>
      </c>
      <c r="B9" s="24" t="s">
        <v>906</v>
      </c>
      <c r="C9" s="16" t="s">
        <v>899</v>
      </c>
      <c r="D9" s="24">
        <v>1</v>
      </c>
      <c r="E9" s="24"/>
      <c r="F9" s="24"/>
      <c r="G9" s="24">
        <f t="shared" si="0"/>
        <v>1</v>
      </c>
    </row>
    <row r="10" spans="1:7" s="17" customFormat="1" ht="17.25">
      <c r="A10" s="24">
        <v>8</v>
      </c>
      <c r="B10" s="24" t="s">
        <v>907</v>
      </c>
      <c r="C10" s="16" t="s">
        <v>891</v>
      </c>
      <c r="D10" s="24">
        <v>2</v>
      </c>
      <c r="E10" s="24"/>
      <c r="F10" s="24"/>
      <c r="G10" s="24">
        <f t="shared" si="0"/>
        <v>2</v>
      </c>
    </row>
    <row r="11" spans="1:7" s="17" customFormat="1" ht="17.25">
      <c r="A11" s="24">
        <v>9</v>
      </c>
      <c r="B11" s="24" t="s">
        <v>908</v>
      </c>
      <c r="C11" s="16" t="s">
        <v>892</v>
      </c>
      <c r="D11" s="24">
        <v>1</v>
      </c>
      <c r="E11" s="24"/>
      <c r="F11" s="24"/>
      <c r="G11" s="24">
        <f t="shared" si="0"/>
        <v>1</v>
      </c>
    </row>
    <row r="12" spans="1:7" s="17" customFormat="1" ht="17.25">
      <c r="A12" s="24">
        <v>10</v>
      </c>
      <c r="B12" s="24" t="s">
        <v>909</v>
      </c>
      <c r="C12" s="16" t="s">
        <v>894</v>
      </c>
      <c r="D12" s="24">
        <v>10</v>
      </c>
      <c r="E12" s="24"/>
      <c r="F12" s="24"/>
      <c r="G12" s="24">
        <f t="shared" si="0"/>
        <v>10</v>
      </c>
    </row>
    <row r="13" spans="1:7" s="17" customFormat="1">
      <c r="A13" s="24">
        <v>11</v>
      </c>
      <c r="B13" s="24" t="s">
        <v>910</v>
      </c>
      <c r="C13" s="16" t="s">
        <v>893</v>
      </c>
      <c r="D13" s="24">
        <v>1</v>
      </c>
      <c r="E13" s="24"/>
      <c r="F13" s="24"/>
      <c r="G13" s="24">
        <f t="shared" si="0"/>
        <v>1</v>
      </c>
    </row>
    <row r="14" spans="1:7" s="17" customFormat="1">
      <c r="A14" s="24">
        <v>12</v>
      </c>
      <c r="B14" s="24" t="s">
        <v>911</v>
      </c>
      <c r="C14" s="16" t="s">
        <v>897</v>
      </c>
      <c r="D14" s="24">
        <v>1</v>
      </c>
      <c r="E14" s="24"/>
      <c r="F14" s="24"/>
      <c r="G14" s="24">
        <f t="shared" si="0"/>
        <v>1</v>
      </c>
    </row>
    <row r="15" spans="1:7" s="17" customFormat="1">
      <c r="A15" s="24">
        <v>13</v>
      </c>
      <c r="B15" s="24" t="s">
        <v>912</v>
      </c>
      <c r="C15" s="16" t="s">
        <v>896</v>
      </c>
      <c r="D15" s="24">
        <v>1</v>
      </c>
      <c r="E15" s="24"/>
      <c r="F15" s="24"/>
      <c r="G15" s="24">
        <f t="shared" si="0"/>
        <v>1</v>
      </c>
    </row>
    <row r="16" spans="1:7" s="17" customFormat="1">
      <c r="A16" s="24">
        <v>14</v>
      </c>
      <c r="B16" s="24" t="s">
        <v>913</v>
      </c>
      <c r="C16" s="16" t="s">
        <v>1196</v>
      </c>
      <c r="D16" s="24">
        <v>2</v>
      </c>
      <c r="E16" s="24"/>
      <c r="F16" s="24">
        <v>1</v>
      </c>
      <c r="G16" s="24">
        <f t="shared" si="0"/>
        <v>1</v>
      </c>
    </row>
  </sheetData>
  <mergeCells count="1">
    <mergeCell ref="A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21"/>
  <dimension ref="A2:G48"/>
  <sheetViews>
    <sheetView topLeftCell="A13" workbookViewId="0">
      <selection activeCell="A13" sqref="A1:XFD1048576"/>
    </sheetView>
  </sheetViews>
  <sheetFormatPr defaultRowHeight="15"/>
  <cols>
    <col min="1" max="1" width="5.85546875" style="93" bestFit="1" customWidth="1"/>
    <col min="2" max="2" width="10.5703125" style="93" bestFit="1" customWidth="1"/>
    <col min="3" max="3" width="51.28515625" style="93" bestFit="1" customWidth="1"/>
    <col min="4" max="4" width="10.5703125" style="93" customWidth="1"/>
    <col min="5" max="5" width="9.140625" style="93" customWidth="1"/>
    <col min="6" max="6" width="9.140625" style="142" customWidth="1"/>
    <col min="7" max="7" width="9.7109375" style="142" customWidth="1"/>
    <col min="8" max="16384" width="9.140625" style="93"/>
  </cols>
  <sheetData>
    <row r="2" spans="1:7" ht="16.5" customHeight="1">
      <c r="A2" s="197" t="s">
        <v>1433</v>
      </c>
      <c r="B2" s="198"/>
      <c r="C2" s="198"/>
      <c r="D2" s="198"/>
      <c r="E2" s="198"/>
      <c r="F2" s="198"/>
      <c r="G2" s="198"/>
    </row>
    <row r="3" spans="1:7" s="94" customFormat="1">
      <c r="A3" s="122" t="s">
        <v>0</v>
      </c>
      <c r="B3" s="122" t="s">
        <v>232</v>
      </c>
      <c r="C3" s="122" t="s">
        <v>1</v>
      </c>
      <c r="D3" s="122" t="s">
        <v>233</v>
      </c>
      <c r="E3" s="103" t="s">
        <v>218</v>
      </c>
      <c r="F3" s="103" t="s">
        <v>719</v>
      </c>
      <c r="G3" s="103" t="s">
        <v>219</v>
      </c>
    </row>
    <row r="4" spans="1:7" s="94" customFormat="1">
      <c r="A4" s="45">
        <v>1</v>
      </c>
      <c r="B4" s="45" t="s">
        <v>971</v>
      </c>
      <c r="C4" s="104" t="s">
        <v>959</v>
      </c>
      <c r="D4" s="45">
        <v>0</v>
      </c>
      <c r="E4" s="105"/>
      <c r="F4" s="46"/>
      <c r="G4" s="46">
        <f>SUM(D4+E4)-F4</f>
        <v>0</v>
      </c>
    </row>
    <row r="5" spans="1:7" s="94" customFormat="1">
      <c r="A5" s="45">
        <v>2</v>
      </c>
      <c r="B5" s="45" t="s">
        <v>972</v>
      </c>
      <c r="C5" s="104" t="s">
        <v>915</v>
      </c>
      <c r="D5" s="45">
        <v>3</v>
      </c>
      <c r="E5" s="105"/>
      <c r="F5" s="46"/>
      <c r="G5" s="46">
        <f t="shared" ref="G5:G29" si="0">SUM(D5+E5)-F5</f>
        <v>3</v>
      </c>
    </row>
    <row r="6" spans="1:7" s="94" customFormat="1">
      <c r="A6" s="45">
        <v>3</v>
      </c>
      <c r="B6" s="45" t="s">
        <v>973</v>
      </c>
      <c r="C6" s="104" t="s">
        <v>914</v>
      </c>
      <c r="D6" s="45">
        <v>1</v>
      </c>
      <c r="E6" s="105"/>
      <c r="F6" s="46"/>
      <c r="G6" s="46">
        <f t="shared" si="0"/>
        <v>1</v>
      </c>
    </row>
    <row r="7" spans="1:7" s="94" customFormat="1">
      <c r="A7" s="45">
        <v>4</v>
      </c>
      <c r="B7" s="45" t="s">
        <v>974</v>
      </c>
      <c r="C7" s="104" t="s">
        <v>960</v>
      </c>
      <c r="D7" s="45">
        <v>1</v>
      </c>
      <c r="E7" s="105"/>
      <c r="F7" s="46"/>
      <c r="G7" s="46">
        <f t="shared" si="0"/>
        <v>1</v>
      </c>
    </row>
    <row r="8" spans="1:7" s="94" customFormat="1">
      <c r="A8" s="45">
        <v>5</v>
      </c>
      <c r="B8" s="45" t="s">
        <v>975</v>
      </c>
      <c r="C8" s="104" t="s">
        <v>916</v>
      </c>
      <c r="D8" s="45">
        <v>1</v>
      </c>
      <c r="E8" s="105"/>
      <c r="F8" s="46"/>
      <c r="G8" s="46">
        <f t="shared" si="0"/>
        <v>1</v>
      </c>
    </row>
    <row r="9" spans="1:7" s="94" customFormat="1">
      <c r="A9" s="45">
        <v>6</v>
      </c>
      <c r="B9" s="45" t="s">
        <v>976</v>
      </c>
      <c r="C9" s="104" t="s">
        <v>961</v>
      </c>
      <c r="D9" s="45">
        <v>3</v>
      </c>
      <c r="E9" s="105"/>
      <c r="F9" s="46"/>
      <c r="G9" s="46">
        <f t="shared" si="0"/>
        <v>3</v>
      </c>
    </row>
    <row r="10" spans="1:7" s="94" customFormat="1">
      <c r="A10" s="45">
        <v>7</v>
      </c>
      <c r="B10" s="45" t="s">
        <v>977</v>
      </c>
      <c r="C10" s="104" t="s">
        <v>962</v>
      </c>
      <c r="D10" s="45">
        <v>1</v>
      </c>
      <c r="E10" s="105"/>
      <c r="F10" s="46"/>
      <c r="G10" s="46">
        <f t="shared" si="0"/>
        <v>1</v>
      </c>
    </row>
    <row r="11" spans="1:7" s="94" customFormat="1">
      <c r="A11" s="45">
        <v>8</v>
      </c>
      <c r="B11" s="45" t="s">
        <v>978</v>
      </c>
      <c r="C11" s="104" t="s">
        <v>992</v>
      </c>
      <c r="D11" s="45">
        <v>3</v>
      </c>
      <c r="E11" s="105"/>
      <c r="F11" s="46"/>
      <c r="G11" s="46">
        <f t="shared" si="0"/>
        <v>3</v>
      </c>
    </row>
    <row r="12" spans="1:7" s="94" customFormat="1">
      <c r="A12" s="45">
        <v>9</v>
      </c>
      <c r="B12" s="45" t="s">
        <v>979</v>
      </c>
      <c r="C12" s="104" t="s">
        <v>917</v>
      </c>
      <c r="D12" s="45">
        <v>0</v>
      </c>
      <c r="E12" s="105"/>
      <c r="F12" s="46"/>
      <c r="G12" s="46">
        <f t="shared" si="0"/>
        <v>0</v>
      </c>
    </row>
    <row r="13" spans="1:7" s="94" customFormat="1">
      <c r="A13" s="45">
        <v>10</v>
      </c>
      <c r="B13" s="45" t="s">
        <v>980</v>
      </c>
      <c r="C13" s="104" t="s">
        <v>918</v>
      </c>
      <c r="D13" s="45">
        <v>0</v>
      </c>
      <c r="E13" s="105"/>
      <c r="F13" s="46"/>
      <c r="G13" s="46">
        <f t="shared" si="0"/>
        <v>0</v>
      </c>
    </row>
    <row r="14" spans="1:7" s="94" customFormat="1">
      <c r="A14" s="45">
        <v>11</v>
      </c>
      <c r="B14" s="45" t="s">
        <v>981</v>
      </c>
      <c r="C14" s="104" t="s">
        <v>919</v>
      </c>
      <c r="D14" s="45">
        <v>0</v>
      </c>
      <c r="E14" s="105"/>
      <c r="F14" s="46"/>
      <c r="G14" s="46">
        <f t="shared" si="0"/>
        <v>0</v>
      </c>
    </row>
    <row r="15" spans="1:7" s="94" customFormat="1">
      <c r="A15" s="45">
        <v>12</v>
      </c>
      <c r="B15" s="45" t="s">
        <v>982</v>
      </c>
      <c r="C15" s="104" t="s">
        <v>993</v>
      </c>
      <c r="D15" s="45">
        <v>1</v>
      </c>
      <c r="E15" s="105"/>
      <c r="F15" s="46"/>
      <c r="G15" s="46">
        <f t="shared" si="0"/>
        <v>1</v>
      </c>
    </row>
    <row r="16" spans="1:7" s="94" customFormat="1">
      <c r="A16" s="45">
        <v>13</v>
      </c>
      <c r="B16" s="45" t="s">
        <v>983</v>
      </c>
      <c r="C16" s="104" t="s">
        <v>963</v>
      </c>
      <c r="D16" s="45">
        <v>0</v>
      </c>
      <c r="E16" s="105"/>
      <c r="F16" s="46"/>
      <c r="G16" s="46">
        <f t="shared" si="0"/>
        <v>0</v>
      </c>
    </row>
    <row r="17" spans="1:7" s="94" customFormat="1">
      <c r="A17" s="45">
        <v>14</v>
      </c>
      <c r="B17" s="45" t="s">
        <v>984</v>
      </c>
      <c r="C17" s="104" t="s">
        <v>964</v>
      </c>
      <c r="D17" s="45">
        <v>1</v>
      </c>
      <c r="E17" s="105"/>
      <c r="F17" s="46"/>
      <c r="G17" s="46">
        <f t="shared" si="0"/>
        <v>1</v>
      </c>
    </row>
    <row r="18" spans="1:7" s="94" customFormat="1">
      <c r="A18" s="45">
        <v>15</v>
      </c>
      <c r="B18" s="45" t="s">
        <v>985</v>
      </c>
      <c r="C18" s="104" t="s">
        <v>965</v>
      </c>
      <c r="D18" s="45">
        <v>0</v>
      </c>
      <c r="E18" s="105"/>
      <c r="F18" s="46"/>
      <c r="G18" s="46">
        <f t="shared" si="0"/>
        <v>0</v>
      </c>
    </row>
    <row r="19" spans="1:7" s="94" customFormat="1">
      <c r="A19" s="45">
        <v>16</v>
      </c>
      <c r="B19" s="45" t="s">
        <v>986</v>
      </c>
      <c r="C19" s="104" t="s">
        <v>966</v>
      </c>
      <c r="D19" s="45">
        <v>0</v>
      </c>
      <c r="E19" s="105"/>
      <c r="F19" s="46"/>
      <c r="G19" s="46">
        <f t="shared" si="0"/>
        <v>0</v>
      </c>
    </row>
    <row r="20" spans="1:7" s="94" customFormat="1">
      <c r="A20" s="45">
        <v>17</v>
      </c>
      <c r="B20" s="45" t="s">
        <v>987</v>
      </c>
      <c r="C20" s="104" t="s">
        <v>967</v>
      </c>
      <c r="D20" s="45">
        <v>0</v>
      </c>
      <c r="E20" s="105"/>
      <c r="F20" s="46"/>
      <c r="G20" s="46">
        <f t="shared" si="0"/>
        <v>0</v>
      </c>
    </row>
    <row r="21" spans="1:7" s="94" customFormat="1">
      <c r="A21" s="45">
        <v>18</v>
      </c>
      <c r="B21" s="45" t="s">
        <v>988</v>
      </c>
      <c r="C21" s="104" t="s">
        <v>994</v>
      </c>
      <c r="D21" s="45">
        <v>2</v>
      </c>
      <c r="E21" s="105"/>
      <c r="F21" s="46"/>
      <c r="G21" s="46">
        <f t="shared" si="0"/>
        <v>2</v>
      </c>
    </row>
    <row r="22" spans="1:7" s="94" customFormat="1">
      <c r="A22" s="45">
        <v>19</v>
      </c>
      <c r="B22" s="45" t="s">
        <v>989</v>
      </c>
      <c r="C22" s="104" t="s">
        <v>968</v>
      </c>
      <c r="D22" s="45">
        <v>2</v>
      </c>
      <c r="E22" s="105"/>
      <c r="F22" s="46"/>
      <c r="G22" s="46">
        <f t="shared" si="0"/>
        <v>2</v>
      </c>
    </row>
    <row r="23" spans="1:7" s="94" customFormat="1">
      <c r="A23" s="45">
        <v>20</v>
      </c>
      <c r="B23" s="45" t="s">
        <v>990</v>
      </c>
      <c r="C23" s="104" t="s">
        <v>969</v>
      </c>
      <c r="D23" s="45">
        <v>1</v>
      </c>
      <c r="E23" s="105"/>
      <c r="F23" s="46"/>
      <c r="G23" s="46">
        <f t="shared" si="0"/>
        <v>1</v>
      </c>
    </row>
    <row r="24" spans="1:7" s="94" customFormat="1">
      <c r="A24" s="45">
        <v>21</v>
      </c>
      <c r="B24" s="45" t="s">
        <v>991</v>
      </c>
      <c r="C24" s="104" t="s">
        <v>970</v>
      </c>
      <c r="D24" s="45">
        <v>1</v>
      </c>
      <c r="E24" s="105"/>
      <c r="F24" s="46"/>
      <c r="G24" s="46">
        <f t="shared" si="0"/>
        <v>1</v>
      </c>
    </row>
    <row r="25" spans="1:7" s="94" customFormat="1">
      <c r="A25" s="45">
        <v>22</v>
      </c>
      <c r="B25" s="45" t="s">
        <v>995</v>
      </c>
      <c r="C25" s="104" t="s">
        <v>996</v>
      </c>
      <c r="D25" s="45">
        <v>1</v>
      </c>
      <c r="E25" s="105"/>
      <c r="F25" s="46"/>
      <c r="G25" s="46">
        <f t="shared" si="0"/>
        <v>1</v>
      </c>
    </row>
    <row r="26" spans="1:7" s="94" customFormat="1">
      <c r="A26" s="45">
        <v>23</v>
      </c>
      <c r="B26" s="45" t="s">
        <v>997</v>
      </c>
      <c r="C26" s="104" t="s">
        <v>998</v>
      </c>
      <c r="D26" s="45">
        <v>1</v>
      </c>
      <c r="E26" s="105"/>
      <c r="F26" s="46"/>
      <c r="G26" s="46">
        <f t="shared" si="0"/>
        <v>1</v>
      </c>
    </row>
    <row r="27" spans="1:7" s="94" customFormat="1">
      <c r="A27" s="45">
        <v>24</v>
      </c>
      <c r="B27" s="45" t="s">
        <v>999</v>
      </c>
      <c r="C27" s="104" t="s">
        <v>1000</v>
      </c>
      <c r="D27" s="45">
        <v>1</v>
      </c>
      <c r="E27" s="105"/>
      <c r="F27" s="46"/>
      <c r="G27" s="46">
        <f t="shared" si="0"/>
        <v>1</v>
      </c>
    </row>
    <row r="28" spans="1:7" s="94" customFormat="1">
      <c r="A28" s="45">
        <v>25</v>
      </c>
      <c r="B28" s="45" t="s">
        <v>1001</v>
      </c>
      <c r="C28" s="104" t="s">
        <v>1002</v>
      </c>
      <c r="D28" s="45">
        <v>2</v>
      </c>
      <c r="E28" s="105"/>
      <c r="F28" s="46"/>
      <c r="G28" s="46">
        <f t="shared" si="0"/>
        <v>2</v>
      </c>
    </row>
    <row r="29" spans="1:7" s="94" customFormat="1">
      <c r="A29" s="45">
        <v>26</v>
      </c>
      <c r="B29" s="45" t="s">
        <v>1003</v>
      </c>
      <c r="C29" s="104" t="s">
        <v>1004</v>
      </c>
      <c r="D29" s="45">
        <v>4</v>
      </c>
      <c r="E29" s="105"/>
      <c r="F29" s="46"/>
      <c r="G29" s="46">
        <f t="shared" si="0"/>
        <v>4</v>
      </c>
    </row>
    <row r="30" spans="1:7">
      <c r="A30" s="97"/>
      <c r="B30" s="97"/>
      <c r="C30" s="98"/>
      <c r="D30" s="97"/>
    </row>
    <row r="31" spans="1:7">
      <c r="A31" s="196" t="s">
        <v>1237</v>
      </c>
      <c r="B31" s="196"/>
      <c r="C31" s="196"/>
      <c r="D31" s="196"/>
    </row>
    <row r="32" spans="1:7">
      <c r="A32" s="99">
        <v>1</v>
      </c>
      <c r="B32" s="99" t="s">
        <v>1253</v>
      </c>
      <c r="C32" s="123" t="s">
        <v>1239</v>
      </c>
      <c r="D32" s="101">
        <v>1</v>
      </c>
      <c r="E32" s="121"/>
      <c r="F32" s="46"/>
      <c r="G32" s="46">
        <f t="shared" ref="G32" si="1">SUM(D32+E32)-F32</f>
        <v>1</v>
      </c>
    </row>
    <row r="33" spans="1:7">
      <c r="A33" s="99">
        <v>2</v>
      </c>
      <c r="B33" s="99" t="s">
        <v>1254</v>
      </c>
      <c r="C33" s="123" t="s">
        <v>1240</v>
      </c>
      <c r="D33" s="101">
        <v>1</v>
      </c>
      <c r="E33" s="121"/>
      <c r="F33" s="46"/>
      <c r="G33" s="46">
        <f t="shared" ref="G33:G48" si="2">SUM(D33+E33)-F33</f>
        <v>1</v>
      </c>
    </row>
    <row r="34" spans="1:7">
      <c r="A34" s="99">
        <v>3</v>
      </c>
      <c r="B34" s="99" t="s">
        <v>1255</v>
      </c>
      <c r="C34" s="123" t="s">
        <v>1241</v>
      </c>
      <c r="D34" s="101">
        <v>1</v>
      </c>
      <c r="E34" s="121"/>
      <c r="F34" s="46">
        <v>1</v>
      </c>
      <c r="G34" s="46">
        <f t="shared" si="2"/>
        <v>0</v>
      </c>
    </row>
    <row r="35" spans="1:7">
      <c r="A35" s="99">
        <v>4</v>
      </c>
      <c r="B35" s="99" t="s">
        <v>1256</v>
      </c>
      <c r="C35" s="123" t="s">
        <v>1242</v>
      </c>
      <c r="D35" s="101">
        <v>2</v>
      </c>
      <c r="E35" s="121"/>
      <c r="F35" s="46"/>
      <c r="G35" s="46">
        <f t="shared" si="2"/>
        <v>2</v>
      </c>
    </row>
    <row r="36" spans="1:7">
      <c r="A36" s="99">
        <v>5</v>
      </c>
      <c r="B36" s="99" t="s">
        <v>1257</v>
      </c>
      <c r="C36" s="123" t="s">
        <v>1243</v>
      </c>
      <c r="D36" s="101">
        <v>0</v>
      </c>
      <c r="E36" s="121"/>
      <c r="F36" s="46"/>
      <c r="G36" s="46">
        <f t="shared" si="2"/>
        <v>0</v>
      </c>
    </row>
    <row r="37" spans="1:7">
      <c r="A37" s="99">
        <v>6</v>
      </c>
      <c r="B37" s="99" t="s">
        <v>1258</v>
      </c>
      <c r="C37" s="123" t="s">
        <v>1244</v>
      </c>
      <c r="D37" s="101">
        <v>1</v>
      </c>
      <c r="E37" s="121"/>
      <c r="F37" s="46"/>
      <c r="G37" s="46">
        <f t="shared" si="2"/>
        <v>1</v>
      </c>
    </row>
    <row r="38" spans="1:7">
      <c r="A38" s="99">
        <v>7</v>
      </c>
      <c r="B38" s="99" t="s">
        <v>1259</v>
      </c>
      <c r="C38" s="123" t="s">
        <v>1245</v>
      </c>
      <c r="D38" s="101">
        <v>2</v>
      </c>
      <c r="E38" s="121"/>
      <c r="F38" s="46"/>
      <c r="G38" s="46">
        <f t="shared" si="2"/>
        <v>2</v>
      </c>
    </row>
    <row r="39" spans="1:7">
      <c r="A39" s="99">
        <v>8</v>
      </c>
      <c r="B39" s="99" t="s">
        <v>1260</v>
      </c>
      <c r="C39" s="123" t="s">
        <v>1246</v>
      </c>
      <c r="D39" s="101">
        <v>1</v>
      </c>
      <c r="E39" s="121"/>
      <c r="F39" s="46"/>
      <c r="G39" s="46">
        <f t="shared" si="2"/>
        <v>1</v>
      </c>
    </row>
    <row r="40" spans="1:7">
      <c r="A40" s="99">
        <v>9</v>
      </c>
      <c r="B40" s="99" t="s">
        <v>1261</v>
      </c>
      <c r="C40" s="123" t="s">
        <v>1247</v>
      </c>
      <c r="D40" s="101">
        <v>0</v>
      </c>
      <c r="E40" s="121"/>
      <c r="F40" s="46"/>
      <c r="G40" s="46">
        <f t="shared" si="2"/>
        <v>0</v>
      </c>
    </row>
    <row r="41" spans="1:7">
      <c r="A41" s="99">
        <v>10</v>
      </c>
      <c r="B41" s="99" t="s">
        <v>1262</v>
      </c>
      <c r="C41" s="123" t="s">
        <v>1238</v>
      </c>
      <c r="D41" s="101">
        <v>4</v>
      </c>
      <c r="E41" s="121"/>
      <c r="F41" s="46"/>
      <c r="G41" s="46">
        <f t="shared" si="2"/>
        <v>4</v>
      </c>
    </row>
    <row r="42" spans="1:7">
      <c r="A42" s="99">
        <v>11</v>
      </c>
      <c r="B42" s="99" t="s">
        <v>1263</v>
      </c>
      <c r="C42" s="123" t="s">
        <v>1248</v>
      </c>
      <c r="D42" s="101">
        <v>0</v>
      </c>
      <c r="E42" s="121"/>
      <c r="F42" s="46"/>
      <c r="G42" s="46">
        <f t="shared" si="2"/>
        <v>0</v>
      </c>
    </row>
    <row r="43" spans="1:7">
      <c r="A43" s="99">
        <v>12</v>
      </c>
      <c r="B43" s="99" t="s">
        <v>1264</v>
      </c>
      <c r="C43" s="123" t="s">
        <v>1249</v>
      </c>
      <c r="D43" s="101">
        <v>0</v>
      </c>
      <c r="E43" s="121"/>
      <c r="F43" s="46"/>
      <c r="G43" s="46">
        <f t="shared" si="2"/>
        <v>0</v>
      </c>
    </row>
    <row r="44" spans="1:7">
      <c r="A44" s="99">
        <v>13</v>
      </c>
      <c r="B44" s="99" t="s">
        <v>1265</v>
      </c>
      <c r="C44" s="123" t="s">
        <v>1250</v>
      </c>
      <c r="D44" s="101">
        <v>0</v>
      </c>
      <c r="E44" s="121"/>
      <c r="F44" s="46"/>
      <c r="G44" s="46">
        <f t="shared" si="2"/>
        <v>0</v>
      </c>
    </row>
    <row r="45" spans="1:7">
      <c r="A45" s="99">
        <v>14</v>
      </c>
      <c r="B45" s="99" t="s">
        <v>1266</v>
      </c>
      <c r="C45" s="123" t="s">
        <v>1251</v>
      </c>
      <c r="D45" s="101">
        <v>0</v>
      </c>
      <c r="E45" s="121"/>
      <c r="F45" s="46"/>
      <c r="G45" s="46">
        <f t="shared" si="2"/>
        <v>0</v>
      </c>
    </row>
    <row r="46" spans="1:7">
      <c r="A46" s="99">
        <v>15</v>
      </c>
      <c r="B46" s="99" t="s">
        <v>1267</v>
      </c>
      <c r="C46" s="123" t="s">
        <v>920</v>
      </c>
      <c r="D46" s="101">
        <v>1</v>
      </c>
      <c r="E46" s="121"/>
      <c r="F46" s="46"/>
      <c r="G46" s="46">
        <f t="shared" si="2"/>
        <v>1</v>
      </c>
    </row>
    <row r="47" spans="1:7">
      <c r="A47" s="99">
        <v>16</v>
      </c>
      <c r="B47" s="99" t="s">
        <v>1268</v>
      </c>
      <c r="C47" s="123" t="s">
        <v>1252</v>
      </c>
      <c r="D47" s="101">
        <v>0</v>
      </c>
      <c r="E47" s="121"/>
      <c r="F47" s="46"/>
      <c r="G47" s="46">
        <f t="shared" si="2"/>
        <v>0</v>
      </c>
    </row>
    <row r="48" spans="1:7">
      <c r="A48" s="99">
        <v>17</v>
      </c>
      <c r="B48" s="99" t="s">
        <v>1269</v>
      </c>
      <c r="C48" s="100" t="s">
        <v>921</v>
      </c>
      <c r="D48" s="101">
        <v>0</v>
      </c>
      <c r="E48" s="121"/>
      <c r="F48" s="46"/>
      <c r="G48" s="46">
        <f t="shared" si="2"/>
        <v>0</v>
      </c>
    </row>
  </sheetData>
  <mergeCells count="2">
    <mergeCell ref="A31:D31"/>
    <mergeCell ref="A2:G2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22"/>
  <dimension ref="A1:G76"/>
  <sheetViews>
    <sheetView workbookViewId="0">
      <selection sqref="A1:XFD1048576"/>
    </sheetView>
  </sheetViews>
  <sheetFormatPr defaultRowHeight="15"/>
  <cols>
    <col min="1" max="1" width="6.85546875" style="25" bestFit="1" customWidth="1"/>
    <col min="2" max="2" width="13.140625" style="25" bestFit="1" customWidth="1"/>
    <col min="3" max="3" width="30.85546875" style="30" bestFit="1" customWidth="1"/>
    <col min="4" max="4" width="11.7109375" style="111" customWidth="1"/>
    <col min="5" max="6" width="9.140625" style="111" customWidth="1"/>
    <col min="7" max="7" width="9.140625" style="111"/>
  </cols>
  <sheetData>
    <row r="1" spans="1:7">
      <c r="A1" s="155" t="s">
        <v>1434</v>
      </c>
      <c r="B1" s="155"/>
      <c r="C1" s="155"/>
      <c r="D1" s="155"/>
    </row>
    <row r="2" spans="1:7">
      <c r="A2" s="113" t="s">
        <v>0</v>
      </c>
      <c r="B2" s="113" t="s">
        <v>232</v>
      </c>
      <c r="C2" s="118" t="s">
        <v>1</v>
      </c>
      <c r="D2" s="114" t="s">
        <v>233</v>
      </c>
      <c r="E2" s="103" t="s">
        <v>218</v>
      </c>
      <c r="F2" s="103" t="s">
        <v>719</v>
      </c>
      <c r="G2" s="103" t="s">
        <v>219</v>
      </c>
    </row>
    <row r="3" spans="1:7" ht="15.75">
      <c r="A3" s="110">
        <v>1</v>
      </c>
      <c r="B3" s="110" t="s">
        <v>1138</v>
      </c>
      <c r="C3" s="119" t="s">
        <v>923</v>
      </c>
      <c r="D3" s="109">
        <v>1</v>
      </c>
      <c r="E3" s="112"/>
      <c r="F3" s="112">
        <v>1</v>
      </c>
      <c r="G3" s="112">
        <f>SUM(D3+E3)-F3</f>
        <v>0</v>
      </c>
    </row>
    <row r="4" spans="1:7" ht="15.75">
      <c r="A4" s="110">
        <v>2</v>
      </c>
      <c r="B4" s="110" t="s">
        <v>1139</v>
      </c>
      <c r="C4" s="119" t="s">
        <v>924</v>
      </c>
      <c r="D4" s="109">
        <v>15</v>
      </c>
      <c r="E4" s="112"/>
      <c r="F4" s="112"/>
      <c r="G4" s="112">
        <f t="shared" ref="G4:G65" si="0">SUM(D4+E4)-F4</f>
        <v>15</v>
      </c>
    </row>
    <row r="5" spans="1:7" ht="15.75">
      <c r="A5" s="110">
        <v>3</v>
      </c>
      <c r="B5" s="110" t="s">
        <v>1140</v>
      </c>
      <c r="C5" s="119" t="s">
        <v>925</v>
      </c>
      <c r="D5" s="109">
        <v>17</v>
      </c>
      <c r="E5" s="112"/>
      <c r="F5" s="112"/>
      <c r="G5" s="112">
        <f t="shared" si="0"/>
        <v>17</v>
      </c>
    </row>
    <row r="6" spans="1:7" ht="15.75">
      <c r="A6" s="110">
        <v>4</v>
      </c>
      <c r="B6" s="110" t="s">
        <v>1141</v>
      </c>
      <c r="C6" s="119" t="s">
        <v>926</v>
      </c>
      <c r="D6" s="109">
        <v>7</v>
      </c>
      <c r="E6" s="112"/>
      <c r="F6" s="112"/>
      <c r="G6" s="112">
        <f t="shared" si="0"/>
        <v>7</v>
      </c>
    </row>
    <row r="7" spans="1:7" ht="15.75">
      <c r="A7" s="110">
        <v>5</v>
      </c>
      <c r="B7" s="110" t="s">
        <v>1142</v>
      </c>
      <c r="C7" s="119" t="s">
        <v>927</v>
      </c>
      <c r="D7" s="109">
        <v>1</v>
      </c>
      <c r="E7" s="112"/>
      <c r="F7" s="112"/>
      <c r="G7" s="112">
        <f t="shared" si="0"/>
        <v>1</v>
      </c>
    </row>
    <row r="8" spans="1:7" ht="15.75">
      <c r="A8" s="110">
        <v>6</v>
      </c>
      <c r="B8" s="110" t="s">
        <v>1143</v>
      </c>
      <c r="C8" s="119" t="s">
        <v>928</v>
      </c>
      <c r="D8" s="109">
        <v>21</v>
      </c>
      <c r="E8" s="112"/>
      <c r="F8" s="112"/>
      <c r="G8" s="112">
        <f t="shared" si="0"/>
        <v>21</v>
      </c>
    </row>
    <row r="9" spans="1:7" ht="15.75">
      <c r="A9" s="110">
        <v>7</v>
      </c>
      <c r="B9" s="110" t="s">
        <v>1144</v>
      </c>
      <c r="C9" s="119" t="s">
        <v>929</v>
      </c>
      <c r="D9" s="109">
        <v>1</v>
      </c>
      <c r="E9" s="112"/>
      <c r="F9" s="112"/>
      <c r="G9" s="112">
        <f t="shared" si="0"/>
        <v>1</v>
      </c>
    </row>
    <row r="10" spans="1:7" ht="15.75">
      <c r="A10" s="110">
        <v>8</v>
      </c>
      <c r="B10" s="110" t="s">
        <v>1145</v>
      </c>
      <c r="C10" s="119" t="s">
        <v>930</v>
      </c>
      <c r="D10" s="109">
        <v>5</v>
      </c>
      <c r="E10" s="112"/>
      <c r="F10" s="112"/>
      <c r="G10" s="112">
        <f t="shared" si="0"/>
        <v>5</v>
      </c>
    </row>
    <row r="11" spans="1:7" ht="15.75">
      <c r="A11" s="110">
        <v>9</v>
      </c>
      <c r="B11" s="110" t="s">
        <v>1146</v>
      </c>
      <c r="C11" s="119" t="s">
        <v>931</v>
      </c>
      <c r="D11" s="109">
        <v>25</v>
      </c>
      <c r="E11" s="112"/>
      <c r="F11" s="112">
        <v>1</v>
      </c>
      <c r="G11" s="112">
        <f t="shared" si="0"/>
        <v>24</v>
      </c>
    </row>
    <row r="12" spans="1:7" ht="15.75">
      <c r="A12" s="110">
        <v>10</v>
      </c>
      <c r="B12" s="110" t="s">
        <v>1147</v>
      </c>
      <c r="C12" s="119" t="s">
        <v>932</v>
      </c>
      <c r="D12" s="109">
        <v>18</v>
      </c>
      <c r="E12" s="112"/>
      <c r="F12" s="112">
        <v>4</v>
      </c>
      <c r="G12" s="112">
        <f t="shared" si="0"/>
        <v>14</v>
      </c>
    </row>
    <row r="13" spans="1:7" ht="15.75">
      <c r="A13" s="110">
        <v>11</v>
      </c>
      <c r="B13" s="110" t="s">
        <v>1148</v>
      </c>
      <c r="C13" s="119" t="s">
        <v>933</v>
      </c>
      <c r="D13" s="109">
        <v>13</v>
      </c>
      <c r="E13" s="112"/>
      <c r="F13" s="112"/>
      <c r="G13" s="112">
        <f t="shared" si="0"/>
        <v>13</v>
      </c>
    </row>
    <row r="14" spans="1:7" ht="15.75">
      <c r="A14" s="110">
        <v>12</v>
      </c>
      <c r="B14" s="110" t="s">
        <v>1149</v>
      </c>
      <c r="C14" s="119" t="s">
        <v>934</v>
      </c>
      <c r="D14" s="109">
        <v>0</v>
      </c>
      <c r="E14" s="112"/>
      <c r="F14" s="112"/>
      <c r="G14" s="112">
        <f t="shared" si="0"/>
        <v>0</v>
      </c>
    </row>
    <row r="15" spans="1:7" ht="15.75">
      <c r="A15" s="110">
        <v>13</v>
      </c>
      <c r="B15" s="110" t="s">
        <v>1150</v>
      </c>
      <c r="C15" s="119" t="s">
        <v>935</v>
      </c>
      <c r="D15" s="109">
        <v>0</v>
      </c>
      <c r="E15" s="112"/>
      <c r="F15" s="112"/>
      <c r="G15" s="112">
        <f t="shared" si="0"/>
        <v>0</v>
      </c>
    </row>
    <row r="16" spans="1:7" ht="15.75">
      <c r="A16" s="110">
        <v>14</v>
      </c>
      <c r="B16" s="110" t="s">
        <v>1151</v>
      </c>
      <c r="C16" s="119" t="s">
        <v>936</v>
      </c>
      <c r="D16" s="109">
        <v>0</v>
      </c>
      <c r="E16" s="112"/>
      <c r="F16" s="112"/>
      <c r="G16" s="112">
        <f t="shared" si="0"/>
        <v>0</v>
      </c>
    </row>
    <row r="17" spans="1:7" ht="15.75">
      <c r="A17" s="110">
        <v>15</v>
      </c>
      <c r="B17" s="110" t="s">
        <v>1152</v>
      </c>
      <c r="C17" s="119" t="s">
        <v>1376</v>
      </c>
      <c r="D17" s="109">
        <v>5</v>
      </c>
      <c r="E17" s="112"/>
      <c r="F17" s="112"/>
      <c r="G17" s="112">
        <f t="shared" si="0"/>
        <v>5</v>
      </c>
    </row>
    <row r="18" spans="1:7" ht="15.75">
      <c r="A18" s="110">
        <v>16</v>
      </c>
      <c r="B18" s="110" t="s">
        <v>1153</v>
      </c>
      <c r="C18" s="119" t="s">
        <v>1189</v>
      </c>
      <c r="D18" s="109">
        <v>6</v>
      </c>
      <c r="E18" s="112"/>
      <c r="F18" s="112"/>
      <c r="G18" s="112">
        <f t="shared" si="0"/>
        <v>6</v>
      </c>
    </row>
    <row r="19" spans="1:7" ht="15.75">
      <c r="A19" s="110">
        <v>17</v>
      </c>
      <c r="B19" s="110" t="s">
        <v>1154</v>
      </c>
      <c r="C19" s="119" t="s">
        <v>1190</v>
      </c>
      <c r="D19" s="109">
        <v>6</v>
      </c>
      <c r="E19" s="112"/>
      <c r="F19" s="112"/>
      <c r="G19" s="112">
        <f t="shared" si="0"/>
        <v>6</v>
      </c>
    </row>
    <row r="20" spans="1:7" ht="15.75">
      <c r="A20" s="110">
        <v>18</v>
      </c>
      <c r="B20" s="110" t="s">
        <v>1155</v>
      </c>
      <c r="C20" s="119" t="s">
        <v>1191</v>
      </c>
      <c r="D20" s="109">
        <v>1</v>
      </c>
      <c r="E20" s="112"/>
      <c r="F20" s="112"/>
      <c r="G20" s="112">
        <f t="shared" si="0"/>
        <v>1</v>
      </c>
    </row>
    <row r="21" spans="1:7" ht="15.75">
      <c r="A21" s="110">
        <v>19</v>
      </c>
      <c r="B21" s="110" t="s">
        <v>1156</v>
      </c>
      <c r="C21" s="119" t="s">
        <v>1192</v>
      </c>
      <c r="D21" s="109">
        <v>2</v>
      </c>
      <c r="E21" s="112"/>
      <c r="F21" s="112"/>
      <c r="G21" s="112">
        <f t="shared" si="0"/>
        <v>2</v>
      </c>
    </row>
    <row r="22" spans="1:7" ht="15.75">
      <c r="A22" s="110">
        <v>20</v>
      </c>
      <c r="B22" s="110" t="s">
        <v>1157</v>
      </c>
      <c r="C22" s="119" t="s">
        <v>1193</v>
      </c>
      <c r="D22" s="109">
        <v>1</v>
      </c>
      <c r="E22" s="112"/>
      <c r="F22" s="112"/>
      <c r="G22" s="112">
        <f t="shared" si="0"/>
        <v>1</v>
      </c>
    </row>
    <row r="23" spans="1:7" ht="15.75">
      <c r="A23" s="110">
        <v>21</v>
      </c>
      <c r="B23" s="110" t="s">
        <v>1158</v>
      </c>
      <c r="C23" s="119" t="s">
        <v>1194</v>
      </c>
      <c r="D23" s="109">
        <v>0</v>
      </c>
      <c r="E23" s="112"/>
      <c r="F23" s="112"/>
      <c r="G23" s="112">
        <f t="shared" si="0"/>
        <v>0</v>
      </c>
    </row>
    <row r="24" spans="1:7" ht="15.75">
      <c r="A24" s="110">
        <v>22</v>
      </c>
      <c r="B24" s="110" t="s">
        <v>1159</v>
      </c>
      <c r="C24" s="119" t="s">
        <v>1195</v>
      </c>
      <c r="D24" s="109">
        <v>0</v>
      </c>
      <c r="E24" s="112"/>
      <c r="F24" s="112"/>
      <c r="G24" s="112">
        <f t="shared" si="0"/>
        <v>0</v>
      </c>
    </row>
    <row r="25" spans="1:7" ht="15.75">
      <c r="A25" s="110">
        <v>23</v>
      </c>
      <c r="B25" s="110" t="s">
        <v>1366</v>
      </c>
      <c r="C25" s="119" t="s">
        <v>1369</v>
      </c>
      <c r="D25" s="109">
        <v>1</v>
      </c>
      <c r="E25" s="112"/>
      <c r="F25" s="112"/>
      <c r="G25" s="112">
        <f t="shared" si="0"/>
        <v>1</v>
      </c>
    </row>
    <row r="26" spans="1:7" ht="15.75">
      <c r="A26" s="110">
        <v>24</v>
      </c>
      <c r="B26" s="110" t="s">
        <v>1367</v>
      </c>
      <c r="C26" s="119" t="s">
        <v>1370</v>
      </c>
      <c r="D26" s="109">
        <v>4</v>
      </c>
      <c r="E26" s="112"/>
      <c r="F26" s="112"/>
      <c r="G26" s="112">
        <f t="shared" si="0"/>
        <v>4</v>
      </c>
    </row>
    <row r="27" spans="1:7" ht="15.75">
      <c r="A27" s="110">
        <v>25</v>
      </c>
      <c r="B27" s="110" t="s">
        <v>1368</v>
      </c>
      <c r="C27" s="119" t="s">
        <v>1371</v>
      </c>
      <c r="D27" s="109">
        <v>3</v>
      </c>
      <c r="E27" s="112"/>
      <c r="F27" s="112"/>
      <c r="G27" s="112">
        <f t="shared" si="0"/>
        <v>3</v>
      </c>
    </row>
    <row r="28" spans="1:7" ht="15.75">
      <c r="A28" s="110">
        <v>26</v>
      </c>
      <c r="B28" s="110" t="s">
        <v>1160</v>
      </c>
      <c r="C28" s="119" t="s">
        <v>937</v>
      </c>
      <c r="D28" s="109">
        <v>0</v>
      </c>
      <c r="E28" s="112"/>
      <c r="F28" s="112"/>
      <c r="G28" s="112">
        <f t="shared" si="0"/>
        <v>0</v>
      </c>
    </row>
    <row r="29" spans="1:7" ht="15.75">
      <c r="A29" s="110">
        <v>27</v>
      </c>
      <c r="B29" s="110" t="s">
        <v>1161</v>
      </c>
      <c r="C29" s="119" t="s">
        <v>938</v>
      </c>
      <c r="D29" s="109">
        <v>5</v>
      </c>
      <c r="E29" s="112"/>
      <c r="F29" s="112"/>
      <c r="G29" s="112">
        <f t="shared" si="0"/>
        <v>5</v>
      </c>
    </row>
    <row r="30" spans="1:7" ht="15.75">
      <c r="A30" s="110">
        <v>28</v>
      </c>
      <c r="B30" s="110" t="s">
        <v>1162</v>
      </c>
      <c r="C30" s="119" t="s">
        <v>939</v>
      </c>
      <c r="D30" s="109">
        <v>9</v>
      </c>
      <c r="E30" s="112"/>
      <c r="F30" s="112"/>
      <c r="G30" s="112">
        <f t="shared" si="0"/>
        <v>9</v>
      </c>
    </row>
    <row r="31" spans="1:7" ht="15.75">
      <c r="A31" s="110">
        <v>29</v>
      </c>
      <c r="B31" s="110" t="s">
        <v>1163</v>
      </c>
      <c r="C31" s="119" t="s">
        <v>940</v>
      </c>
      <c r="D31" s="109">
        <v>32</v>
      </c>
      <c r="E31" s="112"/>
      <c r="F31" s="112"/>
      <c r="G31" s="112">
        <f t="shared" si="0"/>
        <v>32</v>
      </c>
    </row>
    <row r="32" spans="1:7" ht="15.75">
      <c r="A32" s="110">
        <v>30</v>
      </c>
      <c r="B32" s="110" t="s">
        <v>1164</v>
      </c>
      <c r="C32" s="119" t="s">
        <v>941</v>
      </c>
      <c r="D32" s="109">
        <v>25</v>
      </c>
      <c r="E32" s="112"/>
      <c r="F32" s="112"/>
      <c r="G32" s="112">
        <f t="shared" si="0"/>
        <v>25</v>
      </c>
    </row>
    <row r="33" spans="1:7" ht="15.75">
      <c r="A33" s="110">
        <v>31</v>
      </c>
      <c r="B33" s="110" t="s">
        <v>1165</v>
      </c>
      <c r="C33" s="119" t="s">
        <v>942</v>
      </c>
      <c r="D33" s="109">
        <v>12</v>
      </c>
      <c r="E33" s="112"/>
      <c r="F33" s="112"/>
      <c r="G33" s="112">
        <f t="shared" si="0"/>
        <v>12</v>
      </c>
    </row>
    <row r="34" spans="1:7" ht="15.75">
      <c r="A34" s="110">
        <v>32</v>
      </c>
      <c r="B34" s="110" t="s">
        <v>1166</v>
      </c>
      <c r="C34" s="119" t="s">
        <v>943</v>
      </c>
      <c r="D34" s="109">
        <v>4</v>
      </c>
      <c r="E34" s="112"/>
      <c r="F34" s="112"/>
      <c r="G34" s="112">
        <f t="shared" si="0"/>
        <v>4</v>
      </c>
    </row>
    <row r="35" spans="1:7" ht="15.75">
      <c r="A35" s="110">
        <v>33</v>
      </c>
      <c r="B35" s="110" t="s">
        <v>1167</v>
      </c>
      <c r="C35" s="119" t="s">
        <v>944</v>
      </c>
      <c r="D35" s="109">
        <v>1</v>
      </c>
      <c r="E35" s="112"/>
      <c r="F35" s="112"/>
      <c r="G35" s="112">
        <f t="shared" si="0"/>
        <v>1</v>
      </c>
    </row>
    <row r="36" spans="1:7" ht="15.75">
      <c r="A36" s="110">
        <v>34</v>
      </c>
      <c r="B36" s="110" t="s">
        <v>1168</v>
      </c>
      <c r="C36" s="119" t="s">
        <v>945</v>
      </c>
      <c r="D36" s="109">
        <v>0</v>
      </c>
      <c r="E36" s="112"/>
      <c r="F36" s="112"/>
      <c r="G36" s="112">
        <f t="shared" si="0"/>
        <v>0</v>
      </c>
    </row>
    <row r="37" spans="1:7" ht="15.75">
      <c r="A37" s="110">
        <v>35</v>
      </c>
      <c r="B37" s="110" t="s">
        <v>1169</v>
      </c>
      <c r="C37" s="119" t="s">
        <v>946</v>
      </c>
      <c r="D37" s="109">
        <v>0</v>
      </c>
      <c r="E37" s="112"/>
      <c r="F37" s="112"/>
      <c r="G37" s="112">
        <f t="shared" si="0"/>
        <v>0</v>
      </c>
    </row>
    <row r="38" spans="1:7" ht="15.75">
      <c r="A38" s="110">
        <v>36</v>
      </c>
      <c r="B38" s="110" t="s">
        <v>1170</v>
      </c>
      <c r="C38" s="119" t="s">
        <v>947</v>
      </c>
      <c r="D38" s="109">
        <v>7</v>
      </c>
      <c r="E38" s="112"/>
      <c r="F38" s="112">
        <v>2</v>
      </c>
      <c r="G38" s="112">
        <f t="shared" si="0"/>
        <v>5</v>
      </c>
    </row>
    <row r="39" spans="1:7" ht="15.75">
      <c r="A39" s="110">
        <v>37</v>
      </c>
      <c r="B39" s="110" t="s">
        <v>1187</v>
      </c>
      <c r="C39" s="119" t="s">
        <v>1188</v>
      </c>
      <c r="D39" s="109">
        <v>19</v>
      </c>
      <c r="E39" s="112"/>
      <c r="F39" s="112"/>
      <c r="G39" s="112">
        <f t="shared" si="0"/>
        <v>19</v>
      </c>
    </row>
    <row r="40" spans="1:7" ht="15.75">
      <c r="A40" s="110">
        <v>38</v>
      </c>
      <c r="B40" s="110" t="s">
        <v>1364</v>
      </c>
      <c r="C40" s="119" t="s">
        <v>1365</v>
      </c>
      <c r="D40" s="109">
        <v>6</v>
      </c>
      <c r="E40" s="112"/>
      <c r="F40" s="112"/>
      <c r="G40" s="112">
        <f t="shared" si="0"/>
        <v>6</v>
      </c>
    </row>
    <row r="41" spans="1:7" ht="15.75">
      <c r="A41" s="110">
        <v>39</v>
      </c>
      <c r="B41" s="110" t="s">
        <v>1171</v>
      </c>
      <c r="C41" s="119" t="s">
        <v>948</v>
      </c>
      <c r="D41" s="109">
        <v>9</v>
      </c>
      <c r="E41" s="112"/>
      <c r="F41" s="112"/>
      <c r="G41" s="112">
        <f t="shared" si="0"/>
        <v>9</v>
      </c>
    </row>
    <row r="42" spans="1:7" ht="15.75">
      <c r="A42" s="110">
        <v>40</v>
      </c>
      <c r="B42" s="110" t="s">
        <v>1172</v>
      </c>
      <c r="C42" s="119" t="s">
        <v>949</v>
      </c>
      <c r="D42" s="109">
        <v>6</v>
      </c>
      <c r="E42" s="112"/>
      <c r="F42" s="112"/>
      <c r="G42" s="112">
        <f t="shared" si="0"/>
        <v>6</v>
      </c>
    </row>
    <row r="43" spans="1:7" ht="15.75">
      <c r="A43" s="110">
        <v>41</v>
      </c>
      <c r="B43" s="110" t="s">
        <v>1173</v>
      </c>
      <c r="C43" s="119" t="s">
        <v>950</v>
      </c>
      <c r="D43" s="109">
        <v>27</v>
      </c>
      <c r="E43" s="112"/>
      <c r="F43" s="112"/>
      <c r="G43" s="112">
        <f t="shared" si="0"/>
        <v>27</v>
      </c>
    </row>
    <row r="44" spans="1:7" ht="15.75">
      <c r="A44" s="110">
        <v>42</v>
      </c>
      <c r="B44" s="110" t="s">
        <v>1174</v>
      </c>
      <c r="C44" s="119" t="s">
        <v>951</v>
      </c>
      <c r="D44" s="109">
        <v>9</v>
      </c>
      <c r="E44" s="112"/>
      <c r="F44" s="112"/>
      <c r="G44" s="112">
        <f t="shared" si="0"/>
        <v>9</v>
      </c>
    </row>
    <row r="45" spans="1:7" ht="15.75">
      <c r="A45" s="110">
        <v>43</v>
      </c>
      <c r="B45" s="110" t="s">
        <v>1175</v>
      </c>
      <c r="C45" s="119" t="s">
        <v>952</v>
      </c>
      <c r="D45" s="109">
        <v>0</v>
      </c>
      <c r="E45" s="112"/>
      <c r="F45" s="112"/>
      <c r="G45" s="112">
        <f t="shared" si="0"/>
        <v>0</v>
      </c>
    </row>
    <row r="46" spans="1:7" ht="15.75">
      <c r="A46" s="110">
        <v>44</v>
      </c>
      <c r="B46" s="110" t="s">
        <v>1176</v>
      </c>
      <c r="C46" s="119" t="s">
        <v>953</v>
      </c>
      <c r="D46" s="109">
        <v>16</v>
      </c>
      <c r="E46" s="112"/>
      <c r="F46" s="112"/>
      <c r="G46" s="112">
        <f t="shared" si="0"/>
        <v>16</v>
      </c>
    </row>
    <row r="47" spans="1:7" ht="15.75">
      <c r="A47" s="110">
        <v>45</v>
      </c>
      <c r="B47" s="110" t="s">
        <v>1177</v>
      </c>
      <c r="C47" s="119" t="s">
        <v>954</v>
      </c>
      <c r="D47" s="109">
        <v>0</v>
      </c>
      <c r="E47" s="112"/>
      <c r="F47" s="112"/>
      <c r="G47" s="112">
        <f t="shared" si="0"/>
        <v>0</v>
      </c>
    </row>
    <row r="48" spans="1:7" ht="15.75">
      <c r="A48" s="110">
        <v>46</v>
      </c>
      <c r="B48" s="110" t="s">
        <v>1178</v>
      </c>
      <c r="C48" s="119" t="s">
        <v>955</v>
      </c>
      <c r="D48" s="109">
        <v>5</v>
      </c>
      <c r="E48" s="112"/>
      <c r="F48" s="112"/>
      <c r="G48" s="112">
        <f t="shared" si="0"/>
        <v>5</v>
      </c>
    </row>
    <row r="49" spans="1:7" ht="15.75">
      <c r="A49" s="110">
        <v>47</v>
      </c>
      <c r="B49" s="110" t="s">
        <v>1179</v>
      </c>
      <c r="C49" s="119" t="s">
        <v>956</v>
      </c>
      <c r="D49" s="109">
        <v>20</v>
      </c>
      <c r="E49" s="112"/>
      <c r="F49" s="112"/>
      <c r="G49" s="112">
        <f t="shared" si="0"/>
        <v>20</v>
      </c>
    </row>
    <row r="50" spans="1:7" ht="15.75">
      <c r="A50" s="110">
        <v>48</v>
      </c>
      <c r="B50" s="110" t="s">
        <v>1180</v>
      </c>
      <c r="C50" s="119" t="s">
        <v>957</v>
      </c>
      <c r="D50" s="109">
        <v>10</v>
      </c>
      <c r="E50" s="112"/>
      <c r="F50" s="112">
        <v>3</v>
      </c>
      <c r="G50" s="112">
        <f t="shared" si="0"/>
        <v>7</v>
      </c>
    </row>
    <row r="51" spans="1:7" ht="15.75">
      <c r="A51" s="110">
        <v>49</v>
      </c>
      <c r="B51" s="110" t="s">
        <v>1181</v>
      </c>
      <c r="C51" s="119" t="s">
        <v>1134</v>
      </c>
      <c r="D51" s="109">
        <v>6</v>
      </c>
      <c r="E51" s="112"/>
      <c r="F51" s="112"/>
      <c r="G51" s="112">
        <f t="shared" si="0"/>
        <v>6</v>
      </c>
    </row>
    <row r="52" spans="1:7" ht="15.75">
      <c r="A52" s="110">
        <v>50</v>
      </c>
      <c r="B52" s="110" t="s">
        <v>1182</v>
      </c>
      <c r="C52" s="119" t="s">
        <v>1135</v>
      </c>
      <c r="D52" s="109">
        <v>2</v>
      </c>
      <c r="E52" s="112"/>
      <c r="F52" s="112"/>
      <c r="G52" s="112">
        <f t="shared" si="0"/>
        <v>2</v>
      </c>
    </row>
    <row r="53" spans="1:7" ht="15.75">
      <c r="A53" s="110">
        <v>51</v>
      </c>
      <c r="B53" s="110" t="s">
        <v>1183</v>
      </c>
      <c r="C53" s="119" t="s">
        <v>1136</v>
      </c>
      <c r="D53" s="109">
        <v>7</v>
      </c>
      <c r="E53" s="112"/>
      <c r="F53" s="112"/>
      <c r="G53" s="112">
        <f t="shared" si="0"/>
        <v>7</v>
      </c>
    </row>
    <row r="54" spans="1:7" ht="15.75">
      <c r="A54" s="110">
        <v>52</v>
      </c>
      <c r="B54" s="110" t="s">
        <v>1184</v>
      </c>
      <c r="C54" s="119" t="s">
        <v>1137</v>
      </c>
      <c r="D54" s="109">
        <v>4</v>
      </c>
      <c r="E54" s="112"/>
      <c r="F54" s="112"/>
      <c r="G54" s="112">
        <f t="shared" si="0"/>
        <v>4</v>
      </c>
    </row>
    <row r="55" spans="1:7" ht="15.75">
      <c r="A55" s="110">
        <v>53</v>
      </c>
      <c r="B55" s="110" t="s">
        <v>1185</v>
      </c>
      <c r="C55" s="119" t="s">
        <v>958</v>
      </c>
      <c r="D55" s="109">
        <v>6</v>
      </c>
      <c r="E55" s="112"/>
      <c r="F55" s="112"/>
      <c r="G55" s="112">
        <f t="shared" si="0"/>
        <v>6</v>
      </c>
    </row>
    <row r="56" spans="1:7" ht="15.75">
      <c r="A56" s="110">
        <v>54</v>
      </c>
      <c r="B56" s="110" t="s">
        <v>1186</v>
      </c>
      <c r="C56" s="119" t="s">
        <v>958</v>
      </c>
      <c r="D56" s="109">
        <v>0</v>
      </c>
      <c r="E56" s="112"/>
      <c r="F56" s="112"/>
      <c r="G56" s="112">
        <f t="shared" si="0"/>
        <v>0</v>
      </c>
    </row>
    <row r="57" spans="1:7" ht="15.75">
      <c r="A57" s="110">
        <v>55</v>
      </c>
      <c r="B57" s="110" t="s">
        <v>1222</v>
      </c>
      <c r="C57" s="119" t="s">
        <v>1398</v>
      </c>
      <c r="D57" s="112">
        <v>6</v>
      </c>
      <c r="E57" s="112"/>
      <c r="F57" s="112"/>
      <c r="G57" s="112">
        <f t="shared" si="0"/>
        <v>6</v>
      </c>
    </row>
    <row r="58" spans="1:7" ht="15.75">
      <c r="A58" s="110">
        <v>56</v>
      </c>
      <c r="B58" s="110" t="s">
        <v>1397</v>
      </c>
      <c r="C58" s="119" t="s">
        <v>1232</v>
      </c>
      <c r="D58" s="112">
        <v>28</v>
      </c>
      <c r="E58" s="112"/>
      <c r="F58" s="112"/>
      <c r="G58" s="112">
        <f t="shared" ref="G58" si="1">SUM(D58+E58)-F58</f>
        <v>28</v>
      </c>
    </row>
    <row r="59" spans="1:7" ht="15.75">
      <c r="A59" s="110">
        <v>57</v>
      </c>
      <c r="B59" s="110" t="s">
        <v>1224</v>
      </c>
      <c r="C59" s="119" t="s">
        <v>1399</v>
      </c>
      <c r="D59" s="112">
        <v>3</v>
      </c>
      <c r="E59" s="112"/>
      <c r="F59" s="112"/>
      <c r="G59" s="112">
        <f t="shared" si="0"/>
        <v>3</v>
      </c>
    </row>
    <row r="60" spans="1:7" ht="15.75">
      <c r="A60" s="110">
        <v>58</v>
      </c>
      <c r="B60" s="110" t="s">
        <v>1226</v>
      </c>
      <c r="C60" s="119" t="s">
        <v>1223</v>
      </c>
      <c r="D60" s="112">
        <v>31</v>
      </c>
      <c r="E60" s="112"/>
      <c r="F60" s="112"/>
      <c r="G60" s="112">
        <f t="shared" si="0"/>
        <v>31</v>
      </c>
    </row>
    <row r="61" spans="1:7" ht="15.75">
      <c r="A61" s="110">
        <v>59</v>
      </c>
      <c r="B61" s="110" t="s">
        <v>1228</v>
      </c>
      <c r="C61" s="119" t="s">
        <v>1225</v>
      </c>
      <c r="D61" s="112">
        <v>1</v>
      </c>
      <c r="E61" s="112"/>
      <c r="F61" s="112"/>
      <c r="G61" s="112">
        <f t="shared" si="0"/>
        <v>1</v>
      </c>
    </row>
    <row r="62" spans="1:7" ht="15.75">
      <c r="A62" s="110">
        <v>60</v>
      </c>
      <c r="B62" s="110" t="s">
        <v>1230</v>
      </c>
      <c r="C62" s="119" t="s">
        <v>1227</v>
      </c>
      <c r="D62" s="112">
        <v>10</v>
      </c>
      <c r="E62" s="112"/>
      <c r="F62" s="112"/>
      <c r="G62" s="112">
        <f t="shared" si="0"/>
        <v>10</v>
      </c>
    </row>
    <row r="63" spans="1:7" ht="15.75">
      <c r="A63" s="110">
        <v>61</v>
      </c>
      <c r="B63" s="110" t="s">
        <v>1233</v>
      </c>
      <c r="C63" s="119" t="s">
        <v>1229</v>
      </c>
      <c r="D63" s="112">
        <v>2</v>
      </c>
      <c r="E63" s="112"/>
      <c r="F63" s="112"/>
      <c r="G63" s="112">
        <f t="shared" si="0"/>
        <v>2</v>
      </c>
    </row>
    <row r="64" spans="1:7" ht="15.75">
      <c r="A64" s="24">
        <v>62</v>
      </c>
      <c r="B64" s="110" t="s">
        <v>1234</v>
      </c>
      <c r="C64" s="119" t="s">
        <v>1231</v>
      </c>
      <c r="D64" s="112">
        <v>0</v>
      </c>
      <c r="E64" s="112"/>
      <c r="F64" s="112"/>
      <c r="G64" s="112">
        <f t="shared" si="0"/>
        <v>0</v>
      </c>
    </row>
    <row r="65" spans="1:7" ht="15.75">
      <c r="A65" s="24">
        <v>63</v>
      </c>
      <c r="B65" s="24" t="s">
        <v>1380</v>
      </c>
      <c r="C65" s="119" t="s">
        <v>1394</v>
      </c>
      <c r="D65" s="112">
        <v>3</v>
      </c>
      <c r="E65" s="112"/>
      <c r="F65" s="112"/>
      <c r="G65" s="112">
        <f t="shared" si="0"/>
        <v>3</v>
      </c>
    </row>
    <row r="66" spans="1:7" ht="15.75">
      <c r="A66" s="24">
        <v>64</v>
      </c>
      <c r="B66" s="24" t="s">
        <v>1381</v>
      </c>
      <c r="C66" s="119" t="s">
        <v>1377</v>
      </c>
      <c r="D66" s="112">
        <v>21</v>
      </c>
      <c r="E66" s="112"/>
      <c r="F66" s="112"/>
      <c r="G66" s="112">
        <f t="shared" ref="G66" si="2">SUM(D66+E66)-F66</f>
        <v>21</v>
      </c>
    </row>
    <row r="67" spans="1:7" ht="15.75">
      <c r="A67" s="24">
        <v>65</v>
      </c>
      <c r="B67" s="24" t="s">
        <v>1382</v>
      </c>
      <c r="C67" s="119" t="s">
        <v>1378</v>
      </c>
      <c r="D67" s="112">
        <v>46</v>
      </c>
      <c r="E67" s="112"/>
      <c r="F67" s="112">
        <v>1</v>
      </c>
      <c r="G67" s="112">
        <f t="shared" ref="G67" si="3">SUM(D67+E67)-F67</f>
        <v>45</v>
      </c>
    </row>
    <row r="68" spans="1:7" ht="15.75">
      <c r="A68" s="24">
        <v>66</v>
      </c>
      <c r="B68" s="24" t="s">
        <v>1383</v>
      </c>
      <c r="C68" s="119" t="s">
        <v>1379</v>
      </c>
      <c r="D68" s="112">
        <v>9</v>
      </c>
      <c r="E68" s="112"/>
      <c r="F68" s="112"/>
      <c r="G68" s="112">
        <f t="shared" ref="G68" si="4">SUM(D68+E68)-F68</f>
        <v>9</v>
      </c>
    </row>
    <row r="69" spans="1:7" ht="15.75">
      <c r="A69" s="24">
        <v>67</v>
      </c>
      <c r="B69" s="24" t="s">
        <v>1391</v>
      </c>
      <c r="C69" s="119" t="s">
        <v>1393</v>
      </c>
      <c r="D69" s="112">
        <v>65</v>
      </c>
      <c r="E69" s="112"/>
      <c r="F69" s="112"/>
      <c r="G69" s="112">
        <f t="shared" ref="G69:G71" si="5">SUM(D69+E69)-F69</f>
        <v>65</v>
      </c>
    </row>
    <row r="70" spans="1:7" ht="15.75">
      <c r="A70" s="24">
        <v>68</v>
      </c>
      <c r="B70" s="24" t="s">
        <v>1391</v>
      </c>
      <c r="C70" s="119" t="s">
        <v>1392</v>
      </c>
      <c r="D70" s="112">
        <v>6</v>
      </c>
      <c r="E70" s="112"/>
      <c r="F70" s="112"/>
      <c r="G70" s="112">
        <f t="shared" si="5"/>
        <v>6</v>
      </c>
    </row>
    <row r="71" spans="1:7" ht="15.75">
      <c r="A71" s="24">
        <v>69</v>
      </c>
      <c r="B71" s="24" t="s">
        <v>1395</v>
      </c>
      <c r="C71" s="119" t="s">
        <v>1396</v>
      </c>
      <c r="D71" s="112">
        <v>4</v>
      </c>
      <c r="E71" s="112"/>
      <c r="F71" s="112"/>
      <c r="G71" s="112">
        <f t="shared" si="5"/>
        <v>4</v>
      </c>
    </row>
    <row r="72" spans="1:7" ht="15.75">
      <c r="A72" s="24">
        <v>70</v>
      </c>
      <c r="B72" s="24" t="s">
        <v>1384</v>
      </c>
      <c r="C72" s="119" t="s">
        <v>1385</v>
      </c>
      <c r="D72" s="112">
        <v>47</v>
      </c>
      <c r="E72" s="112"/>
      <c r="F72" s="112"/>
      <c r="G72" s="112">
        <f t="shared" ref="G72:G73" si="6">SUM(D72+E72)-F72</f>
        <v>47</v>
      </c>
    </row>
    <row r="73" spans="1:7" ht="15.75">
      <c r="A73" s="24">
        <v>71</v>
      </c>
      <c r="B73" s="24" t="s">
        <v>1386</v>
      </c>
      <c r="C73" s="119" t="s">
        <v>1401</v>
      </c>
      <c r="D73" s="112">
        <v>7</v>
      </c>
      <c r="E73" s="112"/>
      <c r="F73" s="112"/>
      <c r="G73" s="112">
        <f t="shared" si="6"/>
        <v>7</v>
      </c>
    </row>
    <row r="74" spans="1:7" ht="15.75">
      <c r="A74" s="24">
        <v>72</v>
      </c>
      <c r="B74" s="24" t="s">
        <v>1388</v>
      </c>
      <c r="C74" s="119" t="s">
        <v>1387</v>
      </c>
      <c r="D74" s="112">
        <v>21</v>
      </c>
      <c r="E74" s="112"/>
      <c r="F74" s="112">
        <v>1</v>
      </c>
      <c r="G74" s="112">
        <f t="shared" ref="G74" si="7">SUM(D74+E74)-F74</f>
        <v>20</v>
      </c>
    </row>
    <row r="75" spans="1:7" ht="15.75">
      <c r="A75" s="24">
        <v>73</v>
      </c>
      <c r="B75" s="24" t="s">
        <v>1390</v>
      </c>
      <c r="C75" s="119" t="s">
        <v>1389</v>
      </c>
      <c r="D75" s="112">
        <v>27</v>
      </c>
      <c r="E75" s="112"/>
      <c r="F75" s="112">
        <v>1</v>
      </c>
      <c r="G75" s="112">
        <f t="shared" ref="G75" si="8">SUM(D75+E75)-F75</f>
        <v>26</v>
      </c>
    </row>
    <row r="76" spans="1:7" ht="15.75">
      <c r="A76" s="24">
        <v>74</v>
      </c>
      <c r="B76" s="24" t="s">
        <v>1400</v>
      </c>
      <c r="C76" s="119" t="s">
        <v>1402</v>
      </c>
      <c r="D76" s="112">
        <v>15</v>
      </c>
      <c r="E76" s="112"/>
      <c r="F76" s="112"/>
      <c r="G76" s="112">
        <f t="shared" ref="G76" si="9">SUM(D76+E76)-F76</f>
        <v>15</v>
      </c>
    </row>
  </sheetData>
  <pageMargins left="0.7" right="0.7" top="0.75" bottom="0.75" header="0.3" footer="0.3"/>
  <pageSetup paperSize="9" orientation="portrait" r:id="rId1"/>
  <ignoredErrors>
    <ignoredError sqref="G58" formula="1"/>
  </ignoredError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sqref="A1:XFD1048576"/>
    </sheetView>
  </sheetViews>
  <sheetFormatPr defaultRowHeight="15"/>
  <cols>
    <col min="1" max="1" width="6.5703125" style="111" bestFit="1" customWidth="1"/>
    <col min="2" max="2" width="10.7109375" style="25" bestFit="1" customWidth="1"/>
    <col min="3" max="3" width="44.28515625" customWidth="1"/>
    <col min="4" max="7" width="9.28515625" style="111" customWidth="1"/>
  </cols>
  <sheetData>
    <row r="1" spans="1:7">
      <c r="C1" s="25"/>
      <c r="D1" s="25"/>
    </row>
    <row r="2" spans="1:7">
      <c r="A2" s="124" t="s">
        <v>0</v>
      </c>
      <c r="B2" s="124" t="s">
        <v>232</v>
      </c>
      <c r="C2" s="125" t="s">
        <v>1</v>
      </c>
      <c r="D2" s="126" t="s">
        <v>233</v>
      </c>
      <c r="E2" s="127" t="s">
        <v>218</v>
      </c>
      <c r="F2" s="127" t="s">
        <v>719</v>
      </c>
      <c r="G2" s="127" t="s">
        <v>219</v>
      </c>
    </row>
    <row r="3" spans="1:7">
      <c r="A3" s="128">
        <v>1</v>
      </c>
      <c r="B3" s="141" t="s">
        <v>1343</v>
      </c>
      <c r="C3" s="161" t="s">
        <v>1348</v>
      </c>
      <c r="D3" s="141">
        <v>4</v>
      </c>
      <c r="E3" s="141"/>
      <c r="F3" s="141">
        <v>1</v>
      </c>
      <c r="G3" s="141">
        <f>SUM(D3+E3)-F3</f>
        <v>3</v>
      </c>
    </row>
    <row r="4" spans="1:7">
      <c r="A4" s="128">
        <v>2</v>
      </c>
      <c r="B4" s="141" t="s">
        <v>1344</v>
      </c>
      <c r="C4" s="161" t="s">
        <v>1349</v>
      </c>
      <c r="D4" s="141">
        <v>4</v>
      </c>
      <c r="E4" s="141"/>
      <c r="F4" s="141"/>
      <c r="G4" s="141">
        <f t="shared" ref="G4:G7" si="0">SUM(D4+E4)-F4</f>
        <v>4</v>
      </c>
    </row>
    <row r="5" spans="1:7">
      <c r="A5" s="128">
        <v>3</v>
      </c>
      <c r="B5" s="141" t="s">
        <v>1345</v>
      </c>
      <c r="C5" s="129" t="s">
        <v>1235</v>
      </c>
      <c r="D5" s="130">
        <v>15</v>
      </c>
      <c r="E5" s="141"/>
      <c r="F5" s="141"/>
      <c r="G5" s="141">
        <f t="shared" si="0"/>
        <v>15</v>
      </c>
    </row>
    <row r="6" spans="1:7">
      <c r="A6" s="128">
        <v>4</v>
      </c>
      <c r="B6" s="141" t="s">
        <v>1346</v>
      </c>
      <c r="C6" s="129" t="s">
        <v>1236</v>
      </c>
      <c r="D6" s="130">
        <v>12</v>
      </c>
      <c r="E6" s="141"/>
      <c r="F6" s="141">
        <v>1</v>
      </c>
      <c r="G6" s="141">
        <f t="shared" si="0"/>
        <v>11</v>
      </c>
    </row>
    <row r="7" spans="1:7">
      <c r="A7" s="156">
        <v>5</v>
      </c>
      <c r="B7" s="160" t="s">
        <v>1347</v>
      </c>
      <c r="C7" s="157" t="s">
        <v>1403</v>
      </c>
      <c r="D7" s="160">
        <v>4</v>
      </c>
      <c r="E7" s="160"/>
      <c r="F7" s="160"/>
      <c r="G7" s="160">
        <f t="shared" si="0"/>
        <v>4</v>
      </c>
    </row>
    <row r="8" spans="1:7" s="25" customFormat="1" ht="25.5">
      <c r="A8" s="141">
        <v>6</v>
      </c>
      <c r="B8" s="158" t="s">
        <v>1435</v>
      </c>
      <c r="C8" s="159" t="s">
        <v>1436</v>
      </c>
      <c r="D8" s="141">
        <v>20</v>
      </c>
      <c r="E8" s="141"/>
      <c r="F8" s="141"/>
      <c r="G8" s="141">
        <f t="shared" ref="G8" si="1">SUM(D8+E8)-F8</f>
        <v>20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selection sqref="A1:XFD1048576"/>
    </sheetView>
  </sheetViews>
  <sheetFormatPr defaultRowHeight="15"/>
  <cols>
    <col min="2" max="2" width="11.7109375" bestFit="1" customWidth="1"/>
    <col min="3" max="3" width="37" bestFit="1" customWidth="1"/>
    <col min="4" max="4" width="11.7109375" customWidth="1"/>
    <col min="5" max="6" width="9.140625" customWidth="1"/>
  </cols>
  <sheetData>
    <row r="1" spans="1:7">
      <c r="C1" s="131" t="s">
        <v>1354</v>
      </c>
      <c r="D1" s="132"/>
    </row>
    <row r="2" spans="1:7" s="133" customFormat="1" ht="15.75">
      <c r="A2" s="135" t="s">
        <v>0</v>
      </c>
      <c r="B2" s="135" t="s">
        <v>232</v>
      </c>
      <c r="C2" s="136" t="s">
        <v>1</v>
      </c>
      <c r="D2" s="135" t="s">
        <v>233</v>
      </c>
      <c r="E2" s="137" t="s">
        <v>218</v>
      </c>
      <c r="F2" s="137" t="s">
        <v>719</v>
      </c>
      <c r="G2" s="137" t="s">
        <v>219</v>
      </c>
    </row>
    <row r="3" spans="1:7" s="133" customFormat="1" ht="15.75">
      <c r="A3" s="67">
        <v>1</v>
      </c>
      <c r="B3" s="67" t="s">
        <v>1357</v>
      </c>
      <c r="C3" s="134" t="s">
        <v>1356</v>
      </c>
      <c r="D3" s="134">
        <v>100</v>
      </c>
      <c r="E3" s="67"/>
      <c r="F3" s="67"/>
      <c r="G3" s="67">
        <f>SUM(D3+E3)-F3</f>
        <v>100</v>
      </c>
    </row>
    <row r="4" spans="1:7" s="133" customFormat="1" ht="15.75">
      <c r="A4" s="67">
        <v>2</v>
      </c>
      <c r="B4" s="67" t="s">
        <v>1359</v>
      </c>
      <c r="C4" s="134" t="s">
        <v>1358</v>
      </c>
      <c r="D4" s="134">
        <v>120</v>
      </c>
      <c r="E4" s="67"/>
      <c r="F4" s="67">
        <v>20</v>
      </c>
      <c r="G4" s="67">
        <f t="shared" ref="G4:G7" si="0">SUM(D4+E4)-F4</f>
        <v>100</v>
      </c>
    </row>
    <row r="5" spans="1:7" s="133" customFormat="1" ht="15.75">
      <c r="A5" s="67">
        <v>3</v>
      </c>
      <c r="B5" s="67" t="s">
        <v>1360</v>
      </c>
      <c r="C5" s="133" t="s">
        <v>1372</v>
      </c>
      <c r="D5" s="134">
        <v>75</v>
      </c>
      <c r="E5" s="67"/>
      <c r="F5" s="67"/>
      <c r="G5" s="67">
        <f t="shared" si="0"/>
        <v>75</v>
      </c>
    </row>
    <row r="6" spans="1:7" s="133" customFormat="1" ht="15.75">
      <c r="A6" s="67">
        <v>4</v>
      </c>
      <c r="B6" s="67" t="s">
        <v>1404</v>
      </c>
      <c r="C6" s="134" t="s">
        <v>1355</v>
      </c>
      <c r="D6" s="134">
        <v>60</v>
      </c>
      <c r="E6" s="67"/>
      <c r="F6" s="67">
        <v>50</v>
      </c>
      <c r="G6" s="67">
        <f t="shared" si="0"/>
        <v>10</v>
      </c>
    </row>
    <row r="7" spans="1:7" s="133" customFormat="1" ht="15.75">
      <c r="A7" s="67">
        <v>5</v>
      </c>
      <c r="B7" s="67" t="s">
        <v>1405</v>
      </c>
      <c r="C7" s="134" t="s">
        <v>1373</v>
      </c>
      <c r="D7" s="134">
        <v>50</v>
      </c>
      <c r="E7" s="67"/>
      <c r="F7" s="67"/>
      <c r="G7" s="67">
        <f t="shared" si="0"/>
        <v>50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selection sqref="A1:XFD1048576"/>
    </sheetView>
  </sheetViews>
  <sheetFormatPr defaultRowHeight="15"/>
  <cols>
    <col min="2" max="2" width="11.7109375" bestFit="1" customWidth="1"/>
    <col min="3" max="3" width="24.5703125" bestFit="1" customWidth="1"/>
    <col min="4" max="4" width="19.28515625" customWidth="1"/>
    <col min="5" max="5" width="11.7109375" style="30" bestFit="1" customWidth="1"/>
    <col min="6" max="7" width="9.140625" style="30"/>
    <col min="8" max="8" width="10" style="30" bestFit="1" customWidth="1"/>
  </cols>
  <sheetData>
    <row r="1" spans="1:8">
      <c r="A1" s="199" t="s">
        <v>1438</v>
      </c>
      <c r="B1" s="199"/>
      <c r="C1" s="199"/>
      <c r="D1" s="199"/>
      <c r="E1" s="199"/>
      <c r="F1" s="199"/>
      <c r="G1" s="199"/>
      <c r="H1" s="199"/>
    </row>
    <row r="2" spans="1:8" ht="15.75">
      <c r="A2" s="135" t="s">
        <v>0</v>
      </c>
      <c r="B2" s="135" t="s">
        <v>232</v>
      </c>
      <c r="C2" s="135" t="s">
        <v>1</v>
      </c>
      <c r="D2" s="135" t="s">
        <v>1439</v>
      </c>
      <c r="E2" s="135" t="s">
        <v>233</v>
      </c>
      <c r="F2" s="137" t="s">
        <v>218</v>
      </c>
      <c r="G2" s="137" t="s">
        <v>719</v>
      </c>
      <c r="H2" s="137" t="s">
        <v>219</v>
      </c>
    </row>
    <row r="3" spans="1:8" ht="19.5" customHeight="1">
      <c r="A3" s="24">
        <v>1</v>
      </c>
      <c r="B3" s="24" t="s">
        <v>1437</v>
      </c>
      <c r="C3" s="31" t="s">
        <v>1441</v>
      </c>
      <c r="D3" s="24">
        <v>6211472200</v>
      </c>
      <c r="E3" s="24">
        <v>2</v>
      </c>
      <c r="F3" s="24"/>
      <c r="G3" s="24"/>
      <c r="H3" s="24">
        <f>SUM(E3+F3)-G3</f>
        <v>2</v>
      </c>
    </row>
    <row r="4" spans="1:8" ht="19.5" customHeight="1">
      <c r="A4" s="24">
        <v>2</v>
      </c>
      <c r="B4" s="24" t="s">
        <v>1440</v>
      </c>
      <c r="C4" s="31" t="s">
        <v>1442</v>
      </c>
      <c r="D4" s="24">
        <v>6211472350</v>
      </c>
      <c r="E4" s="24">
        <v>4</v>
      </c>
      <c r="F4" s="24"/>
      <c r="G4" s="24"/>
      <c r="H4" s="24">
        <f t="shared" ref="H4:H11" si="0">SUM(E4+F4)-G4</f>
        <v>4</v>
      </c>
    </row>
    <row r="5" spans="1:8" ht="19.5" customHeight="1">
      <c r="A5" s="24">
        <v>3</v>
      </c>
      <c r="B5" s="24" t="s">
        <v>1443</v>
      </c>
      <c r="C5" s="31" t="s">
        <v>1450</v>
      </c>
      <c r="D5" s="24">
        <v>1622878688</v>
      </c>
      <c r="E5" s="24">
        <v>1</v>
      </c>
      <c r="F5" s="24"/>
      <c r="G5" s="24"/>
      <c r="H5" s="24">
        <f t="shared" si="0"/>
        <v>1</v>
      </c>
    </row>
    <row r="6" spans="1:8" ht="19.5" customHeight="1">
      <c r="A6" s="24">
        <v>4</v>
      </c>
      <c r="B6" s="24" t="s">
        <v>1444</v>
      </c>
      <c r="C6" s="31" t="s">
        <v>1451</v>
      </c>
      <c r="D6" s="24">
        <v>16231810801</v>
      </c>
      <c r="E6" s="24">
        <v>1</v>
      </c>
      <c r="F6" s="24"/>
      <c r="G6" s="24"/>
      <c r="H6" s="24">
        <f t="shared" si="0"/>
        <v>1</v>
      </c>
    </row>
    <row r="7" spans="1:8" ht="19.5" customHeight="1">
      <c r="A7" s="24">
        <v>5</v>
      </c>
      <c r="B7" s="24" t="s">
        <v>1445</v>
      </c>
      <c r="C7" s="31" t="s">
        <v>1452</v>
      </c>
      <c r="D7" s="24">
        <v>1089862110</v>
      </c>
      <c r="E7" s="24">
        <v>1</v>
      </c>
      <c r="F7" s="24"/>
      <c r="G7" s="24"/>
      <c r="H7" s="24">
        <f t="shared" si="0"/>
        <v>1</v>
      </c>
    </row>
    <row r="8" spans="1:8" ht="19.5" customHeight="1">
      <c r="A8" s="24">
        <v>6</v>
      </c>
      <c r="B8" s="24" t="s">
        <v>1446</v>
      </c>
      <c r="C8" s="31" t="s">
        <v>1453</v>
      </c>
      <c r="D8" s="24">
        <v>6211473750</v>
      </c>
      <c r="E8" s="24">
        <v>1</v>
      </c>
      <c r="F8" s="24"/>
      <c r="G8" s="24"/>
      <c r="H8" s="24">
        <f t="shared" si="0"/>
        <v>1</v>
      </c>
    </row>
    <row r="9" spans="1:8" ht="19.5" customHeight="1">
      <c r="A9" s="24">
        <v>7</v>
      </c>
      <c r="B9" s="24" t="s">
        <v>1447</v>
      </c>
      <c r="C9" s="31" t="s">
        <v>1454</v>
      </c>
      <c r="D9" s="24">
        <v>6221372650</v>
      </c>
      <c r="E9" s="24">
        <v>1</v>
      </c>
      <c r="F9" s="24"/>
      <c r="G9" s="24"/>
      <c r="H9" s="24">
        <f t="shared" si="0"/>
        <v>1</v>
      </c>
    </row>
    <row r="10" spans="1:8" ht="19.5" customHeight="1">
      <c r="A10" s="24">
        <v>8</v>
      </c>
      <c r="B10" s="24" t="s">
        <v>1448</v>
      </c>
      <c r="C10" s="31" t="s">
        <v>1455</v>
      </c>
      <c r="D10" s="24">
        <v>6211472550</v>
      </c>
      <c r="E10" s="24">
        <v>1</v>
      </c>
      <c r="F10" s="24"/>
      <c r="G10" s="24"/>
      <c r="H10" s="24">
        <f t="shared" si="0"/>
        <v>1</v>
      </c>
    </row>
    <row r="11" spans="1:8" ht="19.5" customHeight="1">
      <c r="A11" s="24">
        <v>9</v>
      </c>
      <c r="B11" s="24" t="s">
        <v>1449</v>
      </c>
      <c r="C11" s="31" t="s">
        <v>1456</v>
      </c>
      <c r="D11" s="24">
        <v>2258293201</v>
      </c>
      <c r="E11" s="24">
        <v>2</v>
      </c>
      <c r="F11" s="24"/>
      <c r="G11" s="24"/>
      <c r="H11" s="24">
        <f t="shared" si="0"/>
        <v>2</v>
      </c>
    </row>
  </sheetData>
  <mergeCells count="1">
    <mergeCell ref="A1:H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sqref="A1:XFD1048576"/>
    </sheetView>
  </sheetViews>
  <sheetFormatPr defaultRowHeight="15"/>
  <cols>
    <col min="2" max="2" width="11.7109375" bestFit="1" customWidth="1"/>
    <col min="3" max="3" width="23.85546875" bestFit="1" customWidth="1"/>
    <col min="4" max="4" width="11.7109375" bestFit="1" customWidth="1"/>
  </cols>
  <sheetData>
    <row r="1" spans="1:7">
      <c r="A1" s="199" t="s">
        <v>1468</v>
      </c>
      <c r="B1" s="199"/>
      <c r="C1" s="199"/>
      <c r="D1" s="199"/>
      <c r="E1" s="199"/>
      <c r="F1" s="199"/>
      <c r="G1" s="199"/>
    </row>
    <row r="2" spans="1:7" ht="15.75">
      <c r="A2" s="135" t="s">
        <v>0</v>
      </c>
      <c r="B2" s="135" t="s">
        <v>232</v>
      </c>
      <c r="C2" s="135" t="s">
        <v>1</v>
      </c>
      <c r="D2" s="135" t="s">
        <v>233</v>
      </c>
      <c r="E2" s="137" t="s">
        <v>218</v>
      </c>
      <c r="F2" s="137" t="s">
        <v>719</v>
      </c>
      <c r="G2" s="137" t="s">
        <v>219</v>
      </c>
    </row>
    <row r="3" spans="1:7">
      <c r="A3" s="24">
        <v>1</v>
      </c>
      <c r="B3" s="24" t="s">
        <v>1469</v>
      </c>
      <c r="C3" s="31" t="s">
        <v>1470</v>
      </c>
      <c r="D3" s="24">
        <v>1</v>
      </c>
      <c r="E3" s="24"/>
      <c r="F3" s="24"/>
      <c r="G3" s="24">
        <f>SUM(D3+E3)-F3</f>
        <v>1</v>
      </c>
    </row>
    <row r="4" spans="1:7">
      <c r="A4" s="24">
        <v>2</v>
      </c>
      <c r="B4" s="24" t="s">
        <v>1471</v>
      </c>
      <c r="C4" s="31" t="s">
        <v>1475</v>
      </c>
      <c r="D4" s="24">
        <v>1</v>
      </c>
      <c r="E4" s="24"/>
      <c r="F4" s="24"/>
      <c r="G4" s="24">
        <f t="shared" ref="G4:G8" si="0">SUM(D4+E4)-F4</f>
        <v>1</v>
      </c>
    </row>
    <row r="5" spans="1:7">
      <c r="A5" s="24">
        <v>3</v>
      </c>
      <c r="B5" s="24" t="s">
        <v>1472</v>
      </c>
      <c r="C5" s="31" t="s">
        <v>1476</v>
      </c>
      <c r="D5" s="24">
        <v>1</v>
      </c>
      <c r="E5" s="24"/>
      <c r="F5" s="24"/>
      <c r="G5" s="24">
        <f t="shared" si="0"/>
        <v>1</v>
      </c>
    </row>
    <row r="6" spans="1:7">
      <c r="A6" s="24">
        <v>4</v>
      </c>
      <c r="B6" s="24" t="s">
        <v>1473</v>
      </c>
      <c r="C6" s="31" t="s">
        <v>1477</v>
      </c>
      <c r="D6" s="24">
        <v>1</v>
      </c>
      <c r="E6" s="24"/>
      <c r="F6" s="24"/>
      <c r="G6" s="24">
        <f t="shared" si="0"/>
        <v>1</v>
      </c>
    </row>
    <row r="7" spans="1:7">
      <c r="A7" s="24">
        <v>5</v>
      </c>
      <c r="B7" s="24" t="s">
        <v>1474</v>
      </c>
      <c r="C7" s="31" t="s">
        <v>1478</v>
      </c>
      <c r="D7" s="24">
        <v>1</v>
      </c>
      <c r="E7" s="24"/>
      <c r="F7" s="24"/>
      <c r="G7" s="24">
        <f t="shared" si="0"/>
        <v>1</v>
      </c>
    </row>
    <row r="8" spans="1:7">
      <c r="A8" s="24">
        <v>6</v>
      </c>
      <c r="B8" s="24" t="s">
        <v>1479</v>
      </c>
      <c r="C8" s="31" t="s">
        <v>1480</v>
      </c>
      <c r="D8" s="24">
        <v>0</v>
      </c>
      <c r="E8" s="24"/>
      <c r="F8" s="24"/>
      <c r="G8" s="24">
        <f t="shared" si="0"/>
        <v>0</v>
      </c>
    </row>
  </sheetData>
  <mergeCells count="1">
    <mergeCell ref="A1:G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78"/>
  <sheetViews>
    <sheetView topLeftCell="A52" workbookViewId="0">
      <selection activeCell="J65" sqref="J65:J67"/>
    </sheetView>
  </sheetViews>
  <sheetFormatPr defaultRowHeight="15"/>
  <cols>
    <col min="1" max="1" width="3.85546875" customWidth="1"/>
    <col min="2" max="2" width="11.7109375" bestFit="1" customWidth="1"/>
    <col min="3" max="3" width="38.7109375" bestFit="1" customWidth="1"/>
    <col min="4" max="4" width="10" bestFit="1" customWidth="1"/>
    <col min="5" max="5" width="10.5703125" style="30" bestFit="1" customWidth="1"/>
    <col min="6" max="6" width="8.42578125" bestFit="1" customWidth="1"/>
    <col min="7" max="7" width="5.85546875" bestFit="1" customWidth="1"/>
    <col min="8" max="8" width="9.140625" bestFit="1" customWidth="1"/>
  </cols>
  <sheetData>
    <row r="1" spans="1:10">
      <c r="A1" s="151" t="s">
        <v>1133</v>
      </c>
      <c r="B1" s="152"/>
      <c r="C1" s="152"/>
      <c r="D1" s="152"/>
      <c r="E1" s="152"/>
      <c r="F1" s="152"/>
      <c r="G1" s="152"/>
      <c r="H1" s="153"/>
      <c r="I1" s="175"/>
      <c r="J1" s="175"/>
    </row>
    <row r="2" spans="1:10">
      <c r="A2" s="164" t="s">
        <v>0</v>
      </c>
      <c r="B2" s="165" t="s">
        <v>232</v>
      </c>
      <c r="C2" s="164" t="s">
        <v>1</v>
      </c>
      <c r="D2" s="164" t="s">
        <v>361</v>
      </c>
      <c r="E2" s="164" t="s">
        <v>233</v>
      </c>
      <c r="F2" s="45" t="s">
        <v>218</v>
      </c>
      <c r="G2" s="45" t="s">
        <v>719</v>
      </c>
      <c r="H2" s="45" t="s">
        <v>219</v>
      </c>
      <c r="I2" s="102"/>
      <c r="J2" s="46" t="s">
        <v>1429</v>
      </c>
    </row>
    <row r="3" spans="1:10">
      <c r="A3" s="95">
        <v>1</v>
      </c>
      <c r="B3" s="95" t="s">
        <v>1005</v>
      </c>
      <c r="C3" s="96" t="s">
        <v>1006</v>
      </c>
      <c r="D3" s="95" t="s">
        <v>1007</v>
      </c>
      <c r="E3" s="95">
        <v>500</v>
      </c>
      <c r="F3" s="95"/>
      <c r="G3" s="95">
        <v>8</v>
      </c>
      <c r="H3" s="45">
        <f t="shared" ref="H3:H34" si="0">SUM(E3+F3)-G3</f>
        <v>492</v>
      </c>
      <c r="I3" s="175"/>
      <c r="J3" s="175"/>
    </row>
    <row r="4" spans="1:10">
      <c r="A4" s="95">
        <v>2</v>
      </c>
      <c r="B4" s="95" t="s">
        <v>1008</v>
      </c>
      <c r="C4" s="96" t="s">
        <v>1009</v>
      </c>
      <c r="D4" s="95" t="s">
        <v>1007</v>
      </c>
      <c r="E4" s="95">
        <v>45</v>
      </c>
      <c r="F4" s="95"/>
      <c r="G4" s="95">
        <v>4</v>
      </c>
      <c r="H4" s="45">
        <f t="shared" si="0"/>
        <v>41</v>
      </c>
      <c r="I4" s="175"/>
      <c r="J4" s="175"/>
    </row>
    <row r="5" spans="1:10">
      <c r="A5" s="95">
        <v>3</v>
      </c>
      <c r="B5" s="95" t="s">
        <v>1010</v>
      </c>
      <c r="C5" s="96" t="s">
        <v>1011</v>
      </c>
      <c r="D5" s="95" t="s">
        <v>1007</v>
      </c>
      <c r="E5" s="95">
        <v>320</v>
      </c>
      <c r="F5" s="95"/>
      <c r="G5" s="95">
        <v>4</v>
      </c>
      <c r="H5" s="45">
        <f t="shared" si="0"/>
        <v>316</v>
      </c>
      <c r="I5" s="175"/>
      <c r="J5" s="175"/>
    </row>
    <row r="6" spans="1:10">
      <c r="A6" s="95">
        <v>4</v>
      </c>
      <c r="B6" s="95" t="s">
        <v>1012</v>
      </c>
      <c r="C6" s="96" t="s">
        <v>1013</v>
      </c>
      <c r="D6" s="95" t="s">
        <v>1007</v>
      </c>
      <c r="E6" s="95">
        <v>200</v>
      </c>
      <c r="F6" s="95"/>
      <c r="G6" s="95"/>
      <c r="H6" s="45">
        <f t="shared" si="0"/>
        <v>200</v>
      </c>
      <c r="I6" s="175"/>
      <c r="J6" s="175"/>
    </row>
    <row r="7" spans="1:10">
      <c r="A7" s="95">
        <v>5</v>
      </c>
      <c r="B7" s="95" t="s">
        <v>1014</v>
      </c>
      <c r="C7" s="96" t="s">
        <v>1015</v>
      </c>
      <c r="D7" s="95" t="s">
        <v>1007</v>
      </c>
      <c r="E7" s="95">
        <v>100</v>
      </c>
      <c r="F7" s="95"/>
      <c r="G7" s="95"/>
      <c r="H7" s="45">
        <f t="shared" si="0"/>
        <v>100</v>
      </c>
      <c r="I7" s="175"/>
      <c r="J7" s="175"/>
    </row>
    <row r="8" spans="1:10">
      <c r="A8" s="95">
        <v>6</v>
      </c>
      <c r="B8" s="95" t="s">
        <v>1016</v>
      </c>
      <c r="C8" s="96" t="s">
        <v>1017</v>
      </c>
      <c r="D8" s="95" t="s">
        <v>1007</v>
      </c>
      <c r="E8" s="95">
        <v>100</v>
      </c>
      <c r="F8" s="95"/>
      <c r="G8" s="95"/>
      <c r="H8" s="45">
        <f t="shared" si="0"/>
        <v>100</v>
      </c>
      <c r="I8" s="175"/>
      <c r="J8" s="175"/>
    </row>
    <row r="9" spans="1:10">
      <c r="A9" s="95">
        <v>7</v>
      </c>
      <c r="B9" s="95" t="s">
        <v>1018</v>
      </c>
      <c r="C9" s="96" t="s">
        <v>1019</v>
      </c>
      <c r="D9" s="95" t="s">
        <v>1007</v>
      </c>
      <c r="E9" s="95">
        <v>300</v>
      </c>
      <c r="F9" s="95"/>
      <c r="G9" s="95"/>
      <c r="H9" s="45">
        <f t="shared" si="0"/>
        <v>300</v>
      </c>
      <c r="I9" s="175"/>
      <c r="J9" s="175"/>
    </row>
    <row r="10" spans="1:10">
      <c r="A10" s="95">
        <v>8</v>
      </c>
      <c r="B10" s="95" t="s">
        <v>1020</v>
      </c>
      <c r="C10" s="96" t="s">
        <v>1021</v>
      </c>
      <c r="D10" s="95" t="s">
        <v>1007</v>
      </c>
      <c r="E10" s="95">
        <v>250</v>
      </c>
      <c r="F10" s="95"/>
      <c r="G10" s="95">
        <v>16</v>
      </c>
      <c r="H10" s="45">
        <f t="shared" si="0"/>
        <v>234</v>
      </c>
      <c r="I10" s="175"/>
      <c r="J10" s="175"/>
    </row>
    <row r="11" spans="1:10">
      <c r="A11" s="95">
        <v>9</v>
      </c>
      <c r="B11" s="95" t="s">
        <v>1022</v>
      </c>
      <c r="C11" s="96" t="s">
        <v>1023</v>
      </c>
      <c r="D11" s="95" t="s">
        <v>1007</v>
      </c>
      <c r="E11" s="95">
        <v>200</v>
      </c>
      <c r="F11" s="95"/>
      <c r="G11" s="95">
        <v>1</v>
      </c>
      <c r="H11" s="45">
        <f t="shared" si="0"/>
        <v>199</v>
      </c>
      <c r="I11" s="175"/>
      <c r="J11" s="175"/>
    </row>
    <row r="12" spans="1:10">
      <c r="A12" s="95">
        <v>10</v>
      </c>
      <c r="B12" s="95" t="s">
        <v>1024</v>
      </c>
      <c r="C12" s="96" t="s">
        <v>1025</v>
      </c>
      <c r="D12" s="95" t="s">
        <v>1007</v>
      </c>
      <c r="E12" s="95">
        <v>150</v>
      </c>
      <c r="F12" s="95"/>
      <c r="G12" s="95">
        <v>16</v>
      </c>
      <c r="H12" s="45">
        <f t="shared" si="0"/>
        <v>134</v>
      </c>
      <c r="I12" s="175"/>
      <c r="J12" s="175"/>
    </row>
    <row r="13" spans="1:10">
      <c r="A13" s="95">
        <v>11</v>
      </c>
      <c r="B13" s="95" t="s">
        <v>1026</v>
      </c>
      <c r="C13" s="96" t="s">
        <v>1027</v>
      </c>
      <c r="D13" s="95" t="s">
        <v>1007</v>
      </c>
      <c r="E13" s="95">
        <v>100</v>
      </c>
      <c r="F13" s="95"/>
      <c r="G13" s="95">
        <v>11</v>
      </c>
      <c r="H13" s="45">
        <f t="shared" si="0"/>
        <v>89</v>
      </c>
      <c r="I13" s="175"/>
      <c r="J13" s="175"/>
    </row>
    <row r="14" spans="1:10">
      <c r="A14" s="95">
        <v>12</v>
      </c>
      <c r="B14" s="95" t="s">
        <v>1028</v>
      </c>
      <c r="C14" s="96" t="s">
        <v>1029</v>
      </c>
      <c r="D14" s="95" t="s">
        <v>1007</v>
      </c>
      <c r="E14" s="95">
        <v>70</v>
      </c>
      <c r="F14" s="95"/>
      <c r="G14" s="95"/>
      <c r="H14" s="45">
        <f t="shared" si="0"/>
        <v>70</v>
      </c>
      <c r="I14" s="175"/>
      <c r="J14" s="175"/>
    </row>
    <row r="15" spans="1:10">
      <c r="A15" s="95">
        <v>13</v>
      </c>
      <c r="B15" s="95" t="s">
        <v>1030</v>
      </c>
      <c r="C15" s="96" t="s">
        <v>1031</v>
      </c>
      <c r="D15" s="95" t="s">
        <v>1007</v>
      </c>
      <c r="E15" s="95">
        <v>100</v>
      </c>
      <c r="F15" s="95"/>
      <c r="G15" s="95"/>
      <c r="H15" s="45">
        <f t="shared" si="0"/>
        <v>100</v>
      </c>
      <c r="I15" s="175"/>
      <c r="J15" s="175"/>
    </row>
    <row r="16" spans="1:10">
      <c r="A16" s="95">
        <v>14</v>
      </c>
      <c r="B16" s="95" t="s">
        <v>1032</v>
      </c>
      <c r="C16" s="96" t="s">
        <v>1033</v>
      </c>
      <c r="D16" s="95" t="s">
        <v>1007</v>
      </c>
      <c r="E16" s="95">
        <v>50</v>
      </c>
      <c r="F16" s="95"/>
      <c r="G16" s="95"/>
      <c r="H16" s="45">
        <f t="shared" si="0"/>
        <v>50</v>
      </c>
      <c r="I16" s="175"/>
      <c r="J16" s="175"/>
    </row>
    <row r="17" spans="1:10">
      <c r="A17" s="95">
        <v>15</v>
      </c>
      <c r="B17" s="95" t="s">
        <v>1034</v>
      </c>
      <c r="C17" s="96" t="s">
        <v>1035</v>
      </c>
      <c r="D17" s="95" t="s">
        <v>1007</v>
      </c>
      <c r="E17" s="95">
        <v>50</v>
      </c>
      <c r="F17" s="95"/>
      <c r="G17" s="95"/>
      <c r="H17" s="45">
        <f t="shared" si="0"/>
        <v>50</v>
      </c>
      <c r="I17" s="175"/>
      <c r="J17" s="175"/>
    </row>
    <row r="18" spans="1:10">
      <c r="A18" s="95">
        <v>16</v>
      </c>
      <c r="B18" s="95" t="s">
        <v>1036</v>
      </c>
      <c r="C18" s="96" t="s">
        <v>1132</v>
      </c>
      <c r="D18" s="95" t="s">
        <v>1007</v>
      </c>
      <c r="E18" s="95">
        <v>250</v>
      </c>
      <c r="F18" s="95"/>
      <c r="G18" s="95"/>
      <c r="H18" s="45">
        <f t="shared" si="0"/>
        <v>250</v>
      </c>
      <c r="I18" s="175"/>
      <c r="J18" s="175"/>
    </row>
    <row r="19" spans="1:10">
      <c r="A19" s="95">
        <v>17</v>
      </c>
      <c r="B19" s="95" t="s">
        <v>1036</v>
      </c>
      <c r="C19" s="96" t="s">
        <v>1037</v>
      </c>
      <c r="D19" s="95" t="s">
        <v>1007</v>
      </c>
      <c r="E19" s="95">
        <v>20</v>
      </c>
      <c r="F19" s="95"/>
      <c r="G19" s="95"/>
      <c r="H19" s="45">
        <f t="shared" si="0"/>
        <v>20</v>
      </c>
      <c r="I19" s="175"/>
      <c r="J19" s="175"/>
    </row>
    <row r="20" spans="1:10">
      <c r="A20" s="45">
        <v>18</v>
      </c>
      <c r="B20" s="46" t="s">
        <v>1038</v>
      </c>
      <c r="C20" s="106" t="s">
        <v>1039</v>
      </c>
      <c r="D20" s="45" t="s">
        <v>1007</v>
      </c>
      <c r="E20" s="45">
        <v>0</v>
      </c>
      <c r="F20" s="45"/>
      <c r="G20" s="45"/>
      <c r="H20" s="45">
        <f t="shared" si="0"/>
        <v>0</v>
      </c>
      <c r="I20" s="175"/>
      <c r="J20" s="175"/>
    </row>
    <row r="21" spans="1:10">
      <c r="A21" s="45">
        <v>19</v>
      </c>
      <c r="B21" s="46" t="s">
        <v>1040</v>
      </c>
      <c r="C21" s="106" t="s">
        <v>1041</v>
      </c>
      <c r="D21" s="45" t="s">
        <v>1007</v>
      </c>
      <c r="E21" s="45">
        <v>0</v>
      </c>
      <c r="F21" s="45"/>
      <c r="G21" s="45"/>
      <c r="H21" s="45">
        <f t="shared" si="0"/>
        <v>0</v>
      </c>
      <c r="I21" s="175"/>
      <c r="J21" s="175"/>
    </row>
    <row r="22" spans="1:10">
      <c r="A22" s="45">
        <v>20</v>
      </c>
      <c r="B22" s="46" t="s">
        <v>1042</v>
      </c>
      <c r="C22" s="106" t="s">
        <v>1043</v>
      </c>
      <c r="D22" s="45" t="s">
        <v>1007</v>
      </c>
      <c r="E22" s="45">
        <v>0</v>
      </c>
      <c r="F22" s="45"/>
      <c r="G22" s="45"/>
      <c r="H22" s="45">
        <f t="shared" si="0"/>
        <v>0</v>
      </c>
      <c r="I22" s="175"/>
      <c r="J22" s="175"/>
    </row>
    <row r="23" spans="1:10">
      <c r="A23" s="45">
        <v>21</v>
      </c>
      <c r="B23" s="46" t="s">
        <v>1044</v>
      </c>
      <c r="C23" s="106" t="s">
        <v>1045</v>
      </c>
      <c r="D23" s="45" t="s">
        <v>1007</v>
      </c>
      <c r="E23" s="45">
        <v>0</v>
      </c>
      <c r="F23" s="45"/>
      <c r="G23" s="45"/>
      <c r="H23" s="45">
        <f t="shared" si="0"/>
        <v>0</v>
      </c>
      <c r="I23" s="175"/>
      <c r="J23" s="175"/>
    </row>
    <row r="24" spans="1:10">
      <c r="A24" s="45">
        <v>22</v>
      </c>
      <c r="B24" s="46" t="s">
        <v>1406</v>
      </c>
      <c r="C24" s="106" t="s">
        <v>1415</v>
      </c>
      <c r="D24" s="45" t="s">
        <v>1007</v>
      </c>
      <c r="E24" s="45">
        <v>200</v>
      </c>
      <c r="F24" s="45"/>
      <c r="G24" s="45"/>
      <c r="H24" s="45">
        <f t="shared" si="0"/>
        <v>200</v>
      </c>
      <c r="I24" s="175"/>
      <c r="J24" s="176" t="s">
        <v>1407</v>
      </c>
    </row>
    <row r="25" spans="1:10">
      <c r="A25" s="45">
        <v>23</v>
      </c>
      <c r="B25" s="46" t="s">
        <v>1046</v>
      </c>
      <c r="C25" s="106" t="s">
        <v>1047</v>
      </c>
      <c r="D25" s="45">
        <v>7318</v>
      </c>
      <c r="E25" s="45">
        <v>29</v>
      </c>
      <c r="F25" s="45"/>
      <c r="G25" s="45"/>
      <c r="H25" s="45">
        <f t="shared" si="0"/>
        <v>29</v>
      </c>
      <c r="I25" s="175"/>
      <c r="J25" s="175"/>
    </row>
    <row r="26" spans="1:10">
      <c r="A26" s="45">
        <v>24</v>
      </c>
      <c r="B26" s="46" t="s">
        <v>1048</v>
      </c>
      <c r="C26" s="104" t="s">
        <v>1049</v>
      </c>
      <c r="D26" s="45">
        <v>7318</v>
      </c>
      <c r="E26" s="45">
        <v>24</v>
      </c>
      <c r="F26" s="45"/>
      <c r="G26" s="45"/>
      <c r="H26" s="45">
        <f t="shared" si="0"/>
        <v>24</v>
      </c>
      <c r="I26" s="175"/>
      <c r="J26" s="175"/>
    </row>
    <row r="27" spans="1:10">
      <c r="A27" s="45">
        <v>25</v>
      </c>
      <c r="B27" s="46" t="s">
        <v>1050</v>
      </c>
      <c r="C27" s="104" t="s">
        <v>1051</v>
      </c>
      <c r="D27" s="45">
        <v>7318</v>
      </c>
      <c r="E27" s="45">
        <v>19</v>
      </c>
      <c r="F27" s="45"/>
      <c r="G27" s="45"/>
      <c r="H27" s="45">
        <f t="shared" si="0"/>
        <v>19</v>
      </c>
      <c r="I27" s="175"/>
      <c r="J27" s="175"/>
    </row>
    <row r="28" spans="1:10">
      <c r="A28" s="45">
        <v>26</v>
      </c>
      <c r="B28" s="46" t="s">
        <v>1052</v>
      </c>
      <c r="C28" s="104" t="s">
        <v>1053</v>
      </c>
      <c r="D28" s="45">
        <v>7318</v>
      </c>
      <c r="E28" s="45">
        <v>43</v>
      </c>
      <c r="F28" s="45"/>
      <c r="G28" s="45"/>
      <c r="H28" s="45">
        <f t="shared" si="0"/>
        <v>43</v>
      </c>
      <c r="I28" s="175"/>
      <c r="J28" s="175"/>
    </row>
    <row r="29" spans="1:10">
      <c r="A29" s="45">
        <v>27</v>
      </c>
      <c r="B29" s="46" t="s">
        <v>1054</v>
      </c>
      <c r="C29" s="104" t="s">
        <v>1055</v>
      </c>
      <c r="D29" s="45">
        <v>7318</v>
      </c>
      <c r="E29" s="45">
        <v>87</v>
      </c>
      <c r="F29" s="45"/>
      <c r="G29" s="45"/>
      <c r="H29" s="45">
        <f t="shared" si="0"/>
        <v>87</v>
      </c>
      <c r="I29" s="175"/>
      <c r="J29" s="175"/>
    </row>
    <row r="30" spans="1:10">
      <c r="A30" s="45">
        <v>28</v>
      </c>
      <c r="B30" s="46" t="s">
        <v>1056</v>
      </c>
      <c r="C30" s="104" t="s">
        <v>1057</v>
      </c>
      <c r="D30" s="45">
        <v>7318</v>
      </c>
      <c r="E30" s="45">
        <v>28</v>
      </c>
      <c r="F30" s="45"/>
      <c r="G30" s="45"/>
      <c r="H30" s="45">
        <f t="shared" si="0"/>
        <v>28</v>
      </c>
      <c r="I30" s="175"/>
      <c r="J30" s="175"/>
    </row>
    <row r="31" spans="1:10">
      <c r="A31" s="45">
        <v>29</v>
      </c>
      <c r="B31" s="46" t="s">
        <v>1058</v>
      </c>
      <c r="C31" s="104" t="s">
        <v>1059</v>
      </c>
      <c r="D31" s="45">
        <v>7318</v>
      </c>
      <c r="E31" s="45">
        <v>21</v>
      </c>
      <c r="F31" s="45"/>
      <c r="G31" s="45"/>
      <c r="H31" s="45">
        <f t="shared" si="0"/>
        <v>21</v>
      </c>
      <c r="I31" s="175"/>
      <c r="J31" s="175"/>
    </row>
    <row r="32" spans="1:10">
      <c r="A32" s="45">
        <v>30</v>
      </c>
      <c r="B32" s="46" t="s">
        <v>1060</v>
      </c>
      <c r="C32" s="104" t="s">
        <v>1061</v>
      </c>
      <c r="D32" s="45">
        <v>7318</v>
      </c>
      <c r="E32" s="45">
        <v>36</v>
      </c>
      <c r="F32" s="45"/>
      <c r="G32" s="45"/>
      <c r="H32" s="45">
        <f t="shared" si="0"/>
        <v>36</v>
      </c>
      <c r="I32" s="175"/>
      <c r="J32" s="175"/>
    </row>
    <row r="33" spans="1:10">
      <c r="A33" s="45">
        <v>31</v>
      </c>
      <c r="B33" s="46" t="s">
        <v>1062</v>
      </c>
      <c r="C33" s="104" t="s">
        <v>1063</v>
      </c>
      <c r="D33" s="45">
        <v>7318</v>
      </c>
      <c r="E33" s="45">
        <v>20</v>
      </c>
      <c r="F33" s="45"/>
      <c r="G33" s="45"/>
      <c r="H33" s="45">
        <f t="shared" si="0"/>
        <v>20</v>
      </c>
      <c r="I33" s="175"/>
      <c r="J33" s="175"/>
    </row>
    <row r="34" spans="1:10">
      <c r="A34" s="45">
        <v>32</v>
      </c>
      <c r="B34" s="46" t="s">
        <v>1413</v>
      </c>
      <c r="C34" s="104" t="s">
        <v>1414</v>
      </c>
      <c r="D34" s="45">
        <v>7318</v>
      </c>
      <c r="E34" s="45">
        <v>150</v>
      </c>
      <c r="F34" s="45"/>
      <c r="G34" s="45">
        <v>150</v>
      </c>
      <c r="H34" s="45">
        <f t="shared" si="0"/>
        <v>0</v>
      </c>
      <c r="I34" s="175"/>
      <c r="J34" s="175" t="s">
        <v>1417</v>
      </c>
    </row>
    <row r="35" spans="1:10">
      <c r="A35" s="45">
        <v>33</v>
      </c>
      <c r="B35" s="46" t="s">
        <v>1064</v>
      </c>
      <c r="C35" s="104" t="s">
        <v>1065</v>
      </c>
      <c r="D35" s="45">
        <v>7318</v>
      </c>
      <c r="E35" s="45">
        <v>11</v>
      </c>
      <c r="F35" s="45"/>
      <c r="G35" s="45"/>
      <c r="H35" s="45">
        <f t="shared" ref="H35:H66" si="1">SUM(E35+F35)-G35</f>
        <v>11</v>
      </c>
      <c r="I35" s="175"/>
      <c r="J35" s="175"/>
    </row>
    <row r="36" spans="1:10">
      <c r="A36" s="45">
        <v>34</v>
      </c>
      <c r="B36" s="46" t="s">
        <v>1066</v>
      </c>
      <c r="C36" s="104" t="s">
        <v>1067</v>
      </c>
      <c r="D36" s="45">
        <v>7318</v>
      </c>
      <c r="E36" s="45">
        <v>72</v>
      </c>
      <c r="F36" s="45"/>
      <c r="G36" s="45"/>
      <c r="H36" s="45">
        <f t="shared" si="1"/>
        <v>72</v>
      </c>
      <c r="I36" s="175"/>
      <c r="J36" s="175"/>
    </row>
    <row r="37" spans="1:10">
      <c r="A37" s="45">
        <v>35</v>
      </c>
      <c r="B37" s="46" t="s">
        <v>1068</v>
      </c>
      <c r="C37" s="104" t="s">
        <v>1069</v>
      </c>
      <c r="D37" s="45">
        <v>7318</v>
      </c>
      <c r="E37" s="45">
        <v>63</v>
      </c>
      <c r="F37" s="45"/>
      <c r="G37" s="45"/>
      <c r="H37" s="45">
        <f t="shared" si="1"/>
        <v>63</v>
      </c>
      <c r="I37" s="175"/>
      <c r="J37" s="175"/>
    </row>
    <row r="38" spans="1:10">
      <c r="A38" s="45">
        <v>36</v>
      </c>
      <c r="B38" s="46" t="s">
        <v>1070</v>
      </c>
      <c r="C38" s="104" t="s">
        <v>1071</v>
      </c>
      <c r="D38" s="45">
        <v>7318</v>
      </c>
      <c r="E38" s="45">
        <v>30</v>
      </c>
      <c r="F38" s="45"/>
      <c r="G38" s="45"/>
      <c r="H38" s="45">
        <f t="shared" si="1"/>
        <v>30</v>
      </c>
      <c r="I38" s="175"/>
      <c r="J38" s="175"/>
    </row>
    <row r="39" spans="1:10">
      <c r="A39" s="45">
        <v>37</v>
      </c>
      <c r="B39" s="46" t="s">
        <v>1072</v>
      </c>
      <c r="C39" s="104" t="s">
        <v>1073</v>
      </c>
      <c r="D39" s="45" t="s">
        <v>1074</v>
      </c>
      <c r="E39" s="45">
        <v>75</v>
      </c>
      <c r="F39" s="45"/>
      <c r="G39" s="45"/>
      <c r="H39" s="45">
        <f t="shared" si="1"/>
        <v>75</v>
      </c>
      <c r="I39" s="175"/>
      <c r="J39" s="175"/>
    </row>
    <row r="40" spans="1:10">
      <c r="A40" s="45">
        <v>38</v>
      </c>
      <c r="B40" s="46" t="s">
        <v>1075</v>
      </c>
      <c r="C40" s="104" t="s">
        <v>1076</v>
      </c>
      <c r="D40" s="45" t="s">
        <v>1074</v>
      </c>
      <c r="E40" s="45">
        <v>26</v>
      </c>
      <c r="F40" s="45">
        <v>150</v>
      </c>
      <c r="G40" s="45">
        <f>26+83</f>
        <v>109</v>
      </c>
      <c r="H40" s="45">
        <f t="shared" si="1"/>
        <v>67</v>
      </c>
      <c r="I40" s="175"/>
      <c r="J40" s="175" t="s">
        <v>1417</v>
      </c>
    </row>
    <row r="41" spans="1:10">
      <c r="A41" s="45">
        <v>39</v>
      </c>
      <c r="B41" s="46" t="s">
        <v>1077</v>
      </c>
      <c r="C41" s="104" t="s">
        <v>1215</v>
      </c>
      <c r="D41" s="45" t="s">
        <v>1074</v>
      </c>
      <c r="E41" s="45">
        <v>200</v>
      </c>
      <c r="F41" s="45"/>
      <c r="G41" s="45"/>
      <c r="H41" s="45">
        <f t="shared" si="1"/>
        <v>200</v>
      </c>
      <c r="I41" s="175"/>
      <c r="J41" s="175"/>
    </row>
    <row r="42" spans="1:10">
      <c r="A42" s="45">
        <v>40</v>
      </c>
      <c r="B42" s="46" t="s">
        <v>1213</v>
      </c>
      <c r="C42" s="104" t="s">
        <v>1214</v>
      </c>
      <c r="D42" s="45" t="s">
        <v>1074</v>
      </c>
      <c r="E42" s="45">
        <v>0</v>
      </c>
      <c r="F42" s="45">
        <v>50</v>
      </c>
      <c r="G42" s="45">
        <v>32</v>
      </c>
      <c r="H42" s="45">
        <f t="shared" si="1"/>
        <v>18</v>
      </c>
      <c r="I42" s="175"/>
      <c r="J42" s="175"/>
    </row>
    <row r="43" spans="1:10">
      <c r="A43" s="45">
        <v>41</v>
      </c>
      <c r="B43" s="46" t="s">
        <v>1078</v>
      </c>
      <c r="C43" s="104" t="s">
        <v>1079</v>
      </c>
      <c r="D43" s="45" t="s">
        <v>1007</v>
      </c>
      <c r="E43" s="45">
        <v>43</v>
      </c>
      <c r="F43" s="45"/>
      <c r="G43" s="45">
        <v>4</v>
      </c>
      <c r="H43" s="45">
        <f t="shared" si="1"/>
        <v>39</v>
      </c>
      <c r="I43" s="175"/>
      <c r="J43" s="175"/>
    </row>
    <row r="44" spans="1:10">
      <c r="A44" s="45">
        <v>42</v>
      </c>
      <c r="B44" s="46" t="s">
        <v>1080</v>
      </c>
      <c r="C44" s="104" t="s">
        <v>1081</v>
      </c>
      <c r="D44" s="45" t="s">
        <v>1007</v>
      </c>
      <c r="E44" s="45">
        <v>64</v>
      </c>
      <c r="F44" s="45"/>
      <c r="G44" s="45"/>
      <c r="H44" s="45">
        <f t="shared" si="1"/>
        <v>64</v>
      </c>
      <c r="I44" s="175"/>
      <c r="J44" s="175"/>
    </row>
    <row r="45" spans="1:10">
      <c r="A45" s="45">
        <v>43</v>
      </c>
      <c r="B45" s="46" t="s">
        <v>1082</v>
      </c>
      <c r="C45" s="104" t="s">
        <v>1083</v>
      </c>
      <c r="D45" s="45" t="s">
        <v>1007</v>
      </c>
      <c r="E45" s="45">
        <v>56</v>
      </c>
      <c r="F45" s="45"/>
      <c r="G45" s="45">
        <v>4</v>
      </c>
      <c r="H45" s="45">
        <f t="shared" si="1"/>
        <v>52</v>
      </c>
      <c r="I45" s="175"/>
      <c r="J45" s="175"/>
    </row>
    <row r="46" spans="1:10">
      <c r="A46" s="45">
        <v>44</v>
      </c>
      <c r="B46" s="46" t="s">
        <v>1084</v>
      </c>
      <c r="C46" s="104" t="s">
        <v>1085</v>
      </c>
      <c r="D46" s="45" t="s">
        <v>1007</v>
      </c>
      <c r="E46" s="45">
        <v>97</v>
      </c>
      <c r="F46" s="45"/>
      <c r="G46" s="45"/>
      <c r="H46" s="45">
        <f t="shared" si="1"/>
        <v>97</v>
      </c>
      <c r="I46" s="175"/>
      <c r="J46" s="175"/>
    </row>
    <row r="47" spans="1:10">
      <c r="A47" s="45">
        <v>45</v>
      </c>
      <c r="B47" s="46" t="s">
        <v>1086</v>
      </c>
      <c r="C47" s="104" t="s">
        <v>1087</v>
      </c>
      <c r="D47" s="45" t="s">
        <v>1007</v>
      </c>
      <c r="E47" s="45">
        <v>20</v>
      </c>
      <c r="F47" s="45"/>
      <c r="G47" s="45"/>
      <c r="H47" s="45">
        <f t="shared" si="1"/>
        <v>20</v>
      </c>
      <c r="I47" s="175"/>
      <c r="J47" s="175"/>
    </row>
    <row r="48" spans="1:10">
      <c r="A48" s="45">
        <v>46</v>
      </c>
      <c r="B48" s="46" t="s">
        <v>1088</v>
      </c>
      <c r="C48" s="104" t="s">
        <v>1089</v>
      </c>
      <c r="D48" s="45" t="s">
        <v>1007</v>
      </c>
      <c r="E48" s="45">
        <v>60</v>
      </c>
      <c r="F48" s="45"/>
      <c r="G48" s="45">
        <v>6</v>
      </c>
      <c r="H48" s="45">
        <f t="shared" si="1"/>
        <v>54</v>
      </c>
      <c r="I48" s="175"/>
      <c r="J48" s="175"/>
    </row>
    <row r="49" spans="1:10">
      <c r="A49" s="45">
        <v>47</v>
      </c>
      <c r="B49" s="46" t="s">
        <v>1090</v>
      </c>
      <c r="C49" s="104" t="s">
        <v>1091</v>
      </c>
      <c r="D49" s="45" t="s">
        <v>1007</v>
      </c>
      <c r="E49" s="45">
        <v>68</v>
      </c>
      <c r="F49" s="45"/>
      <c r="G49" s="45">
        <v>8</v>
      </c>
      <c r="H49" s="45">
        <f t="shared" si="1"/>
        <v>60</v>
      </c>
      <c r="I49" s="175"/>
      <c r="J49" s="175"/>
    </row>
    <row r="50" spans="1:10">
      <c r="A50" s="45">
        <v>48</v>
      </c>
      <c r="B50" s="46" t="s">
        <v>1092</v>
      </c>
      <c r="C50" s="104" t="s">
        <v>1093</v>
      </c>
      <c r="D50" s="45" t="s">
        <v>1007</v>
      </c>
      <c r="E50" s="45">
        <v>5</v>
      </c>
      <c r="F50" s="45"/>
      <c r="G50" s="45"/>
      <c r="H50" s="45">
        <f t="shared" si="1"/>
        <v>5</v>
      </c>
      <c r="I50" s="175"/>
      <c r="J50" s="175"/>
    </row>
    <row r="51" spans="1:10">
      <c r="A51" s="45">
        <v>49</v>
      </c>
      <c r="B51" s="46" t="s">
        <v>1094</v>
      </c>
      <c r="C51" s="104" t="s">
        <v>1095</v>
      </c>
      <c r="D51" s="45" t="s">
        <v>1007</v>
      </c>
      <c r="E51" s="45">
        <v>100</v>
      </c>
      <c r="F51" s="45"/>
      <c r="G51" s="45"/>
      <c r="H51" s="45">
        <f t="shared" si="1"/>
        <v>100</v>
      </c>
      <c r="I51" s="175"/>
      <c r="J51" s="175"/>
    </row>
    <row r="52" spans="1:10">
      <c r="A52" s="45">
        <v>50</v>
      </c>
      <c r="B52" s="46" t="s">
        <v>1096</v>
      </c>
      <c r="C52" s="104" t="s">
        <v>1097</v>
      </c>
      <c r="D52" s="45" t="s">
        <v>1007</v>
      </c>
      <c r="E52" s="45">
        <v>25</v>
      </c>
      <c r="F52" s="45"/>
      <c r="G52" s="45"/>
      <c r="H52" s="45">
        <f t="shared" si="1"/>
        <v>25</v>
      </c>
      <c r="I52" s="175"/>
      <c r="J52" s="175"/>
    </row>
    <row r="53" spans="1:10">
      <c r="A53" s="45">
        <v>51</v>
      </c>
      <c r="B53" s="46" t="s">
        <v>1098</v>
      </c>
      <c r="C53" s="104" t="s">
        <v>1099</v>
      </c>
      <c r="D53" s="45" t="s">
        <v>1007</v>
      </c>
      <c r="E53" s="45">
        <v>20</v>
      </c>
      <c r="F53" s="45"/>
      <c r="G53" s="45"/>
      <c r="H53" s="45">
        <f t="shared" si="1"/>
        <v>20</v>
      </c>
      <c r="I53" s="175"/>
      <c r="J53" s="175"/>
    </row>
    <row r="54" spans="1:10">
      <c r="A54" s="45">
        <v>52</v>
      </c>
      <c r="B54" s="46" t="s">
        <v>1100</v>
      </c>
      <c r="C54" s="104" t="s">
        <v>1101</v>
      </c>
      <c r="D54" s="45" t="s">
        <v>1007</v>
      </c>
      <c r="E54" s="45">
        <v>15</v>
      </c>
      <c r="F54" s="45"/>
      <c r="G54" s="45"/>
      <c r="H54" s="45">
        <f t="shared" si="1"/>
        <v>15</v>
      </c>
      <c r="I54" s="175"/>
      <c r="J54" s="175"/>
    </row>
    <row r="55" spans="1:10">
      <c r="A55" s="45">
        <v>53</v>
      </c>
      <c r="B55" s="46" t="s">
        <v>1102</v>
      </c>
      <c r="C55" s="104" t="s">
        <v>1103</v>
      </c>
      <c r="D55" s="45" t="s">
        <v>1007</v>
      </c>
      <c r="E55" s="45">
        <v>5</v>
      </c>
      <c r="F55" s="45"/>
      <c r="G55" s="45">
        <v>1</v>
      </c>
      <c r="H55" s="45">
        <f t="shared" si="1"/>
        <v>4</v>
      </c>
      <c r="I55" s="175"/>
      <c r="J55" s="175"/>
    </row>
    <row r="56" spans="1:10">
      <c r="A56" s="45">
        <v>54</v>
      </c>
      <c r="B56" s="46" t="s">
        <v>1104</v>
      </c>
      <c r="C56" s="104" t="s">
        <v>1105</v>
      </c>
      <c r="D56" s="45" t="s">
        <v>1007</v>
      </c>
      <c r="E56" s="45">
        <v>48</v>
      </c>
      <c r="F56" s="45"/>
      <c r="G56" s="45"/>
      <c r="H56" s="45">
        <f t="shared" si="1"/>
        <v>48</v>
      </c>
      <c r="I56" s="175"/>
      <c r="J56" s="175"/>
    </row>
    <row r="57" spans="1:10">
      <c r="A57" s="45">
        <v>55</v>
      </c>
      <c r="B57" s="46" t="s">
        <v>1106</v>
      </c>
      <c r="C57" s="104" t="s">
        <v>1107</v>
      </c>
      <c r="D57" s="45" t="s">
        <v>1007</v>
      </c>
      <c r="E57" s="45">
        <v>30</v>
      </c>
      <c r="F57" s="45"/>
      <c r="G57" s="45"/>
      <c r="H57" s="45">
        <f t="shared" si="1"/>
        <v>30</v>
      </c>
      <c r="I57" s="175"/>
      <c r="J57" s="175"/>
    </row>
    <row r="58" spans="1:10">
      <c r="A58" s="45">
        <v>56</v>
      </c>
      <c r="B58" s="46" t="s">
        <v>1108</v>
      </c>
      <c r="C58" s="104" t="s">
        <v>1109</v>
      </c>
      <c r="D58" s="45" t="s">
        <v>1007</v>
      </c>
      <c r="E58" s="45">
        <v>30</v>
      </c>
      <c r="F58" s="45"/>
      <c r="G58" s="45"/>
      <c r="H58" s="45">
        <f t="shared" si="1"/>
        <v>30</v>
      </c>
      <c r="I58" s="175"/>
      <c r="J58" s="175"/>
    </row>
    <row r="59" spans="1:10">
      <c r="A59" s="45">
        <v>57</v>
      </c>
      <c r="B59" s="46" t="s">
        <v>1110</v>
      </c>
      <c r="C59" s="104" t="s">
        <v>1111</v>
      </c>
      <c r="D59" s="45" t="s">
        <v>1007</v>
      </c>
      <c r="E59" s="45">
        <v>30</v>
      </c>
      <c r="F59" s="45"/>
      <c r="G59" s="45"/>
      <c r="H59" s="45">
        <f t="shared" si="1"/>
        <v>30</v>
      </c>
      <c r="I59" s="175"/>
      <c r="J59" s="175"/>
    </row>
    <row r="60" spans="1:10">
      <c r="A60" s="45">
        <v>58</v>
      </c>
      <c r="B60" s="46" t="s">
        <v>1112</v>
      </c>
      <c r="C60" s="104" t="s">
        <v>1113</v>
      </c>
      <c r="D60" s="45" t="s">
        <v>1007</v>
      </c>
      <c r="E60" s="45">
        <v>25</v>
      </c>
      <c r="F60" s="45"/>
      <c r="G60" s="45"/>
      <c r="H60" s="45">
        <f t="shared" si="1"/>
        <v>25</v>
      </c>
      <c r="I60" s="175"/>
      <c r="J60" s="175"/>
    </row>
    <row r="61" spans="1:10">
      <c r="A61" s="45">
        <v>59</v>
      </c>
      <c r="B61" s="46" t="s">
        <v>1114</v>
      </c>
      <c r="C61" s="104" t="s">
        <v>1115</v>
      </c>
      <c r="D61" s="45" t="s">
        <v>1007</v>
      </c>
      <c r="E61" s="45">
        <v>25</v>
      </c>
      <c r="F61" s="45"/>
      <c r="G61" s="45"/>
      <c r="H61" s="45">
        <f t="shared" si="1"/>
        <v>25</v>
      </c>
      <c r="I61" s="175"/>
      <c r="J61" s="175"/>
    </row>
    <row r="62" spans="1:10">
      <c r="A62" s="45">
        <v>60</v>
      </c>
      <c r="B62" s="46" t="s">
        <v>1116</v>
      </c>
      <c r="C62" s="104" t="s">
        <v>1117</v>
      </c>
      <c r="D62" s="45" t="s">
        <v>1007</v>
      </c>
      <c r="E62" s="45">
        <v>50</v>
      </c>
      <c r="F62" s="45"/>
      <c r="G62" s="45">
        <v>24</v>
      </c>
      <c r="H62" s="45">
        <f t="shared" si="1"/>
        <v>26</v>
      </c>
      <c r="I62" s="175"/>
      <c r="J62" s="175"/>
    </row>
    <row r="63" spans="1:10">
      <c r="A63" s="45">
        <v>61</v>
      </c>
      <c r="B63" s="46" t="s">
        <v>1197</v>
      </c>
      <c r="C63" s="104" t="s">
        <v>1198</v>
      </c>
      <c r="D63" s="45" t="s">
        <v>1007</v>
      </c>
      <c r="E63" s="45">
        <v>25</v>
      </c>
      <c r="F63" s="45"/>
      <c r="G63" s="45">
        <v>18</v>
      </c>
      <c r="H63" s="45">
        <f t="shared" si="1"/>
        <v>7</v>
      </c>
      <c r="I63" s="175"/>
      <c r="J63" s="175"/>
    </row>
    <row r="64" spans="1:10">
      <c r="A64" s="45">
        <v>62</v>
      </c>
      <c r="B64" s="46" t="s">
        <v>1199</v>
      </c>
      <c r="C64" s="104" t="s">
        <v>1200</v>
      </c>
      <c r="D64" s="45" t="s">
        <v>1007</v>
      </c>
      <c r="E64" s="45">
        <v>32</v>
      </c>
      <c r="F64" s="45"/>
      <c r="G64" s="45">
        <v>2</v>
      </c>
      <c r="H64" s="45">
        <f t="shared" si="1"/>
        <v>30</v>
      </c>
      <c r="I64" s="175"/>
      <c r="J64" s="175"/>
    </row>
    <row r="65" spans="1:10">
      <c r="A65" s="45">
        <v>63</v>
      </c>
      <c r="B65" s="46" t="s">
        <v>1201</v>
      </c>
      <c r="C65" s="104" t="s">
        <v>1412</v>
      </c>
      <c r="D65" s="45" t="s">
        <v>1007</v>
      </c>
      <c r="E65" s="45">
        <v>50</v>
      </c>
      <c r="F65" s="45"/>
      <c r="G65" s="45"/>
      <c r="H65" s="45">
        <f t="shared" si="1"/>
        <v>50</v>
      </c>
      <c r="I65" s="175"/>
      <c r="J65" s="175" t="s">
        <v>1416</v>
      </c>
    </row>
    <row r="66" spans="1:10">
      <c r="A66" s="45">
        <v>64</v>
      </c>
      <c r="B66" s="46" t="s">
        <v>1408</v>
      </c>
      <c r="C66" s="104" t="s">
        <v>1411</v>
      </c>
      <c r="D66" s="45" t="s">
        <v>1007</v>
      </c>
      <c r="E66" s="45">
        <v>50</v>
      </c>
      <c r="F66" s="45"/>
      <c r="G66" s="45"/>
      <c r="H66" s="45">
        <f t="shared" si="1"/>
        <v>50</v>
      </c>
      <c r="I66" s="175"/>
      <c r="J66" s="175" t="s">
        <v>1416</v>
      </c>
    </row>
    <row r="67" spans="1:10">
      <c r="A67" s="45">
        <v>65</v>
      </c>
      <c r="B67" s="46" t="s">
        <v>1409</v>
      </c>
      <c r="C67" s="104" t="s">
        <v>1410</v>
      </c>
      <c r="D67" s="45" t="s">
        <v>1007</v>
      </c>
      <c r="E67" s="45">
        <v>50</v>
      </c>
      <c r="F67" s="45"/>
      <c r="G67" s="45"/>
      <c r="H67" s="45">
        <f t="shared" ref="H67:H75" si="2">SUM(E67+F67)-G67</f>
        <v>50</v>
      </c>
      <c r="I67" s="175"/>
      <c r="J67" s="175" t="s">
        <v>1416</v>
      </c>
    </row>
    <row r="68" spans="1:10">
      <c r="A68" s="45">
        <v>66</v>
      </c>
      <c r="B68" s="46" t="s">
        <v>1201</v>
      </c>
      <c r="C68" s="104" t="s">
        <v>1202</v>
      </c>
      <c r="D68" s="45" t="s">
        <v>1007</v>
      </c>
      <c r="E68" s="45">
        <v>50</v>
      </c>
      <c r="F68" s="45"/>
      <c r="G68" s="45"/>
      <c r="H68" s="45">
        <f t="shared" si="2"/>
        <v>50</v>
      </c>
      <c r="I68" s="175"/>
      <c r="J68" s="175"/>
    </row>
    <row r="69" spans="1:10">
      <c r="A69" s="45">
        <v>67</v>
      </c>
      <c r="B69" s="46" t="s">
        <v>1118</v>
      </c>
      <c r="C69" s="106" t="s">
        <v>1119</v>
      </c>
      <c r="D69" s="45" t="s">
        <v>1007</v>
      </c>
      <c r="E69" s="45">
        <v>17</v>
      </c>
      <c r="F69" s="45"/>
      <c r="G69" s="45"/>
      <c r="H69" s="45">
        <f t="shared" si="2"/>
        <v>17</v>
      </c>
      <c r="I69" s="175"/>
      <c r="J69" s="175"/>
    </row>
    <row r="70" spans="1:10">
      <c r="A70" s="46">
        <v>68</v>
      </c>
      <c r="B70" s="46" t="s">
        <v>1120</v>
      </c>
      <c r="C70" s="106" t="s">
        <v>1121</v>
      </c>
      <c r="D70" s="45" t="s">
        <v>1007</v>
      </c>
      <c r="E70" s="45">
        <v>8</v>
      </c>
      <c r="F70" s="45"/>
      <c r="G70" s="45"/>
      <c r="H70" s="45">
        <f t="shared" si="2"/>
        <v>8</v>
      </c>
      <c r="I70" s="175"/>
      <c r="J70" s="175"/>
    </row>
    <row r="71" spans="1:10">
      <c r="A71" s="46">
        <v>69</v>
      </c>
      <c r="B71" s="46" t="s">
        <v>1122</v>
      </c>
      <c r="C71" s="106" t="s">
        <v>1123</v>
      </c>
      <c r="D71" s="45" t="s">
        <v>1007</v>
      </c>
      <c r="E71" s="45">
        <v>10</v>
      </c>
      <c r="F71" s="45"/>
      <c r="G71" s="45"/>
      <c r="H71" s="45">
        <f t="shared" si="2"/>
        <v>10</v>
      </c>
      <c r="I71" s="175"/>
      <c r="J71" s="175"/>
    </row>
    <row r="72" spans="1:10">
      <c r="A72" s="46">
        <v>70</v>
      </c>
      <c r="B72" s="46" t="s">
        <v>1124</v>
      </c>
      <c r="C72" s="106" t="s">
        <v>1125</v>
      </c>
      <c r="D72" s="45" t="s">
        <v>1007</v>
      </c>
      <c r="E72" s="45">
        <v>7</v>
      </c>
      <c r="F72" s="45"/>
      <c r="G72" s="45"/>
      <c r="H72" s="45">
        <f t="shared" si="2"/>
        <v>7</v>
      </c>
      <c r="I72" s="175"/>
      <c r="J72" s="175"/>
    </row>
    <row r="73" spans="1:10">
      <c r="A73" s="46">
        <v>71</v>
      </c>
      <c r="B73" s="46" t="s">
        <v>1126</v>
      </c>
      <c r="C73" s="106" t="s">
        <v>1127</v>
      </c>
      <c r="D73" s="45" t="s">
        <v>1007</v>
      </c>
      <c r="E73" s="45">
        <v>6</v>
      </c>
      <c r="F73" s="45"/>
      <c r="G73" s="45"/>
      <c r="H73" s="45">
        <f t="shared" si="2"/>
        <v>6</v>
      </c>
      <c r="I73" s="175"/>
      <c r="J73" s="175"/>
    </row>
    <row r="74" spans="1:10">
      <c r="A74" s="46">
        <v>72</v>
      </c>
      <c r="B74" s="46" t="s">
        <v>1128</v>
      </c>
      <c r="C74" s="106" t="s">
        <v>1129</v>
      </c>
      <c r="D74" s="108" t="s">
        <v>1130</v>
      </c>
      <c r="E74" s="45">
        <v>1</v>
      </c>
      <c r="F74" s="45"/>
      <c r="G74" s="45"/>
      <c r="H74" s="45">
        <f t="shared" si="2"/>
        <v>1</v>
      </c>
      <c r="I74" s="175"/>
      <c r="J74" s="175"/>
    </row>
    <row r="75" spans="1:10">
      <c r="A75" s="46">
        <v>73</v>
      </c>
      <c r="B75" s="46" t="s">
        <v>1128</v>
      </c>
      <c r="C75" s="106" t="s">
        <v>1131</v>
      </c>
      <c r="D75" s="108" t="s">
        <v>1130</v>
      </c>
      <c r="E75" s="45">
        <v>4</v>
      </c>
      <c r="F75" s="45"/>
      <c r="G75" s="45"/>
      <c r="H75" s="45">
        <f t="shared" si="2"/>
        <v>4</v>
      </c>
      <c r="I75" s="175"/>
      <c r="J75" s="175"/>
    </row>
    <row r="76" spans="1:10">
      <c r="A76" s="46">
        <v>74</v>
      </c>
      <c r="B76" s="46"/>
      <c r="C76" s="106"/>
      <c r="D76" s="108"/>
      <c r="E76" s="45"/>
      <c r="F76" s="45"/>
      <c r="G76" s="45"/>
      <c r="H76" s="46"/>
      <c r="I76" s="175"/>
      <c r="J76" s="175"/>
    </row>
    <row r="77" spans="1:10">
      <c r="A77" s="46">
        <v>75</v>
      </c>
      <c r="B77" s="174"/>
      <c r="C77" s="174"/>
      <c r="D77" s="174"/>
      <c r="E77" s="45"/>
      <c r="F77" s="45"/>
      <c r="G77" s="45"/>
      <c r="H77" s="46"/>
      <c r="I77" s="175"/>
      <c r="J77" s="175"/>
    </row>
    <row r="78" spans="1:10">
      <c r="A78" s="46">
        <v>76</v>
      </c>
      <c r="B78" s="174"/>
      <c r="C78" s="174"/>
      <c r="D78" s="174"/>
      <c r="E78" s="45"/>
      <c r="F78" s="45"/>
      <c r="G78" s="45"/>
      <c r="H78" s="46"/>
      <c r="I78" s="175"/>
      <c r="J78" s="175"/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Bearing</vt:lpstr>
      <vt:lpstr>OIl Seal</vt:lpstr>
      <vt:lpstr>Sheet3</vt:lpstr>
      <vt:lpstr>Sheet1</vt:lpstr>
      <vt:lpstr>OIL SEAL </vt:lpstr>
      <vt:lpstr>Bearing </vt:lpstr>
      <vt:lpstr>TYRE COUPLING, PIN BUSH</vt:lpstr>
      <vt:lpstr>PUMP SLEEVE</vt:lpstr>
      <vt:lpstr>V-BELT</vt:lpstr>
      <vt:lpstr>WELDING RODS</vt:lpstr>
      <vt:lpstr>BLADE, CUTTING WHEEL &amp; GRINDING</vt:lpstr>
      <vt:lpstr>VALVE</vt:lpstr>
      <vt:lpstr>CHECK NUT &amp; WASHER</vt:lpstr>
      <vt:lpstr>GUAGES</vt:lpstr>
      <vt:lpstr>SHAFT &amp; IMPELLER</vt:lpstr>
      <vt:lpstr>SS,MS PIPE FITTING</vt:lpstr>
      <vt:lpstr>NOZZLES</vt:lpstr>
      <vt:lpstr>LUBRICANTS</vt:lpstr>
      <vt:lpstr>COMPRESSOR</vt:lpstr>
      <vt:lpstr>PULLEY</vt:lpstr>
      <vt:lpstr>BOLTS &amp; NUTS, WASHERS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2026-08-15T12:38:57Z</dcterms:modified>
</cp:coreProperties>
</file>