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HYDRAULIC &amp; PENEUMATIC" sheetId="1" r:id="rId1"/>
  </sheets>
  <definedNames>
    <definedName name="_xlnm._FilterDatabase" localSheetId="0" hidden="1">'HYDRAULIC &amp; PENEUMATIC'!#REF!</definedName>
  </definedNames>
  <calcPr calcId="124519"/>
</workbook>
</file>

<file path=xl/calcChain.xml><?xml version="1.0" encoding="utf-8"?>
<calcChain xmlns="http://schemas.openxmlformats.org/spreadsheetml/2006/main">
  <c r="H60" i="1"/>
  <c r="H61"/>
  <c r="H62"/>
  <c r="H63"/>
  <c r="H64"/>
  <c r="H65"/>
  <c r="H66"/>
  <c r="H67"/>
  <c r="H68"/>
  <c r="H69"/>
  <c r="H70"/>
  <c r="H71"/>
  <c r="H72"/>
  <c r="H73"/>
  <c r="H74"/>
  <c r="H75"/>
  <c r="H58"/>
  <c r="H57"/>
  <c r="H56"/>
  <c r="H55"/>
  <c r="H54"/>
  <c r="G53"/>
  <c r="H53" s="1"/>
  <c r="H52"/>
  <c r="H51"/>
  <c r="H50"/>
  <c r="H49"/>
  <c r="H48"/>
  <c r="H46"/>
  <c r="H45"/>
  <c r="H44"/>
  <c r="H43"/>
  <c r="H42"/>
  <c r="H41"/>
  <c r="H40"/>
  <c r="H39"/>
  <c r="H38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0"/>
  <c r="H9"/>
  <c r="H8"/>
  <c r="H7"/>
  <c r="H6"/>
  <c r="H5"/>
  <c r="H4"/>
  <c r="H3"/>
</calcChain>
</file>

<file path=xl/comments1.xml><?xml version="1.0" encoding="utf-8"?>
<comments xmlns="http://schemas.openxmlformats.org/spreadsheetml/2006/main">
  <authors>
    <author>Author</author>
  </authors>
  <commentList>
    <comment ref="G43" authorId="0">
      <text>
        <r>
          <rPr>
            <sz val="9"/>
            <color indexed="81"/>
            <rFont val="Tahoma"/>
            <family val="2"/>
          </rPr>
          <t>45-ISSED ON 07/08/26 FOR LAB AIR LINE-1 NO
55-ISSEUD ON 13/08/26 FOR STAPPING MCN AIR LINE-1 NO</t>
        </r>
      </text>
    </comment>
    <comment ref="G45" authorId="0">
      <text>
        <r>
          <rPr>
            <sz val="9"/>
            <color indexed="81"/>
            <rFont val="Tahoma"/>
            <family val="2"/>
          </rPr>
          <t>42-ISSUED ON 05/08/26 FRO CHEMICAL HAZA-1
49-ISSUED ON 09/08/26 FRO MECH DEPT-1</t>
        </r>
      </text>
    </comment>
    <comment ref="G46" authorId="0">
      <text>
        <r>
          <rPr>
            <sz val="9"/>
            <color indexed="81"/>
            <rFont val="Tahoma"/>
            <family val="2"/>
          </rPr>
          <t xml:space="preserve">45-ISSUED ON 07/08/26 FOR LAB AIR LINE -1 NO
</t>
        </r>
      </text>
    </comment>
    <comment ref="G53" authorId="0">
      <text>
        <r>
          <rPr>
            <sz val="9"/>
            <color indexed="81"/>
            <rFont val="Tahoma"/>
            <family val="2"/>
          </rPr>
          <t xml:space="preserve">41-ISSUED ON 06/08/26 FOR ETP -11 MT
44-ISSUED ON 06/08/26 FOR MCN -5 MT
49-ISSUED ON 06/08/26 FOR MCN -15 MT
</t>
        </r>
      </text>
    </comment>
    <comment ref="G60" authorId="0">
      <text>
        <r>
          <rPr>
            <sz val="9"/>
            <color indexed="81"/>
            <rFont val="Tahoma"/>
            <family val="2"/>
          </rPr>
          <t xml:space="preserve">45-ISSUED ON 07/08/26 FOR LAB AIR LINE - 1
</t>
        </r>
      </text>
    </comment>
  </commentList>
</comments>
</file>

<file path=xl/sharedStrings.xml><?xml version="1.0" encoding="utf-8"?>
<sst xmlns="http://schemas.openxmlformats.org/spreadsheetml/2006/main" count="152" uniqueCount="152">
  <si>
    <t>ITEM CODE</t>
  </si>
  <si>
    <t>ITEM WITH DETAIL</t>
  </si>
  <si>
    <t>PHY STOCK</t>
  </si>
  <si>
    <t>RECIVED</t>
  </si>
  <si>
    <t>ISSUE</t>
  </si>
  <si>
    <t>BALANCE</t>
  </si>
  <si>
    <t>PCK0001</t>
  </si>
  <si>
    <t>50mm CYLINDER KITS</t>
  </si>
  <si>
    <t>PCK0002</t>
  </si>
  <si>
    <t>80mm CYLINDER KITS</t>
  </si>
  <si>
    <t>PCK0003</t>
  </si>
  <si>
    <t>100mm CYLINDER KITS</t>
  </si>
  <si>
    <t>PCK0004</t>
  </si>
  <si>
    <t>125mm CYLINDER KITS</t>
  </si>
  <si>
    <t>PCK0005</t>
  </si>
  <si>
    <t>150mm CYLINDER KITS</t>
  </si>
  <si>
    <t>PCK0006</t>
  </si>
  <si>
    <t>200mm CYLINDER KITS</t>
  </si>
  <si>
    <t>PCK0007</t>
  </si>
  <si>
    <t>250mm CYLINDER KITS</t>
  </si>
  <si>
    <t>PCK0008</t>
  </si>
  <si>
    <t>PUE0009</t>
  </si>
  <si>
    <t>10X1/2" PU ELBOW CONNECTOR</t>
  </si>
  <si>
    <t>PUM0005</t>
  </si>
  <si>
    <t>10X1/2" PU MALE CONNECTOR</t>
  </si>
  <si>
    <t>PUM0009</t>
  </si>
  <si>
    <t>10X1/2" PU MAIL CONNECTOR</t>
  </si>
  <si>
    <t>PUM0001</t>
  </si>
  <si>
    <t>10X1/4" PU MAIL CONNECTOR</t>
  </si>
  <si>
    <t>PUE0006</t>
  </si>
  <si>
    <t>10X1/8" PU ELBOW CONNECTOR</t>
  </si>
  <si>
    <t>PUM0013</t>
  </si>
  <si>
    <t>10X1/8" PU MAIL CONNECTOR</t>
  </si>
  <si>
    <t>PUC0002</t>
  </si>
  <si>
    <t>10X10 PU COUPLER</t>
  </si>
  <si>
    <t>PUT0002</t>
  </si>
  <si>
    <t>10X10X10 PU T CONNECTOR</t>
  </si>
  <si>
    <t>PUC0003</t>
  </si>
  <si>
    <t>10X12 PU COUPLER</t>
  </si>
  <si>
    <t>PUM0011</t>
  </si>
  <si>
    <t>10X3/8" PU MAIL CONNECTOR</t>
  </si>
  <si>
    <t>PUM0014</t>
  </si>
  <si>
    <t>12X1/2" PU MAIL CONNECTOR</t>
  </si>
  <si>
    <t>PUC0006</t>
  </si>
  <si>
    <t>12X12 PU COUPLER</t>
  </si>
  <si>
    <t>PUT0004</t>
  </si>
  <si>
    <t>12X12X12 PU T CONNECTOR</t>
  </si>
  <si>
    <t>PUM0012</t>
  </si>
  <si>
    <t>4X3/8" PU MAIL CONNECTOR</t>
  </si>
  <si>
    <t>PUE0001</t>
  </si>
  <si>
    <t>6X1/2" PU ELBOW CONNECTOR</t>
  </si>
  <si>
    <t>PUM0002</t>
  </si>
  <si>
    <t>6X1/2" PU MAIL CONNECTOR</t>
  </si>
  <si>
    <t>PUE0007</t>
  </si>
  <si>
    <t>6X1/4" PU ELBOW CONNECTOR</t>
  </si>
  <si>
    <t>PUM0003</t>
  </si>
  <si>
    <t>6X1/4" PU MAIL CONNECTOR</t>
  </si>
  <si>
    <t>PUE0003</t>
  </si>
  <si>
    <t>6X1/8" PU ELBOW CONNECTOR</t>
  </si>
  <si>
    <t>PUE0008</t>
  </si>
  <si>
    <t>6X3/8" PU ELBOW CONNECTOR</t>
  </si>
  <si>
    <t>PUM0004</t>
  </si>
  <si>
    <t>6X3/8" PU MAIL CONNECTOR</t>
  </si>
  <si>
    <t>PUC0007</t>
  </si>
  <si>
    <t>6X6 PU COUPLER</t>
  </si>
  <si>
    <t>PUT0003</t>
  </si>
  <si>
    <t>6X6X6 PU T CONNECTOR</t>
  </si>
  <si>
    <t>PUC0004</t>
  </si>
  <si>
    <t>6X8 PU COUPLER</t>
  </si>
  <si>
    <t>PUM0008</t>
  </si>
  <si>
    <t>8X1/2" PU MAIL CONNECTOR</t>
  </si>
  <si>
    <t>PUE0005</t>
  </si>
  <si>
    <t>8X1/4" PU ELBOW CONNECTOR</t>
  </si>
  <si>
    <t>PUM0006</t>
  </si>
  <si>
    <t>8X1/4" PU MAIL CONNECTOR</t>
  </si>
  <si>
    <t>PUE0004</t>
  </si>
  <si>
    <t>8X1/8" PU ELBOW CONNECTOR</t>
  </si>
  <si>
    <t>PUM0010</t>
  </si>
  <si>
    <t>8X1/8" PU MAIL CONNECTOR</t>
  </si>
  <si>
    <t>PUC0008</t>
  </si>
  <si>
    <t>8X10 PU COUPLER</t>
  </si>
  <si>
    <t>PUC0005</t>
  </si>
  <si>
    <t>8X12 PU COUPLER</t>
  </si>
  <si>
    <t>PUE0002</t>
  </si>
  <si>
    <t>8X3/8" PU ELBOW CONNECTOR</t>
  </si>
  <si>
    <t>PUM0007</t>
  </si>
  <si>
    <t>8X3/8" PU MAIL CONNECTOR</t>
  </si>
  <si>
    <t>PUC0001</t>
  </si>
  <si>
    <t>8X8 PU COUPLER</t>
  </si>
  <si>
    <t>PUT0001</t>
  </si>
  <si>
    <t>8X8X8 PU T CONNECTOR</t>
  </si>
  <si>
    <t>PFRL001</t>
  </si>
  <si>
    <t xml:space="preserve">3 /8" FR+L (JHFRCLM-14B) AIRMAX </t>
  </si>
  <si>
    <t>PFRL002</t>
  </si>
  <si>
    <t xml:space="preserve">1/2 "FR+L (JHFRCLM-15) AIRMAX </t>
  </si>
  <si>
    <t>PREG001</t>
  </si>
  <si>
    <t>3/8" REGULATOR (MO NO:R14624)</t>
  </si>
  <si>
    <t>PREG002</t>
  </si>
  <si>
    <t>1/2" REGULATOR ( R15634) AIRMAX</t>
  </si>
  <si>
    <t>PNCV001</t>
  </si>
  <si>
    <t>PCV0001</t>
  </si>
  <si>
    <t xml:space="preserve">1/4" COMPACT VALVE  (DS265SC61-W)-JANATICS </t>
  </si>
  <si>
    <t>PDV0001</t>
  </si>
  <si>
    <t xml:space="preserve">1/4" DISC ROTARY VALVE  </t>
  </si>
  <si>
    <t>PDV0002</t>
  </si>
  <si>
    <t xml:space="preserve">1/2" DISC ROTARY VALVE  </t>
  </si>
  <si>
    <t>PRV0001</t>
  </si>
  <si>
    <t xml:space="preserve">1/2" ROTARY VALVE  </t>
  </si>
  <si>
    <t>PENUMATIC CYLINDER KITS STOCK AUGUST-2026</t>
  </si>
  <si>
    <t>MECIHINCAL PENUMATIC CONNECTOR AUGUST-2026</t>
  </si>
  <si>
    <t>MECIHINCAL PENUMATIC PIPE AUGUST-2026</t>
  </si>
  <si>
    <t>PUTU001</t>
  </si>
  <si>
    <t>Polyurethane Tubes 4 x 2.5 mm 100 mts</t>
  </si>
  <si>
    <t>PUTU002</t>
  </si>
  <si>
    <t>Polyurethane Tubes 4 x 2 mm 100 mts</t>
  </si>
  <si>
    <t>PUTU003</t>
  </si>
  <si>
    <t>Polyurethane Tubes 6 x 4 mm 100 mts</t>
  </si>
  <si>
    <t>PUTU004</t>
  </si>
  <si>
    <t>Polyurethane Tubes 8 x 5 mm 100 mts</t>
  </si>
  <si>
    <t>PUTU005</t>
  </si>
  <si>
    <t>Polyurethane Tubes 10 x 6.5 mm 100 mts</t>
  </si>
  <si>
    <t>PUTU006</t>
  </si>
  <si>
    <t>Polyurethane Tubes 8 x 6 mm 100 mts</t>
  </si>
  <si>
    <t>PUTU007</t>
  </si>
  <si>
    <t>Polyurethane Tubes 10 x 8 mm 100 mts</t>
  </si>
  <si>
    <t>PUTU008</t>
  </si>
  <si>
    <t>Polyurethane Tubes 12 x 10 mm 100 mts</t>
  </si>
  <si>
    <t>PUTU009</t>
  </si>
  <si>
    <t>Polyurethane Tubes 12 x 8 mm 100 mts</t>
  </si>
  <si>
    <t>PUTU010</t>
  </si>
  <si>
    <t>Polyurethane Tubes 14 x 11 mm 100 mts</t>
  </si>
  <si>
    <t>PUTU011</t>
  </si>
  <si>
    <t>Polyurethane Tubes 16 x 12 mm 50 mts</t>
  </si>
  <si>
    <t>SPARE PENUMATICS AIR MAX SEAL KIT (200MM -214MM) SHAFT SIZE :38MM</t>
  </si>
  <si>
    <t>HSN CODE</t>
  </si>
  <si>
    <t>S NO</t>
  </si>
  <si>
    <t>AIR MAX DUBLE ACTING CYLENDER SIZE 80X1050MM</t>
  </si>
  <si>
    <t>PCY002</t>
  </si>
  <si>
    <t>PNEUMATIC CYLINDER 100 X 850 MM</t>
  </si>
  <si>
    <t>PCY001</t>
  </si>
  <si>
    <t>PNEUMATIC BAREL 100 X 50 MM</t>
  </si>
  <si>
    <t>PBR001</t>
  </si>
  <si>
    <t>PNEUMATIC SHAFT 100 X 50 MM</t>
  </si>
  <si>
    <t>PSH001</t>
  </si>
  <si>
    <t>PNEUMATIC PP &amp; PET STRAPPING MACHINE MODEL: AQD-19</t>
  </si>
  <si>
    <t>PSM002</t>
  </si>
  <si>
    <t>PNEUMATIC PP &amp; PET STRAPPING MACHINE MODEL: XQD-19</t>
  </si>
  <si>
    <t>PSM001</t>
  </si>
  <si>
    <t xml:space="preserve">1/4" COMPACT VALVE  (DS255ER61)-JANATICS </t>
  </si>
  <si>
    <t>PCV0002</t>
  </si>
  <si>
    <t>PENUMATICS &amp; HYDRAULICS STOCK AUGUST-2026</t>
  </si>
  <si>
    <t>1/8-3/2" NC VALVE &amp; SWITCH (JANATICS) MOUNTING VALVE (DS244P60-SH3A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</si>
</sst>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Border="1"/>
    <xf numFmtId="0" fontId="2" fillId="0" borderId="0" xfId="0" applyFont="1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14" fontId="3" fillId="0" borderId="2" xfId="0" applyNumberFormat="1" applyFont="1" applyBorder="1" applyAlignment="1">
      <alignment horizontal="center" vertical="center"/>
    </xf>
    <xf numFmtId="14" fontId="3" fillId="0" borderId="3" xfId="0" applyNumberFormat="1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left" vertical="center"/>
    </xf>
    <xf numFmtId="0" fontId="0" fillId="0" borderId="4" xfId="0" applyFont="1" applyBorder="1" applyAlignment="1">
      <alignment horizontal="center" vertical="center"/>
    </xf>
    <xf numFmtId="14" fontId="0" fillId="0" borderId="1" xfId="0" applyNumberFormat="1" applyFont="1" applyBorder="1" applyAlignment="1">
      <alignment horizontal="center" vertical="center"/>
    </xf>
    <xf numFmtId="14" fontId="0" fillId="0" borderId="2" xfId="0" applyNumberFormat="1" applyFont="1" applyBorder="1" applyAlignment="1">
      <alignment horizontal="center" vertical="center"/>
    </xf>
    <xf numFmtId="14" fontId="0" fillId="0" borderId="3" xfId="0" applyNumberFormat="1" applyFont="1" applyBorder="1" applyAlignment="1">
      <alignment horizontal="center" vertical="center"/>
    </xf>
    <xf numFmtId="0" fontId="0" fillId="0" borderId="4" xfId="0" applyFont="1" applyBorder="1" applyAlignment="1">
      <alignment vertical="center"/>
    </xf>
    <xf numFmtId="14" fontId="0" fillId="0" borderId="4" xfId="0" applyNumberFormat="1" applyFont="1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0" fillId="0" borderId="3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5" fillId="0" borderId="4" xfId="0" applyFont="1" applyFill="1" applyBorder="1" applyAlignment="1">
      <alignment vertical="center"/>
    </xf>
    <xf numFmtId="0" fontId="5" fillId="0" borderId="4" xfId="0" applyFont="1" applyFill="1" applyBorder="1" applyAlignment="1">
      <alignment horizontal="center" vertical="center"/>
    </xf>
    <xf numFmtId="0" fontId="3" fillId="0" borderId="5" xfId="0" applyFont="1" applyBorder="1" applyAlignment="1">
      <alignment vertical="center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6" fillId="0" borderId="4" xfId="0" applyFont="1" applyBorder="1" applyAlignment="1">
      <alignment vertical="center"/>
    </xf>
    <xf numFmtId="0" fontId="6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horizontal="left" vertical="center"/>
    </xf>
    <xf numFmtId="0" fontId="6" fillId="0" borderId="7" xfId="0" applyFont="1" applyBorder="1"/>
    <xf numFmtId="0" fontId="6" fillId="0" borderId="7" xfId="0" applyFont="1" applyBorder="1" applyAlignment="1">
      <alignment horizontal="center"/>
    </xf>
    <xf numFmtId="0" fontId="6" fillId="0" borderId="4" xfId="0" applyFont="1" applyBorder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7" fillId="0" borderId="5" xfId="0" applyFont="1" applyBorder="1" applyAlignment="1"/>
    <xf numFmtId="0" fontId="6" fillId="0" borderId="4" xfId="0" applyFont="1" applyBorder="1" applyAlignment="1">
      <alignment horizontal="center" wrapText="1"/>
    </xf>
    <xf numFmtId="0" fontId="6" fillId="0" borderId="4" xfId="0" applyFont="1" applyBorder="1" applyAlignment="1">
      <alignment wrapText="1"/>
    </xf>
    <xf numFmtId="0" fontId="7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5"/>
  <sheetViews>
    <sheetView tabSelected="1" topLeftCell="A16" workbookViewId="0">
      <selection activeCell="B18" sqref="B18:C18"/>
    </sheetView>
  </sheetViews>
  <sheetFormatPr defaultRowHeight="15"/>
  <cols>
    <col min="1" max="1" width="5.85546875" style="1" bestFit="1" customWidth="1"/>
    <col min="2" max="2" width="10.7109375" style="1" bestFit="1" customWidth="1"/>
    <col min="3" max="3" width="76" style="2" bestFit="1" customWidth="1"/>
    <col min="4" max="4" width="10" style="2" bestFit="1" customWidth="1"/>
    <col min="5" max="5" width="10.7109375" style="1" bestFit="1" customWidth="1"/>
    <col min="6" max="6" width="8.42578125" style="1" bestFit="1" customWidth="1"/>
    <col min="7" max="7" width="6" style="1" bestFit="1" customWidth="1"/>
    <col min="8" max="16384" width="9.140625" style="1"/>
  </cols>
  <sheetData>
    <row r="1" spans="1:8">
      <c r="A1" s="19" t="s">
        <v>108</v>
      </c>
      <c r="B1" s="20"/>
      <c r="C1" s="20"/>
      <c r="D1" s="20"/>
      <c r="E1" s="3"/>
      <c r="F1" s="4"/>
      <c r="G1" s="5"/>
      <c r="H1" s="6"/>
    </row>
    <row r="2" spans="1:8">
      <c r="A2" s="7" t="s">
        <v>135</v>
      </c>
      <c r="B2" s="7" t="s">
        <v>0</v>
      </c>
      <c r="C2" s="7" t="s">
        <v>1</v>
      </c>
      <c r="D2" s="7" t="s">
        <v>134</v>
      </c>
      <c r="E2" s="7" t="s">
        <v>2</v>
      </c>
      <c r="F2" s="8" t="s">
        <v>3</v>
      </c>
      <c r="G2" s="8" t="s">
        <v>4</v>
      </c>
      <c r="H2" s="8" t="s">
        <v>5</v>
      </c>
    </row>
    <row r="3" spans="1:8">
      <c r="A3" s="9">
        <v>1</v>
      </c>
      <c r="B3" s="9" t="s">
        <v>6</v>
      </c>
      <c r="C3" s="10" t="s">
        <v>7</v>
      </c>
      <c r="D3" s="10"/>
      <c r="E3" s="9">
        <v>1</v>
      </c>
      <c r="F3" s="11"/>
      <c r="G3" s="11"/>
      <c r="H3" s="11">
        <f t="shared" ref="H3:H10" si="0">SUM(E3+F3-G3)</f>
        <v>1</v>
      </c>
    </row>
    <row r="4" spans="1:8">
      <c r="A4" s="9">
        <v>1</v>
      </c>
      <c r="B4" s="9" t="s">
        <v>8</v>
      </c>
      <c r="C4" s="10" t="s">
        <v>9</v>
      </c>
      <c r="D4" s="10"/>
      <c r="E4" s="9">
        <v>9</v>
      </c>
      <c r="F4" s="11"/>
      <c r="G4" s="11"/>
      <c r="H4" s="11">
        <f t="shared" si="0"/>
        <v>9</v>
      </c>
    </row>
    <row r="5" spans="1:8">
      <c r="A5" s="9">
        <v>2</v>
      </c>
      <c r="B5" s="9" t="s">
        <v>10</v>
      </c>
      <c r="C5" s="10" t="s">
        <v>11</v>
      </c>
      <c r="D5" s="10"/>
      <c r="E5" s="9">
        <v>7</v>
      </c>
      <c r="F5" s="11"/>
      <c r="G5" s="11"/>
      <c r="H5" s="11">
        <f t="shared" si="0"/>
        <v>7</v>
      </c>
    </row>
    <row r="6" spans="1:8">
      <c r="A6" s="9">
        <v>3</v>
      </c>
      <c r="B6" s="9" t="s">
        <v>12</v>
      </c>
      <c r="C6" s="10" t="s">
        <v>13</v>
      </c>
      <c r="D6" s="10"/>
      <c r="E6" s="9">
        <v>3</v>
      </c>
      <c r="F6" s="11"/>
      <c r="G6" s="11"/>
      <c r="H6" s="11">
        <f t="shared" si="0"/>
        <v>3</v>
      </c>
    </row>
    <row r="7" spans="1:8">
      <c r="A7" s="9">
        <v>4</v>
      </c>
      <c r="B7" s="9" t="s">
        <v>14</v>
      </c>
      <c r="C7" s="10" t="s">
        <v>15</v>
      </c>
      <c r="D7" s="10"/>
      <c r="E7" s="9">
        <v>4</v>
      </c>
      <c r="F7" s="11"/>
      <c r="G7" s="11"/>
      <c r="H7" s="11">
        <f t="shared" si="0"/>
        <v>4</v>
      </c>
    </row>
    <row r="8" spans="1:8">
      <c r="A8" s="9">
        <v>5</v>
      </c>
      <c r="B8" s="9" t="s">
        <v>16</v>
      </c>
      <c r="C8" s="10" t="s">
        <v>17</v>
      </c>
      <c r="D8" s="10"/>
      <c r="E8" s="9">
        <v>10</v>
      </c>
      <c r="F8" s="11"/>
      <c r="G8" s="11"/>
      <c r="H8" s="11">
        <f t="shared" si="0"/>
        <v>10</v>
      </c>
    </row>
    <row r="9" spans="1:8">
      <c r="A9" s="9">
        <v>6</v>
      </c>
      <c r="B9" s="9" t="s">
        <v>18</v>
      </c>
      <c r="C9" s="10" t="s">
        <v>19</v>
      </c>
      <c r="D9" s="10"/>
      <c r="E9" s="9">
        <v>4</v>
      </c>
      <c r="F9" s="11"/>
      <c r="G9" s="11"/>
      <c r="H9" s="11">
        <f t="shared" si="0"/>
        <v>4</v>
      </c>
    </row>
    <row r="10" spans="1:8">
      <c r="A10" s="9">
        <v>7</v>
      </c>
      <c r="B10" s="9" t="s">
        <v>20</v>
      </c>
      <c r="C10" s="10" t="s">
        <v>133</v>
      </c>
      <c r="D10" s="10"/>
      <c r="E10" s="9">
        <v>0</v>
      </c>
      <c r="F10" s="11"/>
      <c r="G10" s="11"/>
      <c r="H10" s="11">
        <f t="shared" si="0"/>
        <v>0</v>
      </c>
    </row>
    <row r="11" spans="1:8">
      <c r="A11" s="21" t="s">
        <v>109</v>
      </c>
      <c r="B11" s="22"/>
      <c r="C11" s="22"/>
      <c r="D11" s="22"/>
      <c r="E11" s="24"/>
      <c r="F11" s="12"/>
      <c r="G11" s="13"/>
      <c r="H11" s="14"/>
    </row>
    <row r="12" spans="1:8">
      <c r="A12" s="11">
        <v>1</v>
      </c>
      <c r="B12" s="11" t="s">
        <v>21</v>
      </c>
      <c r="C12" s="15" t="s">
        <v>22</v>
      </c>
      <c r="D12" s="15"/>
      <c r="E12" s="11">
        <v>21</v>
      </c>
      <c r="F12" s="11"/>
      <c r="G12" s="11"/>
      <c r="H12" s="11">
        <f t="shared" ref="H12:H46" si="1">SUM(E12+F12-G12)</f>
        <v>21</v>
      </c>
    </row>
    <row r="13" spans="1:8">
      <c r="A13" s="11">
        <v>2</v>
      </c>
      <c r="B13" s="11" t="s">
        <v>23</v>
      </c>
      <c r="C13" s="15" t="s">
        <v>24</v>
      </c>
      <c r="D13" s="15"/>
      <c r="E13" s="11">
        <v>6</v>
      </c>
      <c r="F13" s="11"/>
      <c r="G13" s="11"/>
      <c r="H13" s="11">
        <f t="shared" si="1"/>
        <v>6</v>
      </c>
    </row>
    <row r="14" spans="1:8">
      <c r="A14" s="11">
        <v>3</v>
      </c>
      <c r="B14" s="11" t="s">
        <v>25</v>
      </c>
      <c r="C14" s="15" t="s">
        <v>26</v>
      </c>
      <c r="D14" s="15"/>
      <c r="E14" s="11">
        <v>24</v>
      </c>
      <c r="F14" s="11"/>
      <c r="G14" s="11"/>
      <c r="H14" s="11">
        <f t="shared" si="1"/>
        <v>24</v>
      </c>
    </row>
    <row r="15" spans="1:8">
      <c r="A15" s="11">
        <v>4</v>
      </c>
      <c r="B15" s="11" t="s">
        <v>27</v>
      </c>
      <c r="C15" s="15" t="s">
        <v>28</v>
      </c>
      <c r="D15" s="15"/>
      <c r="E15" s="11">
        <v>41</v>
      </c>
      <c r="F15" s="11"/>
      <c r="G15" s="11"/>
      <c r="H15" s="11">
        <f t="shared" si="1"/>
        <v>41</v>
      </c>
    </row>
    <row r="16" spans="1:8">
      <c r="A16" s="11">
        <v>5</v>
      </c>
      <c r="B16" s="11" t="s">
        <v>29</v>
      </c>
      <c r="C16" s="15" t="s">
        <v>30</v>
      </c>
      <c r="D16" s="15"/>
      <c r="E16" s="11">
        <v>21</v>
      </c>
      <c r="F16" s="11"/>
      <c r="G16" s="11"/>
      <c r="H16" s="11">
        <f t="shared" si="1"/>
        <v>21</v>
      </c>
    </row>
    <row r="17" spans="1:8">
      <c r="A17" s="11">
        <v>6</v>
      </c>
      <c r="B17" s="11" t="s">
        <v>31</v>
      </c>
      <c r="C17" s="15" t="s">
        <v>32</v>
      </c>
      <c r="D17" s="15"/>
      <c r="E17" s="11">
        <v>9</v>
      </c>
      <c r="F17" s="11"/>
      <c r="G17" s="11"/>
      <c r="H17" s="11">
        <f t="shared" si="1"/>
        <v>9</v>
      </c>
    </row>
    <row r="18" spans="1:8">
      <c r="A18" s="11">
        <v>7</v>
      </c>
      <c r="B18" s="11" t="s">
        <v>33</v>
      </c>
      <c r="C18" s="15" t="s">
        <v>34</v>
      </c>
      <c r="D18" s="15"/>
      <c r="E18" s="11">
        <v>60</v>
      </c>
      <c r="F18" s="11"/>
      <c r="G18" s="11"/>
      <c r="H18" s="11">
        <f t="shared" si="1"/>
        <v>60</v>
      </c>
    </row>
    <row r="19" spans="1:8">
      <c r="A19" s="11">
        <v>8</v>
      </c>
      <c r="B19" s="11" t="s">
        <v>35</v>
      </c>
      <c r="C19" s="16" t="s">
        <v>36</v>
      </c>
      <c r="D19" s="16"/>
      <c r="E19" s="11">
        <v>24</v>
      </c>
      <c r="F19" s="11"/>
      <c r="G19" s="11"/>
      <c r="H19" s="11">
        <f t="shared" si="1"/>
        <v>24</v>
      </c>
    </row>
    <row r="20" spans="1:8">
      <c r="A20" s="11">
        <v>9</v>
      </c>
      <c r="B20" s="11" t="s">
        <v>37</v>
      </c>
      <c r="C20" s="15" t="s">
        <v>38</v>
      </c>
      <c r="D20" s="15"/>
      <c r="E20" s="11">
        <v>43</v>
      </c>
      <c r="F20" s="11"/>
      <c r="G20" s="11"/>
      <c r="H20" s="11">
        <f t="shared" si="1"/>
        <v>43</v>
      </c>
    </row>
    <row r="21" spans="1:8">
      <c r="A21" s="11">
        <v>10</v>
      </c>
      <c r="B21" s="11" t="s">
        <v>39</v>
      </c>
      <c r="C21" s="15" t="s">
        <v>40</v>
      </c>
      <c r="D21" s="15"/>
      <c r="E21" s="11">
        <v>29</v>
      </c>
      <c r="F21" s="11"/>
      <c r="G21" s="11"/>
      <c r="H21" s="11">
        <f t="shared" si="1"/>
        <v>29</v>
      </c>
    </row>
    <row r="22" spans="1:8">
      <c r="A22" s="11">
        <v>11</v>
      </c>
      <c r="B22" s="11" t="s">
        <v>41</v>
      </c>
      <c r="C22" s="15" t="s">
        <v>42</v>
      </c>
      <c r="D22" s="15"/>
      <c r="E22" s="11">
        <v>8</v>
      </c>
      <c r="F22" s="11"/>
      <c r="G22" s="11"/>
      <c r="H22" s="11">
        <f t="shared" si="1"/>
        <v>8</v>
      </c>
    </row>
    <row r="23" spans="1:8">
      <c r="A23" s="11">
        <v>12</v>
      </c>
      <c r="B23" s="11" t="s">
        <v>43</v>
      </c>
      <c r="C23" s="15" t="s">
        <v>44</v>
      </c>
      <c r="D23" s="15"/>
      <c r="E23" s="11">
        <v>20</v>
      </c>
      <c r="F23" s="11"/>
      <c r="G23" s="11"/>
      <c r="H23" s="11">
        <f t="shared" si="1"/>
        <v>20</v>
      </c>
    </row>
    <row r="24" spans="1:8">
      <c r="A24" s="11">
        <v>13</v>
      </c>
      <c r="B24" s="11" t="s">
        <v>45</v>
      </c>
      <c r="C24" s="15" t="s">
        <v>46</v>
      </c>
      <c r="D24" s="15"/>
      <c r="E24" s="11">
        <v>9</v>
      </c>
      <c r="F24" s="11"/>
      <c r="G24" s="11"/>
      <c r="H24" s="11">
        <f t="shared" si="1"/>
        <v>9</v>
      </c>
    </row>
    <row r="25" spans="1:8">
      <c r="A25" s="11">
        <v>14</v>
      </c>
      <c r="B25" s="11" t="s">
        <v>47</v>
      </c>
      <c r="C25" s="15" t="s">
        <v>48</v>
      </c>
      <c r="D25" s="15"/>
      <c r="E25" s="11">
        <v>13</v>
      </c>
      <c r="F25" s="11"/>
      <c r="G25" s="11"/>
      <c r="H25" s="11">
        <f t="shared" si="1"/>
        <v>13</v>
      </c>
    </row>
    <row r="26" spans="1:8">
      <c r="A26" s="11">
        <v>15</v>
      </c>
      <c r="B26" s="11" t="s">
        <v>49</v>
      </c>
      <c r="C26" s="15" t="s">
        <v>50</v>
      </c>
      <c r="D26" s="15"/>
      <c r="E26" s="11">
        <v>30</v>
      </c>
      <c r="F26" s="11"/>
      <c r="G26" s="11"/>
      <c r="H26" s="11">
        <f t="shared" si="1"/>
        <v>30</v>
      </c>
    </row>
    <row r="27" spans="1:8">
      <c r="A27" s="11">
        <v>16</v>
      </c>
      <c r="B27" s="11" t="s">
        <v>51</v>
      </c>
      <c r="C27" s="15" t="s">
        <v>52</v>
      </c>
      <c r="D27" s="15"/>
      <c r="E27" s="11">
        <v>60</v>
      </c>
      <c r="F27" s="11"/>
      <c r="G27" s="11"/>
      <c r="H27" s="11">
        <f t="shared" si="1"/>
        <v>60</v>
      </c>
    </row>
    <row r="28" spans="1:8">
      <c r="A28" s="11">
        <v>17</v>
      </c>
      <c r="B28" s="11" t="s">
        <v>53</v>
      </c>
      <c r="C28" s="15" t="s">
        <v>54</v>
      </c>
      <c r="D28" s="15"/>
      <c r="E28" s="11">
        <v>43</v>
      </c>
      <c r="F28" s="11"/>
      <c r="G28" s="11"/>
      <c r="H28" s="11">
        <f t="shared" si="1"/>
        <v>43</v>
      </c>
    </row>
    <row r="29" spans="1:8">
      <c r="A29" s="11">
        <v>18</v>
      </c>
      <c r="B29" s="11" t="s">
        <v>55</v>
      </c>
      <c r="C29" s="15" t="s">
        <v>56</v>
      </c>
      <c r="D29" s="15"/>
      <c r="E29" s="11">
        <v>11</v>
      </c>
      <c r="F29" s="11"/>
      <c r="G29" s="11"/>
      <c r="H29" s="11">
        <f t="shared" si="1"/>
        <v>11</v>
      </c>
    </row>
    <row r="30" spans="1:8">
      <c r="A30" s="11">
        <v>19</v>
      </c>
      <c r="B30" s="11" t="s">
        <v>57</v>
      </c>
      <c r="C30" s="15" t="s">
        <v>58</v>
      </c>
      <c r="D30" s="15"/>
      <c r="E30" s="11">
        <v>11</v>
      </c>
      <c r="F30" s="11"/>
      <c r="G30" s="11"/>
      <c r="H30" s="11">
        <f t="shared" si="1"/>
        <v>11</v>
      </c>
    </row>
    <row r="31" spans="1:8">
      <c r="A31" s="11">
        <v>20</v>
      </c>
      <c r="B31" s="11" t="s">
        <v>59</v>
      </c>
      <c r="C31" s="15" t="s">
        <v>60</v>
      </c>
      <c r="D31" s="15"/>
      <c r="E31" s="11">
        <v>34</v>
      </c>
      <c r="F31" s="11"/>
      <c r="G31" s="11"/>
      <c r="H31" s="11">
        <f t="shared" si="1"/>
        <v>34</v>
      </c>
    </row>
    <row r="32" spans="1:8">
      <c r="A32" s="11">
        <v>21</v>
      </c>
      <c r="B32" s="11" t="s">
        <v>61</v>
      </c>
      <c r="C32" s="15" t="s">
        <v>62</v>
      </c>
      <c r="D32" s="15"/>
      <c r="E32" s="11">
        <v>71</v>
      </c>
      <c r="F32" s="11"/>
      <c r="G32" s="11"/>
      <c r="H32" s="11">
        <f t="shared" si="1"/>
        <v>71</v>
      </c>
    </row>
    <row r="33" spans="1:8">
      <c r="A33" s="11">
        <v>22</v>
      </c>
      <c r="B33" s="11" t="s">
        <v>63</v>
      </c>
      <c r="C33" s="15" t="s">
        <v>64</v>
      </c>
      <c r="D33" s="15"/>
      <c r="E33" s="11">
        <v>39</v>
      </c>
      <c r="F33" s="11"/>
      <c r="G33" s="11"/>
      <c r="H33" s="11">
        <f t="shared" si="1"/>
        <v>39</v>
      </c>
    </row>
    <row r="34" spans="1:8">
      <c r="A34" s="11">
        <v>23</v>
      </c>
      <c r="B34" s="11" t="s">
        <v>65</v>
      </c>
      <c r="C34" s="15" t="s">
        <v>66</v>
      </c>
      <c r="D34" s="15"/>
      <c r="E34" s="11">
        <v>21</v>
      </c>
      <c r="F34" s="11"/>
      <c r="G34" s="11"/>
      <c r="H34" s="11">
        <f t="shared" si="1"/>
        <v>21</v>
      </c>
    </row>
    <row r="35" spans="1:8">
      <c r="A35" s="11">
        <v>24</v>
      </c>
      <c r="B35" s="11" t="s">
        <v>67</v>
      </c>
      <c r="C35" s="15" t="s">
        <v>68</v>
      </c>
      <c r="D35" s="15"/>
      <c r="E35" s="11">
        <v>50</v>
      </c>
      <c r="F35" s="11"/>
      <c r="G35" s="11"/>
      <c r="H35" s="11">
        <f t="shared" si="1"/>
        <v>50</v>
      </c>
    </row>
    <row r="36" spans="1:8">
      <c r="A36" s="11">
        <v>25</v>
      </c>
      <c r="B36" s="11" t="s">
        <v>69</v>
      </c>
      <c r="C36" s="15" t="s">
        <v>70</v>
      </c>
      <c r="D36" s="15"/>
      <c r="E36" s="11">
        <v>30</v>
      </c>
      <c r="F36" s="11"/>
      <c r="G36" s="11"/>
      <c r="H36" s="11">
        <f t="shared" si="1"/>
        <v>30</v>
      </c>
    </row>
    <row r="37" spans="1:8">
      <c r="A37" s="11">
        <v>26</v>
      </c>
      <c r="B37" s="11" t="s">
        <v>71</v>
      </c>
      <c r="C37" s="15" t="s">
        <v>72</v>
      </c>
      <c r="D37" s="15"/>
      <c r="E37" s="11">
        <v>27</v>
      </c>
      <c r="F37" s="11"/>
      <c r="G37" s="11"/>
      <c r="H37" s="11">
        <f t="shared" si="1"/>
        <v>27</v>
      </c>
    </row>
    <row r="38" spans="1:8">
      <c r="A38" s="11">
        <v>27</v>
      </c>
      <c r="B38" s="11" t="s">
        <v>73</v>
      </c>
      <c r="C38" s="15" t="s">
        <v>74</v>
      </c>
      <c r="D38" s="15"/>
      <c r="E38" s="11">
        <v>210</v>
      </c>
      <c r="F38" s="11"/>
      <c r="G38" s="11"/>
      <c r="H38" s="11">
        <f t="shared" si="1"/>
        <v>210</v>
      </c>
    </row>
    <row r="39" spans="1:8">
      <c r="A39" s="11">
        <v>28</v>
      </c>
      <c r="B39" s="11" t="s">
        <v>75</v>
      </c>
      <c r="C39" s="15" t="s">
        <v>76</v>
      </c>
      <c r="D39" s="15"/>
      <c r="E39" s="11">
        <v>66</v>
      </c>
      <c r="F39" s="11"/>
      <c r="G39" s="11"/>
      <c r="H39" s="11">
        <f t="shared" si="1"/>
        <v>66</v>
      </c>
    </row>
    <row r="40" spans="1:8">
      <c r="A40" s="11">
        <v>29</v>
      </c>
      <c r="B40" s="11" t="s">
        <v>77</v>
      </c>
      <c r="C40" s="15" t="s">
        <v>78</v>
      </c>
      <c r="D40" s="15"/>
      <c r="E40" s="11">
        <v>80</v>
      </c>
      <c r="F40" s="11"/>
      <c r="G40" s="11"/>
      <c r="H40" s="11">
        <f t="shared" si="1"/>
        <v>80</v>
      </c>
    </row>
    <row r="41" spans="1:8">
      <c r="A41" s="11">
        <v>30</v>
      </c>
      <c r="B41" s="11" t="s">
        <v>79</v>
      </c>
      <c r="C41" s="15" t="s">
        <v>80</v>
      </c>
      <c r="D41" s="15"/>
      <c r="E41" s="11">
        <v>46</v>
      </c>
      <c r="F41" s="11"/>
      <c r="G41" s="11"/>
      <c r="H41" s="11">
        <f t="shared" si="1"/>
        <v>46</v>
      </c>
    </row>
    <row r="42" spans="1:8">
      <c r="A42" s="11">
        <v>31</v>
      </c>
      <c r="B42" s="17" t="s">
        <v>81</v>
      </c>
      <c r="C42" s="15" t="s">
        <v>82</v>
      </c>
      <c r="D42" s="15"/>
      <c r="E42" s="11">
        <v>47</v>
      </c>
      <c r="F42" s="11"/>
      <c r="G42" s="11"/>
      <c r="H42" s="11">
        <f t="shared" si="1"/>
        <v>47</v>
      </c>
    </row>
    <row r="43" spans="1:8">
      <c r="A43" s="11">
        <v>32</v>
      </c>
      <c r="B43" s="11" t="s">
        <v>83</v>
      </c>
      <c r="C43" s="15" t="s">
        <v>84</v>
      </c>
      <c r="D43" s="15"/>
      <c r="E43" s="11">
        <v>66</v>
      </c>
      <c r="F43" s="11"/>
      <c r="G43" s="11">
        <v>2</v>
      </c>
      <c r="H43" s="11">
        <f t="shared" si="1"/>
        <v>64</v>
      </c>
    </row>
    <row r="44" spans="1:8">
      <c r="A44" s="11">
        <v>33</v>
      </c>
      <c r="B44" s="11" t="s">
        <v>85</v>
      </c>
      <c r="C44" s="15" t="s">
        <v>86</v>
      </c>
      <c r="D44" s="15"/>
      <c r="E44" s="11">
        <v>32</v>
      </c>
      <c r="F44" s="11"/>
      <c r="G44" s="11"/>
      <c r="H44" s="11">
        <f t="shared" si="1"/>
        <v>32</v>
      </c>
    </row>
    <row r="45" spans="1:8">
      <c r="A45" s="11">
        <v>34</v>
      </c>
      <c r="B45" s="11" t="s">
        <v>87</v>
      </c>
      <c r="C45" s="15" t="s">
        <v>88</v>
      </c>
      <c r="D45" s="15"/>
      <c r="E45" s="11">
        <v>169</v>
      </c>
      <c r="F45" s="11"/>
      <c r="G45" s="11">
        <v>2</v>
      </c>
      <c r="H45" s="11">
        <f t="shared" si="1"/>
        <v>167</v>
      </c>
    </row>
    <row r="46" spans="1:8">
      <c r="A46" s="11">
        <v>35</v>
      </c>
      <c r="B46" s="11" t="s">
        <v>89</v>
      </c>
      <c r="C46" s="15" t="s">
        <v>90</v>
      </c>
      <c r="D46" s="15"/>
      <c r="E46" s="11">
        <v>18</v>
      </c>
      <c r="F46" s="11"/>
      <c r="G46" s="11">
        <v>1</v>
      </c>
      <c r="H46" s="11">
        <f t="shared" si="1"/>
        <v>17</v>
      </c>
    </row>
    <row r="47" spans="1:8">
      <c r="A47" s="23" t="s">
        <v>110</v>
      </c>
      <c r="B47" s="22"/>
      <c r="C47" s="22"/>
      <c r="D47" s="28"/>
      <c r="E47" s="25"/>
      <c r="F47" s="18"/>
      <c r="G47" s="18"/>
      <c r="H47" s="18"/>
    </row>
    <row r="48" spans="1:8">
      <c r="A48" s="11">
        <v>1</v>
      </c>
      <c r="B48" s="11" t="s">
        <v>111</v>
      </c>
      <c r="C48" s="26" t="s">
        <v>112</v>
      </c>
      <c r="D48" s="26"/>
      <c r="E48" s="27">
        <v>0</v>
      </c>
      <c r="F48" s="27"/>
      <c r="G48" s="11"/>
      <c r="H48" s="11">
        <f t="shared" ref="H48:H58" si="2">SUM(E48+F48-G48)</f>
        <v>0</v>
      </c>
    </row>
    <row r="49" spans="1:8">
      <c r="A49" s="11">
        <v>2</v>
      </c>
      <c r="B49" s="11" t="s">
        <v>113</v>
      </c>
      <c r="C49" s="26" t="s">
        <v>114</v>
      </c>
      <c r="D49" s="26"/>
      <c r="E49" s="27">
        <v>0</v>
      </c>
      <c r="F49" s="27"/>
      <c r="G49" s="11"/>
      <c r="H49" s="11">
        <f t="shared" si="2"/>
        <v>0</v>
      </c>
    </row>
    <row r="50" spans="1:8">
      <c r="A50" s="11">
        <v>3</v>
      </c>
      <c r="B50" s="11" t="s">
        <v>115</v>
      </c>
      <c r="C50" s="26" t="s">
        <v>116</v>
      </c>
      <c r="D50" s="26"/>
      <c r="E50" s="27">
        <v>0</v>
      </c>
      <c r="F50" s="27"/>
      <c r="G50" s="11"/>
      <c r="H50" s="11">
        <f t="shared" si="2"/>
        <v>0</v>
      </c>
    </row>
    <row r="51" spans="1:8">
      <c r="A51" s="11">
        <v>4</v>
      </c>
      <c r="B51" s="11" t="s">
        <v>117</v>
      </c>
      <c r="C51" s="26" t="s">
        <v>118</v>
      </c>
      <c r="D51" s="26"/>
      <c r="E51" s="27">
        <v>0</v>
      </c>
      <c r="F51" s="27"/>
      <c r="G51" s="11"/>
      <c r="H51" s="11">
        <f t="shared" si="2"/>
        <v>0</v>
      </c>
    </row>
    <row r="52" spans="1:8">
      <c r="A52" s="11">
        <v>5</v>
      </c>
      <c r="B52" s="11" t="s">
        <v>119</v>
      </c>
      <c r="C52" s="26" t="s">
        <v>120</v>
      </c>
      <c r="D52" s="26"/>
      <c r="E52" s="27">
        <v>0</v>
      </c>
      <c r="F52" s="27"/>
      <c r="G52" s="11"/>
      <c r="H52" s="11">
        <f t="shared" si="2"/>
        <v>0</v>
      </c>
    </row>
    <row r="53" spans="1:8">
      <c r="A53" s="11">
        <v>6</v>
      </c>
      <c r="B53" s="11" t="s">
        <v>121</v>
      </c>
      <c r="C53" s="26" t="s">
        <v>122</v>
      </c>
      <c r="D53" s="26"/>
      <c r="E53" s="27">
        <v>100</v>
      </c>
      <c r="F53" s="27"/>
      <c r="G53" s="11">
        <f>16+15</f>
        <v>31</v>
      </c>
      <c r="H53" s="11">
        <f t="shared" si="2"/>
        <v>69</v>
      </c>
    </row>
    <row r="54" spans="1:8">
      <c r="A54" s="11">
        <v>7</v>
      </c>
      <c r="B54" s="11" t="s">
        <v>123</v>
      </c>
      <c r="C54" s="26" t="s">
        <v>124</v>
      </c>
      <c r="D54" s="26"/>
      <c r="E54" s="27">
        <v>200</v>
      </c>
      <c r="F54" s="27"/>
      <c r="G54" s="11"/>
      <c r="H54" s="11">
        <f t="shared" si="2"/>
        <v>200</v>
      </c>
    </row>
    <row r="55" spans="1:8">
      <c r="A55" s="11">
        <v>8</v>
      </c>
      <c r="B55" s="11" t="s">
        <v>125</v>
      </c>
      <c r="C55" s="26" t="s">
        <v>126</v>
      </c>
      <c r="D55" s="26"/>
      <c r="E55" s="27">
        <v>100</v>
      </c>
      <c r="F55" s="27"/>
      <c r="G55" s="11"/>
      <c r="H55" s="11">
        <f t="shared" si="2"/>
        <v>100</v>
      </c>
    </row>
    <row r="56" spans="1:8">
      <c r="A56" s="11">
        <v>9</v>
      </c>
      <c r="B56" s="11" t="s">
        <v>127</v>
      </c>
      <c r="C56" s="26" t="s">
        <v>128</v>
      </c>
      <c r="D56" s="26"/>
      <c r="E56" s="27">
        <v>0</v>
      </c>
      <c r="F56" s="27"/>
      <c r="G56" s="11"/>
      <c r="H56" s="11">
        <f t="shared" si="2"/>
        <v>0</v>
      </c>
    </row>
    <row r="57" spans="1:8">
      <c r="A57" s="11">
        <v>10</v>
      </c>
      <c r="B57" s="11" t="s">
        <v>129</v>
      </c>
      <c r="C57" s="26" t="s">
        <v>130</v>
      </c>
      <c r="D57" s="26"/>
      <c r="E57" s="27">
        <v>0</v>
      </c>
      <c r="F57" s="27"/>
      <c r="G57" s="11"/>
      <c r="H57" s="11">
        <f t="shared" si="2"/>
        <v>0</v>
      </c>
    </row>
    <row r="58" spans="1:8">
      <c r="A58" s="11">
        <v>11</v>
      </c>
      <c r="B58" s="11" t="s">
        <v>131</v>
      </c>
      <c r="C58" s="26" t="s">
        <v>132</v>
      </c>
      <c r="D58" s="26"/>
      <c r="E58" s="27">
        <v>0</v>
      </c>
      <c r="F58" s="27"/>
      <c r="G58" s="11"/>
      <c r="H58" s="11">
        <f t="shared" si="2"/>
        <v>0</v>
      </c>
    </row>
    <row r="59" spans="1:8" ht="15.75">
      <c r="A59" s="41" t="s">
        <v>150</v>
      </c>
      <c r="B59" s="41"/>
      <c r="C59" s="41"/>
      <c r="D59" s="38"/>
      <c r="E59" s="37"/>
      <c r="F59" s="37"/>
      <c r="G59" s="37"/>
    </row>
    <row r="60" spans="1:8" ht="15.75">
      <c r="A60" s="29">
        <v>1</v>
      </c>
      <c r="B60" s="29" t="s">
        <v>91</v>
      </c>
      <c r="C60" s="36" t="s">
        <v>92</v>
      </c>
      <c r="D60" s="36"/>
      <c r="E60" s="29">
        <v>4</v>
      </c>
      <c r="F60" s="29"/>
      <c r="G60" s="29">
        <v>1</v>
      </c>
      <c r="H60" s="29">
        <f t="shared" ref="H60:H75" si="3">SUM(E60+F60)-G60</f>
        <v>3</v>
      </c>
    </row>
    <row r="61" spans="1:8" ht="15.75">
      <c r="A61" s="29">
        <v>2</v>
      </c>
      <c r="B61" s="29" t="s">
        <v>93</v>
      </c>
      <c r="C61" s="36" t="s">
        <v>94</v>
      </c>
      <c r="D61" s="36"/>
      <c r="E61" s="29">
        <v>3</v>
      </c>
      <c r="F61" s="29"/>
      <c r="G61" s="29"/>
      <c r="H61" s="29">
        <f t="shared" si="3"/>
        <v>3</v>
      </c>
    </row>
    <row r="62" spans="1:8" ht="15.75">
      <c r="A62" s="29">
        <v>3</v>
      </c>
      <c r="B62" s="29" t="s">
        <v>95</v>
      </c>
      <c r="C62" s="36" t="s">
        <v>96</v>
      </c>
      <c r="D62" s="36"/>
      <c r="E62" s="29">
        <v>2</v>
      </c>
      <c r="F62" s="29"/>
      <c r="G62" s="29"/>
      <c r="H62" s="29">
        <f t="shared" si="3"/>
        <v>2</v>
      </c>
    </row>
    <row r="63" spans="1:8" ht="15.75">
      <c r="A63" s="29">
        <v>4</v>
      </c>
      <c r="B63" s="29" t="s">
        <v>97</v>
      </c>
      <c r="C63" s="36" t="s">
        <v>98</v>
      </c>
      <c r="D63" s="36"/>
      <c r="E63" s="29">
        <v>2</v>
      </c>
      <c r="F63" s="29"/>
      <c r="G63" s="29"/>
      <c r="H63" s="29">
        <f t="shared" si="3"/>
        <v>2</v>
      </c>
    </row>
    <row r="64" spans="1:8" ht="15.75">
      <c r="A64" s="29">
        <v>5</v>
      </c>
      <c r="B64" s="29" t="s">
        <v>99</v>
      </c>
      <c r="C64" s="36" t="s">
        <v>151</v>
      </c>
      <c r="D64" s="36"/>
      <c r="E64" s="30">
        <v>14</v>
      </c>
      <c r="F64" s="29"/>
      <c r="G64" s="29"/>
      <c r="H64" s="29">
        <f t="shared" si="3"/>
        <v>14</v>
      </c>
    </row>
    <row r="65" spans="1:8" ht="15.75">
      <c r="A65" s="29">
        <v>6</v>
      </c>
      <c r="B65" s="29" t="s">
        <v>100</v>
      </c>
      <c r="C65" s="36" t="s">
        <v>101</v>
      </c>
      <c r="D65" s="36"/>
      <c r="E65" s="29">
        <v>4</v>
      </c>
      <c r="F65" s="29"/>
      <c r="G65" s="29"/>
      <c r="H65" s="29">
        <f t="shared" si="3"/>
        <v>4</v>
      </c>
    </row>
    <row r="66" spans="1:8" ht="15.75">
      <c r="A66" s="29">
        <v>7</v>
      </c>
      <c r="B66" s="29" t="s">
        <v>102</v>
      </c>
      <c r="C66" s="36" t="s">
        <v>103</v>
      </c>
      <c r="D66" s="36"/>
      <c r="E66" s="30">
        <v>1</v>
      </c>
      <c r="F66" s="29"/>
      <c r="G66" s="29"/>
      <c r="H66" s="29">
        <f t="shared" si="3"/>
        <v>1</v>
      </c>
    </row>
    <row r="67" spans="1:8" ht="15.75">
      <c r="A67" s="29">
        <v>8</v>
      </c>
      <c r="B67" s="29" t="s">
        <v>104</v>
      </c>
      <c r="C67" s="36" t="s">
        <v>105</v>
      </c>
      <c r="D67" s="36"/>
      <c r="E67" s="29">
        <v>2</v>
      </c>
      <c r="F67" s="29"/>
      <c r="G67" s="29"/>
      <c r="H67" s="29">
        <f t="shared" si="3"/>
        <v>2</v>
      </c>
    </row>
    <row r="68" spans="1:8" ht="15.75">
      <c r="A68" s="29">
        <v>9</v>
      </c>
      <c r="B68" s="29" t="s">
        <v>106</v>
      </c>
      <c r="C68" s="36" t="s">
        <v>107</v>
      </c>
      <c r="D68" s="36"/>
      <c r="E68" s="29">
        <v>1</v>
      </c>
      <c r="F68" s="29"/>
      <c r="G68" s="29"/>
      <c r="H68" s="29">
        <f t="shared" si="3"/>
        <v>1</v>
      </c>
    </row>
    <row r="69" spans="1:8" ht="15.75">
      <c r="A69" s="35">
        <v>10</v>
      </c>
      <c r="B69" s="34" t="s">
        <v>149</v>
      </c>
      <c r="C69" s="33" t="s">
        <v>148</v>
      </c>
      <c r="D69" s="33"/>
      <c r="E69" s="32">
        <v>2</v>
      </c>
      <c r="F69" s="32"/>
      <c r="G69" s="32"/>
      <c r="H69" s="29">
        <f t="shared" si="3"/>
        <v>2</v>
      </c>
    </row>
    <row r="70" spans="1:8" ht="15.75">
      <c r="A70" s="30">
        <v>11</v>
      </c>
      <c r="B70" s="30" t="s">
        <v>147</v>
      </c>
      <c r="C70" s="31" t="s">
        <v>146</v>
      </c>
      <c r="D70" s="31"/>
      <c r="E70" s="29">
        <v>0</v>
      </c>
      <c r="F70" s="29"/>
      <c r="G70" s="29"/>
      <c r="H70" s="29">
        <f t="shared" si="3"/>
        <v>0</v>
      </c>
    </row>
    <row r="71" spans="1:8" ht="15.75">
      <c r="A71" s="30">
        <v>12</v>
      </c>
      <c r="B71" s="30" t="s">
        <v>145</v>
      </c>
      <c r="C71" s="31" t="s">
        <v>144</v>
      </c>
      <c r="D71" s="31"/>
      <c r="E71" s="29">
        <v>1</v>
      </c>
      <c r="F71" s="29"/>
      <c r="G71" s="29"/>
      <c r="H71" s="29">
        <f t="shared" si="3"/>
        <v>1</v>
      </c>
    </row>
    <row r="72" spans="1:8" ht="15.75">
      <c r="A72" s="30">
        <v>13</v>
      </c>
      <c r="B72" s="30" t="s">
        <v>143</v>
      </c>
      <c r="C72" s="31" t="s">
        <v>142</v>
      </c>
      <c r="D72" s="31"/>
      <c r="E72" s="29">
        <v>6</v>
      </c>
      <c r="F72" s="29"/>
      <c r="G72" s="29"/>
      <c r="H72" s="29">
        <f t="shared" si="3"/>
        <v>6</v>
      </c>
    </row>
    <row r="73" spans="1:8" ht="15.75">
      <c r="A73" s="30">
        <v>14</v>
      </c>
      <c r="B73" s="30" t="s">
        <v>141</v>
      </c>
      <c r="C73" s="31" t="s">
        <v>140</v>
      </c>
      <c r="D73" s="31"/>
      <c r="E73" s="29">
        <v>3</v>
      </c>
      <c r="F73" s="29"/>
      <c r="G73" s="29"/>
      <c r="H73" s="29">
        <f t="shared" si="3"/>
        <v>3</v>
      </c>
    </row>
    <row r="74" spans="1:8" ht="15.75">
      <c r="A74" s="30">
        <v>14</v>
      </c>
      <c r="B74" s="30" t="s">
        <v>139</v>
      </c>
      <c r="C74" s="31" t="s">
        <v>138</v>
      </c>
      <c r="D74" s="31"/>
      <c r="E74" s="29">
        <v>1</v>
      </c>
      <c r="F74" s="29"/>
      <c r="G74" s="29"/>
      <c r="H74" s="29">
        <f t="shared" si="3"/>
        <v>1</v>
      </c>
    </row>
    <row r="75" spans="1:8" ht="15.75">
      <c r="A75" s="30">
        <v>15</v>
      </c>
      <c r="B75" s="39" t="s">
        <v>137</v>
      </c>
      <c r="C75" s="40" t="s">
        <v>136</v>
      </c>
      <c r="D75" s="40"/>
      <c r="E75" s="29">
        <v>5</v>
      </c>
      <c r="F75" s="29"/>
      <c r="G75" s="29"/>
      <c r="H75" s="29">
        <f t="shared" si="3"/>
        <v>5</v>
      </c>
    </row>
  </sheetData>
  <mergeCells count="1">
    <mergeCell ref="A59:C59"/>
  </mergeCells>
  <pageMargins left="0.7" right="0.7" top="0.75" bottom="0.75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HYDRAULIC &amp; PENEUMATIC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2026-08-13T14:13:46Z</dcterms:modified>
</cp:coreProperties>
</file>