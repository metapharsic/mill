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U79" i="1"/>
  <c r="U78"/>
</calcChain>
</file>

<file path=xl/sharedStrings.xml><?xml version="1.0" encoding="utf-8"?>
<sst xmlns="http://schemas.openxmlformats.org/spreadsheetml/2006/main" count="373" uniqueCount="274">
  <si>
    <t>202608-26</t>
  </si>
  <si>
    <t>BE0135</t>
  </si>
  <si>
    <t>NU2217 -E-XL-M1-QP</t>
  </si>
  <si>
    <t>NOS</t>
  </si>
  <si>
    <t>SUNRISE BEARING CORPORATION</t>
  </si>
  <si>
    <t>SIV-31151</t>
  </si>
  <si>
    <t>BE0078</t>
  </si>
  <si>
    <t>22319 -E</t>
  </si>
  <si>
    <t>BE0098</t>
  </si>
  <si>
    <t>29418 -E1-XL-C3</t>
  </si>
  <si>
    <t>BE0179</t>
  </si>
  <si>
    <t>3306-BD-XL-TVH</t>
  </si>
  <si>
    <t>OS0079</t>
  </si>
  <si>
    <t>24-40-7 OIL SEAL</t>
  </si>
  <si>
    <t>IGRN No</t>
  </si>
  <si>
    <t>Date</t>
  </si>
  <si>
    <t>ITEM CODE</t>
  </si>
  <si>
    <t>Particulars Product Name</t>
  </si>
  <si>
    <t>HSN CODE</t>
  </si>
  <si>
    <t>UMO</t>
  </si>
  <si>
    <t>Qty</t>
  </si>
  <si>
    <t>Price</t>
  </si>
  <si>
    <t>After Discount</t>
  </si>
  <si>
    <t>GST</t>
  </si>
  <si>
    <t>IGST</t>
  </si>
  <si>
    <t>Tatal Amount</t>
  </si>
  <si>
    <t>Invoice Total</t>
  </si>
  <si>
    <t>Party Name</t>
  </si>
  <si>
    <t>Invoice No</t>
  </si>
  <si>
    <t>Invoice Date</t>
  </si>
  <si>
    <t>CGST</t>
  </si>
  <si>
    <t>SGST</t>
  </si>
  <si>
    <t>OS0080</t>
  </si>
  <si>
    <t>35-72-10 OIL SEAL</t>
  </si>
  <si>
    <t>18%, 5%.</t>
  </si>
  <si>
    <t>202608-24</t>
  </si>
  <si>
    <t>GECR005</t>
  </si>
  <si>
    <t>LIFT SLING WIRE ROPE 3 TON X 10MM (MTR)</t>
  </si>
  <si>
    <t>MTR</t>
  </si>
  <si>
    <t>ENAR MILL STORES</t>
  </si>
  <si>
    <t>ELEG0089</t>
  </si>
  <si>
    <t>MEHANICAL SEAL 25MM</t>
  </si>
  <si>
    <t>202608-25</t>
  </si>
  <si>
    <t>ELEG0090</t>
  </si>
  <si>
    <t>MEHANICAL SEAL 28MM</t>
  </si>
  <si>
    <t>202608-27</t>
  </si>
  <si>
    <t>GER0041</t>
  </si>
  <si>
    <t>PET GREEN STRAP BDL (12MM X 0.6 MM) 20 KG ROLL</t>
  </si>
  <si>
    <t>3920 6220</t>
  </si>
  <si>
    <t>SRI SAI VIVEK TECHNOLOGIES</t>
  </si>
  <si>
    <t>514/26-27</t>
  </si>
  <si>
    <t>CHHYP015</t>
  </si>
  <si>
    <t>SODIUM HYPO CHLORIDE [HYPO] (L)</t>
  </si>
  <si>
    <t>2828-9019</t>
  </si>
  <si>
    <t>KGS</t>
  </si>
  <si>
    <t>M.P. CHEMICALS</t>
  </si>
  <si>
    <t>SINDHU</t>
  </si>
  <si>
    <t>202608-28</t>
  </si>
  <si>
    <t>CHSTP001</t>
  </si>
  <si>
    <t>STARCH</t>
  </si>
  <si>
    <t>1108 1200</t>
  </si>
  <si>
    <t>MT</t>
  </si>
  <si>
    <t>SUKHJIT STARCH MILL</t>
  </si>
  <si>
    <t>ING2188/26-27</t>
  </si>
  <si>
    <t>TS 30 T 0459</t>
  </si>
  <si>
    <t>202608-29</t>
  </si>
  <si>
    <t>CLOTH WASTE</t>
  </si>
  <si>
    <t>ZAVERI BROTHERS</t>
  </si>
  <si>
    <t>CASH BILL</t>
  </si>
  <si>
    <t>202608-30</t>
  </si>
  <si>
    <t>CHPDL009</t>
  </si>
  <si>
    <t>PROSOLVE ADVANCE</t>
  </si>
  <si>
    <t>3824-9022</t>
  </si>
  <si>
    <t>SIGMAEXOR CHEMICALS PVT LTD</t>
  </si>
  <si>
    <t>CHPSL011</t>
  </si>
  <si>
    <t>PROSOLVE 126</t>
  </si>
  <si>
    <t>CHPML010</t>
  </si>
  <si>
    <t>PROMASK 192</t>
  </si>
  <si>
    <t>202608-31</t>
  </si>
  <si>
    <t>CHEST PUMP C.I BEARING HOUSEING</t>
  </si>
  <si>
    <t>8441-4000</t>
  </si>
  <si>
    <t>SRIYA ENGINEERING WORKS</t>
  </si>
  <si>
    <t>202608-32</t>
  </si>
  <si>
    <t>MVB0002</t>
  </si>
  <si>
    <t>V-BELT GREEN,BLACK SPB -PT 3150</t>
  </si>
  <si>
    <t>4010-3999</t>
  </si>
  <si>
    <t>SHREE GOKUL COMMERCIAL CORPORATION, 1446 NAGDEVI STREET, 1ST FLOOR, MUMBAI-400003, shreenath.bearings@gamil.com</t>
  </si>
  <si>
    <t>340/26-27</t>
  </si>
  <si>
    <t>MVB0001</t>
  </si>
  <si>
    <t>V-BELT SPB 1850</t>
  </si>
  <si>
    <t>GST NO: 27AEF7834M1ZG</t>
  </si>
  <si>
    <t>MVB0023</t>
  </si>
  <si>
    <t>BLACK C 107/C 2774</t>
  </si>
  <si>
    <t>BE0036</t>
  </si>
  <si>
    <t>6308-zz</t>
  </si>
  <si>
    <t>202608-33</t>
  </si>
  <si>
    <t>GER0066</t>
  </si>
  <si>
    <t>NILKAMAL AP1210 HW PALLET</t>
  </si>
  <si>
    <t>3923-1090</t>
  </si>
  <si>
    <t>HOMETASTIC, PLOT NO106, ROAD NO 25, KATTEDAN, HYDERBAD, TELAGANA-500077.,hometastic.kiran@gmail.com</t>
  </si>
  <si>
    <t>H/SI/26-27/248</t>
  </si>
  <si>
    <t>GER0067</t>
  </si>
  <si>
    <t>NILKAMAL AP1210 MW PALLET</t>
  </si>
  <si>
    <t>GST: 36BOJPS1129G1ZV</t>
  </si>
  <si>
    <t>202608-34</t>
  </si>
  <si>
    <t>ELEG0110</t>
  </si>
  <si>
    <t>COLLING FAN Fr.ND112 CG</t>
  </si>
  <si>
    <t>8503-0029</t>
  </si>
  <si>
    <t>NAGENDHRA ELECTRICAL WORKS,</t>
  </si>
  <si>
    <t>26-27/B123</t>
  </si>
  <si>
    <t>ELEG0111</t>
  </si>
  <si>
    <t>COLLING FAN Fr.ND122 CG</t>
  </si>
  <si>
    <t>SHED NO.D-54, ROAD NO.5, PH-1, IDA JEEDIMETLA, HYD-055</t>
  </si>
  <si>
    <t>ELEG0112</t>
  </si>
  <si>
    <t>COLLING FAN Fr.ND160 CG,4P</t>
  </si>
  <si>
    <t>GST36ANMPS4159H1ZH</t>
  </si>
  <si>
    <t>ELEG0113</t>
  </si>
  <si>
    <t>COLLING FAN Fr.ND200 CG,4P</t>
  </si>
  <si>
    <t>ELEG0114</t>
  </si>
  <si>
    <t>FAN COVER Fr.ND 112 CG</t>
  </si>
  <si>
    <t>ELEG0115</t>
  </si>
  <si>
    <t>FAN COVER Fr.ND 132 CG</t>
  </si>
  <si>
    <t>ELEG0116</t>
  </si>
  <si>
    <t>FAN COVER Fr.ND 180 CG</t>
  </si>
  <si>
    <t>ELEG0117</t>
  </si>
  <si>
    <t>FAN COVER Fr.ND 280 CG</t>
  </si>
  <si>
    <t>ELEG0118</t>
  </si>
  <si>
    <t>EYE BOLT Fr.112</t>
  </si>
  <si>
    <t>ELEG0119</t>
  </si>
  <si>
    <t>EYE BOLT Fr.132</t>
  </si>
  <si>
    <t>ELEG0120</t>
  </si>
  <si>
    <t>EYE BOLT Fr.160</t>
  </si>
  <si>
    <t>ELEG0121</t>
  </si>
  <si>
    <t>EYE BOLT Fr.180</t>
  </si>
  <si>
    <t>ELEG0122</t>
  </si>
  <si>
    <t>EYE BOLT Fr.200</t>
  </si>
  <si>
    <t>P&amp;F CJHARGES</t>
  </si>
  <si>
    <t>8516-8000</t>
  </si>
  <si>
    <t>202608-35</t>
  </si>
  <si>
    <t>3920-6220</t>
  </si>
  <si>
    <t>SRI SAI VIVEKA TECHNOLOGIES, PLOT NO C-41,D NO-7-41/1,SRI VIHARIKA COLONY, ROAD NO-3,MEDIPALLY, UPPAL DEPORT. HYDERBAD-500098, GST .36ACRFS6216K1ZJ</t>
  </si>
  <si>
    <t>524/26-27</t>
  </si>
  <si>
    <t>2026608-36</t>
  </si>
  <si>
    <t>PCR0001</t>
  </si>
  <si>
    <t>PAPER CARRIER ROPE 10MM X 3/8"</t>
  </si>
  <si>
    <t>5607-5090</t>
  </si>
  <si>
    <t>ANNPURANA GLOBALS, 31A, NEWMANDII,,MUZAFFARANAGAR, UTTAR PRADESH-09 GST: 09ABYFA1549F1Z2</t>
  </si>
  <si>
    <t>AG/26-27/104</t>
  </si>
  <si>
    <t>2026608-37</t>
  </si>
  <si>
    <t>CHDEL007</t>
  </si>
  <si>
    <t>DEFOAMER (SE 100)</t>
  </si>
  <si>
    <t>3809-9200</t>
  </si>
  <si>
    <t>SIGMAEXOR CHEMICALS PVT LTD, PLOT NO.303/3, 2ND PHASE,OLD C TYPE, OPP, UMIDICA LABRATORIES, VAPI-396 195, GST: 24ABCCS5927Q1ZR,</t>
  </si>
  <si>
    <t>2026608-38</t>
  </si>
  <si>
    <t>GER0056</t>
  </si>
  <si>
    <t>DRUM M.S TROLLY</t>
  </si>
  <si>
    <t>CENTURY TRADING CO, 4-2-266, MMMMAHANKALI STREET, SECUNDRABAD-500003., GST :36AIPPD2514F11ZH, CELL O98849131266</t>
  </si>
  <si>
    <t>680/26-27</t>
  </si>
  <si>
    <t>202608-39</t>
  </si>
  <si>
    <t>GER0065</t>
  </si>
  <si>
    <t>WHITE GOGGLES</t>
  </si>
  <si>
    <t>6903-1000</t>
  </si>
  <si>
    <t>686/26-27</t>
  </si>
  <si>
    <t>GCW0001</t>
  </si>
  <si>
    <t>4" CUTT OFF WHEEL</t>
  </si>
  <si>
    <t>6804-2290</t>
  </si>
  <si>
    <t>GER0057</t>
  </si>
  <si>
    <t>SHANK END MILL DRILL 20MM</t>
  </si>
  <si>
    <t>GER0058</t>
  </si>
  <si>
    <t>SHANK END MILL DRILL 22MM</t>
  </si>
  <si>
    <t>GER0059</t>
  </si>
  <si>
    <t>SHANK END MILL DRILL 25MM</t>
  </si>
  <si>
    <t>GER0060</t>
  </si>
  <si>
    <t>1 MTR INSIDE CALIPER</t>
  </si>
  <si>
    <t>9017-3010</t>
  </si>
  <si>
    <t>GER0061</t>
  </si>
  <si>
    <t>1 MTR OUT SIDE CALIPER</t>
  </si>
  <si>
    <t>GBW0001</t>
  </si>
  <si>
    <t>4" BUFFIN WHEEL</t>
  </si>
  <si>
    <t>GER0062</t>
  </si>
  <si>
    <t>CARBIDE TIP 12 MM</t>
  </si>
  <si>
    <t>GER0063</t>
  </si>
  <si>
    <t>CARBIDE TIP 20 MM</t>
  </si>
  <si>
    <t>GER0012</t>
  </si>
  <si>
    <t>RUST RELEASE SPRAY WD40(400ML)</t>
  </si>
  <si>
    <t>3403-1900</t>
  </si>
  <si>
    <t>GER0055</t>
  </si>
  <si>
    <t>LOCTITE-641 (50ML)</t>
  </si>
  <si>
    <t>GER0064</t>
  </si>
  <si>
    <t>SURFACE 12" MAGNATIC</t>
  </si>
  <si>
    <t>202608-40</t>
  </si>
  <si>
    <t>ELEG0124</t>
  </si>
  <si>
    <t>ELECTRONIC DOSING PUMP (BIO SIDE CHEMICAL)</t>
  </si>
  <si>
    <t>SIGMAECOR CHEMICALS PVT LTD</t>
  </si>
  <si>
    <t>202608-C01</t>
  </si>
  <si>
    <t>GER0068</t>
  </si>
  <si>
    <t>WATER PROOF BANDAGE</t>
  </si>
  <si>
    <t>GENERIC WORLD</t>
  </si>
  <si>
    <t>GER0069</t>
  </si>
  <si>
    <t>QUALFENGEL</t>
  </si>
  <si>
    <t>GER0070</t>
  </si>
  <si>
    <t>BURNAL CREAM</t>
  </si>
  <si>
    <t>GER0071</t>
  </si>
  <si>
    <t>CEFLOX EYE DROPS</t>
  </si>
  <si>
    <t>GER0072</t>
  </si>
  <si>
    <t>PIVIWOK IODIN GEL</t>
  </si>
  <si>
    <t>GER0073</t>
  </si>
  <si>
    <t>BRU-PAR TABLETS</t>
  </si>
  <si>
    <t>GER0074</t>
  </si>
  <si>
    <t>COTTON BUNDAL</t>
  </si>
  <si>
    <t>GER0075</t>
  </si>
  <si>
    <t>ROLL BANDAGE</t>
  </si>
  <si>
    <t>202608--C02</t>
  </si>
  <si>
    <t>STA033</t>
  </si>
  <si>
    <t>RUBBER BANDS 1.5 INCH (500 NOS)</t>
  </si>
  <si>
    <t>STA034</t>
  </si>
  <si>
    <t>PENCIL</t>
  </si>
  <si>
    <t>STA010</t>
  </si>
  <si>
    <t>BLUE PENS</t>
  </si>
  <si>
    <t>STA035</t>
  </si>
  <si>
    <t>BLADE CUTTER</t>
  </si>
  <si>
    <t>STA036</t>
  </si>
  <si>
    <t>BLADES</t>
  </si>
  <si>
    <t>STA037</t>
  </si>
  <si>
    <t>CD PEN MARKER</t>
  </si>
  <si>
    <t>STA017</t>
  </si>
  <si>
    <t>BLACK PEN MARKER</t>
  </si>
  <si>
    <t>GER0045</t>
  </si>
  <si>
    <t>SCISSOR 212 MM SIZE</t>
  </si>
  <si>
    <t>STA038</t>
  </si>
  <si>
    <t>ERIOSER</t>
  </si>
  <si>
    <t>STA039</t>
  </si>
  <si>
    <t>SHARPENER</t>
  </si>
  <si>
    <t>202608-C03</t>
  </si>
  <si>
    <t>STA040</t>
  </si>
  <si>
    <t>AJANTA DIGITAL CLOCK</t>
  </si>
  <si>
    <t>STA041</t>
  </si>
  <si>
    <t>AJANTA WALL CLOCK</t>
  </si>
  <si>
    <t>202608-C04</t>
  </si>
  <si>
    <t>OS0009</t>
  </si>
  <si>
    <t>25-52-7 OIL SEAL</t>
  </si>
  <si>
    <t>202608-41</t>
  </si>
  <si>
    <t>LAB004</t>
  </si>
  <si>
    <t>REFRACTO MEATER0-90%</t>
  </si>
  <si>
    <t>202608-42</t>
  </si>
  <si>
    <t>ELEG0081</t>
  </si>
  <si>
    <t>INSULATIN TAPE BLUE, GREEN, RED, YELLOW &amp; BLACK</t>
  </si>
  <si>
    <t>DATTU ELECTRICALS, SR.NO: 7-1-47/1 MIRCHI COMPOUND, NIZAMABAD-503 001, dattuelectricals@gmail.com, GST: 36ABLPM4344B1ZU</t>
  </si>
  <si>
    <t>D.C. NO.5298</t>
  </si>
  <si>
    <t>BY HAND</t>
  </si>
  <si>
    <t>ELEG0123</t>
  </si>
  <si>
    <t>40 W LED BULB</t>
  </si>
  <si>
    <t>ELEG0125</t>
  </si>
  <si>
    <t>6 A 3 PIN PLUG TOP</t>
  </si>
  <si>
    <t>ELEG0126</t>
  </si>
  <si>
    <t>FAN COVER Fr.ND 225 CG 50HP</t>
  </si>
  <si>
    <t>202608-43</t>
  </si>
  <si>
    <t>PCR0002</t>
  </si>
  <si>
    <t>PAPER CARRIER ROPE 12MM X 3/8"</t>
  </si>
  <si>
    <t>AG/26-27/112</t>
  </si>
  <si>
    <t>GST001</t>
  </si>
  <si>
    <t>16MM X 3" TRACTOR TYRE H/T NUT &amp; BOLT</t>
  </si>
  <si>
    <t>7318-1900</t>
  </si>
  <si>
    <t>LOCAL PURCHASE</t>
  </si>
  <si>
    <t>S.no</t>
  </si>
  <si>
    <t>Discount</t>
  </si>
  <si>
    <t>Sub Total</t>
  </si>
  <si>
    <t>INVOICE TOTAL C/SGST</t>
  </si>
  <si>
    <t>Traspoter Name</t>
  </si>
  <si>
    <t>Lr no</t>
  </si>
  <si>
    <t>CRIDET or CASH</t>
  </si>
  <si>
    <t>MADINA BOOK DEPORT HOLE SALE &amp; RETAIL</t>
  </si>
  <si>
    <t>RASHEED WATCH CO., SALES &amp; SERVICE</t>
  </si>
  <si>
    <t>ASIAN BEARINGS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</si>
</sst>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4" fontId="3" fillId="0" borderId="1" xfId="0" applyNumberFormat="1" applyFont="1" applyBorder="1" applyAlignment="1"/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9" fillId="0" borderId="1" xfId="2" applyFont="1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1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/>
    <xf numFmtId="4" fontId="3" fillId="0" borderId="1" xfId="0" applyNumberFormat="1" applyFont="1" applyBorder="1" applyAlignment="1">
      <alignment vertical="center"/>
    </xf>
    <xf numFmtId="43" fontId="3" fillId="0" borderId="1" xfId="1" applyFont="1" applyBorder="1" applyAlignment="1">
      <alignment horizontal="right" vertical="center"/>
    </xf>
    <xf numFmtId="43" fontId="3" fillId="0" borderId="1" xfId="1" applyFont="1" applyBorder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6"/>
  <sheetViews>
    <sheetView tabSelected="1" topLeftCell="A22" workbookViewId="0">
      <selection activeCell="W79" sqref="W79"/>
    </sheetView>
  </sheetViews>
  <sheetFormatPr defaultRowHeight="15"/>
  <cols>
    <col min="1" max="1" width="4.28515625" bestFit="1" customWidth="1"/>
    <col min="2" max="2" width="11.140625" bestFit="1" customWidth="1"/>
    <col min="3" max="3" width="10.42578125" bestFit="1" customWidth="1"/>
    <col min="4" max="4" width="11.140625" bestFit="1" customWidth="1"/>
    <col min="5" max="5" width="42.42578125" bestFit="1" customWidth="1"/>
    <col min="6" max="6" width="10.7109375" bestFit="1" customWidth="1"/>
    <col min="7" max="7" width="5.28515625" bestFit="1" customWidth="1"/>
    <col min="8" max="8" width="5" bestFit="1" customWidth="1"/>
    <col min="9" max="9" width="8.85546875" bestFit="1" customWidth="1"/>
    <col min="10" max="10" width="8.28515625" bestFit="1" customWidth="1"/>
    <col min="11" max="11" width="10.28515625" style="1" bestFit="1" customWidth="1"/>
    <col min="12" max="12" width="8.28515625" style="1" bestFit="1" customWidth="1"/>
    <col min="13" max="13" width="12.7109375" bestFit="1" customWidth="1"/>
    <col min="14" max="14" width="8.85546875" bestFit="1" customWidth="1"/>
    <col min="15" max="15" width="3.42578125" bestFit="1" customWidth="1"/>
    <col min="16" max="16" width="8.85546875" bestFit="1" customWidth="1"/>
    <col min="17" max="17" width="3.42578125" bestFit="1" customWidth="1"/>
    <col min="18" max="18" width="10.28515625" bestFit="1" customWidth="1"/>
    <col min="19" max="19" width="22.5703125" bestFit="1" customWidth="1"/>
    <col min="20" max="20" width="12" bestFit="1" customWidth="1"/>
    <col min="21" max="21" width="11.140625" bestFit="1" customWidth="1"/>
    <col min="22" max="22" width="132.7109375" bestFit="1" customWidth="1"/>
    <col min="23" max="23" width="13.42578125" bestFit="1" customWidth="1"/>
    <col min="24" max="24" width="11" bestFit="1" customWidth="1"/>
    <col min="25" max="25" width="14.28515625" bestFit="1" customWidth="1"/>
    <col min="26" max="26" width="5.140625" bestFit="1" customWidth="1"/>
    <col min="27" max="27" width="15.5703125" bestFit="1" customWidth="1"/>
  </cols>
  <sheetData>
    <row r="1" spans="1:27" s="2" customFormat="1" ht="12.75">
      <c r="A1" s="12" t="s">
        <v>264</v>
      </c>
      <c r="B1" s="13" t="s">
        <v>14</v>
      </c>
      <c r="C1" s="13" t="s">
        <v>15</v>
      </c>
      <c r="D1" s="13" t="s">
        <v>16</v>
      </c>
      <c r="E1" s="13" t="s">
        <v>17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265</v>
      </c>
      <c r="K1" s="13" t="s">
        <v>266</v>
      </c>
      <c r="L1" s="13" t="s">
        <v>265</v>
      </c>
      <c r="M1" s="13" t="s">
        <v>22</v>
      </c>
      <c r="N1" s="13" t="s">
        <v>23</v>
      </c>
      <c r="O1" s="14"/>
      <c r="P1" s="14"/>
      <c r="Q1" s="14"/>
      <c r="R1" s="13" t="s">
        <v>24</v>
      </c>
      <c r="S1" s="13" t="s">
        <v>267</v>
      </c>
      <c r="T1" s="13" t="s">
        <v>25</v>
      </c>
      <c r="U1" s="13" t="s">
        <v>26</v>
      </c>
      <c r="V1" s="13" t="s">
        <v>27</v>
      </c>
      <c r="W1" s="13" t="s">
        <v>28</v>
      </c>
      <c r="X1" s="13" t="s">
        <v>29</v>
      </c>
      <c r="Y1" s="13" t="s">
        <v>268</v>
      </c>
      <c r="Z1" s="13" t="s">
        <v>269</v>
      </c>
      <c r="AA1" s="13" t="s">
        <v>270</v>
      </c>
    </row>
    <row r="2" spans="1:27" s="2" customFormat="1" ht="12.7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3" t="s">
        <v>30</v>
      </c>
      <c r="O2" s="14"/>
      <c r="P2" s="13" t="s">
        <v>31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9">
        <v>9</v>
      </c>
      <c r="O3" s="9">
        <v>2.5</v>
      </c>
      <c r="P3" s="9">
        <v>9</v>
      </c>
      <c r="Q3" s="9">
        <v>2.5</v>
      </c>
      <c r="R3" s="10"/>
      <c r="S3" s="11" t="s">
        <v>34</v>
      </c>
      <c r="T3" s="3"/>
      <c r="U3" s="3"/>
      <c r="V3" s="15"/>
      <c r="W3" s="15"/>
      <c r="X3" s="15"/>
      <c r="Y3" s="15"/>
      <c r="Z3" s="15"/>
      <c r="AA3" s="15"/>
    </row>
    <row r="4" spans="1:27">
      <c r="A4" s="4">
        <v>24</v>
      </c>
      <c r="B4" s="4" t="s">
        <v>35</v>
      </c>
      <c r="C4" s="16">
        <v>46246</v>
      </c>
      <c r="D4" s="4" t="s">
        <v>36</v>
      </c>
      <c r="E4" s="5" t="s">
        <v>37</v>
      </c>
      <c r="F4" s="5"/>
      <c r="G4" s="5" t="s">
        <v>38</v>
      </c>
      <c r="H4" s="4">
        <v>28</v>
      </c>
      <c r="I4" s="7">
        <v>100</v>
      </c>
      <c r="J4" s="7">
        <v>0</v>
      </c>
      <c r="K4" s="6">
        <v>2800</v>
      </c>
      <c r="L4" s="7">
        <v>0</v>
      </c>
      <c r="M4" s="6">
        <v>2800</v>
      </c>
      <c r="N4" s="7">
        <v>0</v>
      </c>
      <c r="O4" s="5"/>
      <c r="P4" s="7">
        <v>0</v>
      </c>
      <c r="Q4" s="5"/>
      <c r="R4" s="5"/>
      <c r="S4" s="7">
        <v>0</v>
      </c>
      <c r="T4" s="6">
        <v>2800</v>
      </c>
      <c r="U4" s="5"/>
      <c r="V4" s="5" t="s">
        <v>39</v>
      </c>
      <c r="W4" s="7">
        <v>256</v>
      </c>
      <c r="X4" s="16">
        <v>46246</v>
      </c>
      <c r="Y4" s="5"/>
      <c r="Z4" s="5"/>
      <c r="AA4" s="5"/>
    </row>
    <row r="5" spans="1:27">
      <c r="A5" s="5"/>
      <c r="B5" s="5"/>
      <c r="C5" s="5"/>
      <c r="D5" s="4" t="s">
        <v>40</v>
      </c>
      <c r="E5" s="5" t="s">
        <v>41</v>
      </c>
      <c r="F5" s="5"/>
      <c r="G5" s="5" t="s">
        <v>3</v>
      </c>
      <c r="H5" s="4">
        <v>2</v>
      </c>
      <c r="I5" s="7">
        <v>360</v>
      </c>
      <c r="J5" s="7">
        <v>0</v>
      </c>
      <c r="K5" s="7">
        <v>720</v>
      </c>
      <c r="L5" s="7">
        <v>0</v>
      </c>
      <c r="M5" s="7">
        <v>720</v>
      </c>
      <c r="N5" s="7">
        <v>0</v>
      </c>
      <c r="O5" s="5"/>
      <c r="P5" s="7">
        <v>0</v>
      </c>
      <c r="Q5" s="5"/>
      <c r="R5" s="5"/>
      <c r="S5" s="7">
        <v>0</v>
      </c>
      <c r="T5" s="7">
        <v>720</v>
      </c>
      <c r="U5" s="6">
        <v>3520</v>
      </c>
      <c r="V5" s="5"/>
      <c r="W5" s="5"/>
      <c r="X5" s="5"/>
      <c r="Y5" s="5"/>
      <c r="Z5" s="5"/>
      <c r="AA5" s="5"/>
    </row>
    <row r="6" spans="1:27">
      <c r="A6" s="4">
        <v>25</v>
      </c>
      <c r="B6" s="4" t="s">
        <v>42</v>
      </c>
      <c r="C6" s="5"/>
      <c r="D6" s="4" t="s">
        <v>43</v>
      </c>
      <c r="E6" s="5" t="s">
        <v>44</v>
      </c>
      <c r="F6" s="5"/>
      <c r="G6" s="5" t="s">
        <v>3</v>
      </c>
      <c r="H6" s="4">
        <v>1</v>
      </c>
      <c r="I6" s="7">
        <v>430</v>
      </c>
      <c r="J6" s="7">
        <v>0</v>
      </c>
      <c r="K6" s="7">
        <v>430</v>
      </c>
      <c r="L6" s="7">
        <v>0</v>
      </c>
      <c r="M6" s="7">
        <v>430</v>
      </c>
      <c r="N6" s="7">
        <v>0</v>
      </c>
      <c r="O6" s="5"/>
      <c r="P6" s="7">
        <v>0</v>
      </c>
      <c r="Q6" s="5"/>
      <c r="R6" s="5"/>
      <c r="S6" s="7">
        <v>0</v>
      </c>
      <c r="T6" s="7">
        <v>430</v>
      </c>
      <c r="U6" s="7">
        <v>430</v>
      </c>
      <c r="V6" s="5"/>
      <c r="W6" s="5"/>
      <c r="X6" s="5"/>
      <c r="Y6" s="5"/>
      <c r="Z6" s="5"/>
      <c r="AA6" s="5"/>
    </row>
    <row r="7" spans="1:27">
      <c r="A7" s="4">
        <v>26</v>
      </c>
      <c r="B7" s="4" t="s">
        <v>0</v>
      </c>
      <c r="C7" s="8">
        <v>46250</v>
      </c>
      <c r="D7" s="4" t="s">
        <v>1</v>
      </c>
      <c r="E7" s="5" t="s">
        <v>2</v>
      </c>
      <c r="F7" s="4">
        <v>848250</v>
      </c>
      <c r="G7" s="5" t="s">
        <v>3</v>
      </c>
      <c r="H7" s="4">
        <v>2</v>
      </c>
      <c r="I7" s="6">
        <v>6285</v>
      </c>
      <c r="J7" s="7">
        <v>0</v>
      </c>
      <c r="K7" s="6">
        <v>12570</v>
      </c>
      <c r="L7" s="7">
        <v>0</v>
      </c>
      <c r="M7" s="6">
        <v>12570</v>
      </c>
      <c r="N7" s="6">
        <v>1131.3</v>
      </c>
      <c r="O7" s="5"/>
      <c r="P7" s="6">
        <v>1131.3</v>
      </c>
      <c r="Q7" s="5"/>
      <c r="R7" s="5"/>
      <c r="S7" s="6">
        <v>2262.6</v>
      </c>
      <c r="T7" s="6">
        <v>14832.6</v>
      </c>
      <c r="U7" s="5"/>
      <c r="V7" s="5" t="s">
        <v>4</v>
      </c>
      <c r="W7" s="5" t="s">
        <v>5</v>
      </c>
      <c r="X7" s="8">
        <v>46247</v>
      </c>
      <c r="Y7" s="5"/>
      <c r="Z7" s="5"/>
      <c r="AA7" s="5"/>
    </row>
    <row r="8" spans="1:27">
      <c r="A8" s="5"/>
      <c r="B8" s="5"/>
      <c r="C8" s="5"/>
      <c r="D8" s="4" t="s">
        <v>6</v>
      </c>
      <c r="E8" s="5" t="s">
        <v>7</v>
      </c>
      <c r="F8" s="4">
        <v>848250</v>
      </c>
      <c r="G8" s="5" t="s">
        <v>3</v>
      </c>
      <c r="H8" s="4">
        <v>2</v>
      </c>
      <c r="I8" s="6">
        <v>13195</v>
      </c>
      <c r="J8" s="7">
        <v>0</v>
      </c>
      <c r="K8" s="6">
        <v>26390</v>
      </c>
      <c r="L8" s="7">
        <v>0</v>
      </c>
      <c r="M8" s="6">
        <v>26390</v>
      </c>
      <c r="N8" s="6">
        <v>2375.1</v>
      </c>
      <c r="O8" s="5"/>
      <c r="P8" s="6">
        <v>2375.1</v>
      </c>
      <c r="Q8" s="5"/>
      <c r="R8" s="5"/>
      <c r="S8" s="6">
        <v>4750.2</v>
      </c>
      <c r="T8" s="6">
        <v>31140.2</v>
      </c>
      <c r="U8" s="5"/>
      <c r="V8" s="5"/>
      <c r="W8" s="5"/>
      <c r="X8" s="5"/>
      <c r="Y8" s="5"/>
      <c r="Z8" s="5"/>
      <c r="AA8" s="5"/>
    </row>
    <row r="9" spans="1:27">
      <c r="A9" s="5"/>
      <c r="B9" s="5"/>
      <c r="C9" s="5"/>
      <c r="D9" s="4" t="s">
        <v>8</v>
      </c>
      <c r="E9" s="5" t="s">
        <v>9</v>
      </c>
      <c r="F9" s="4">
        <v>848250</v>
      </c>
      <c r="G9" s="5" t="s">
        <v>3</v>
      </c>
      <c r="H9" s="4">
        <v>2</v>
      </c>
      <c r="I9" s="6">
        <v>36710</v>
      </c>
      <c r="J9" s="7">
        <v>0</v>
      </c>
      <c r="K9" s="6">
        <v>73420</v>
      </c>
      <c r="L9" s="7">
        <v>0</v>
      </c>
      <c r="M9" s="6">
        <v>73420</v>
      </c>
      <c r="N9" s="6">
        <v>6607.8</v>
      </c>
      <c r="O9" s="5"/>
      <c r="P9" s="6">
        <v>6607.8</v>
      </c>
      <c r="Q9" s="5"/>
      <c r="R9" s="5"/>
      <c r="S9" s="6">
        <v>13215.6</v>
      </c>
      <c r="T9" s="6">
        <v>86635.6</v>
      </c>
      <c r="U9" s="5"/>
      <c r="V9" s="5"/>
      <c r="W9" s="5"/>
      <c r="X9" s="5"/>
      <c r="Y9" s="5"/>
      <c r="Z9" s="5"/>
      <c r="AA9" s="5"/>
    </row>
    <row r="10" spans="1:27">
      <c r="A10" s="5"/>
      <c r="B10" s="5"/>
      <c r="C10" s="5"/>
      <c r="D10" s="4" t="s">
        <v>10</v>
      </c>
      <c r="E10" s="5" t="s">
        <v>11</v>
      </c>
      <c r="F10" s="4">
        <v>848250</v>
      </c>
      <c r="G10" s="5" t="s">
        <v>3</v>
      </c>
      <c r="H10" s="4">
        <v>2</v>
      </c>
      <c r="I10" s="6">
        <v>3025</v>
      </c>
      <c r="J10" s="7">
        <v>0</v>
      </c>
      <c r="K10" s="6">
        <v>6050</v>
      </c>
      <c r="L10" s="7">
        <v>0</v>
      </c>
      <c r="M10" s="6">
        <v>6050</v>
      </c>
      <c r="N10" s="7">
        <v>544.5</v>
      </c>
      <c r="O10" s="5"/>
      <c r="P10" s="7">
        <v>544.5</v>
      </c>
      <c r="Q10" s="5"/>
      <c r="R10" s="5"/>
      <c r="S10" s="6">
        <v>1089</v>
      </c>
      <c r="T10" s="6">
        <v>7139</v>
      </c>
      <c r="U10" s="5"/>
      <c r="V10" s="5"/>
      <c r="W10" s="5"/>
      <c r="X10" s="5"/>
      <c r="Y10" s="5"/>
      <c r="Z10" s="5"/>
      <c r="AA10" s="5"/>
    </row>
    <row r="11" spans="1:27">
      <c r="A11" s="5"/>
      <c r="B11" s="5"/>
      <c r="C11" s="5"/>
      <c r="D11" s="4" t="s">
        <v>12</v>
      </c>
      <c r="E11" s="5" t="s">
        <v>13</v>
      </c>
      <c r="F11" s="4">
        <v>401693</v>
      </c>
      <c r="G11" s="5" t="s">
        <v>3</v>
      </c>
      <c r="H11" s="4">
        <v>4</v>
      </c>
      <c r="I11" s="7">
        <v>50</v>
      </c>
      <c r="J11" s="7">
        <v>0</v>
      </c>
      <c r="K11" s="7">
        <v>200</v>
      </c>
      <c r="L11" s="7">
        <v>0</v>
      </c>
      <c r="M11" s="7">
        <v>200</v>
      </c>
      <c r="N11" s="7">
        <v>18</v>
      </c>
      <c r="O11" s="5"/>
      <c r="P11" s="7">
        <v>18</v>
      </c>
      <c r="Q11" s="5"/>
      <c r="R11" s="5"/>
      <c r="S11" s="7">
        <v>36</v>
      </c>
      <c r="T11" s="7">
        <v>236</v>
      </c>
      <c r="U11" s="5"/>
      <c r="V11" s="5"/>
      <c r="W11" s="5"/>
      <c r="X11" s="5"/>
      <c r="Y11" s="5"/>
      <c r="Z11" s="5"/>
      <c r="AA11" s="5"/>
    </row>
    <row r="12" spans="1:27">
      <c r="A12" s="5"/>
      <c r="B12" s="5"/>
      <c r="C12" s="5"/>
      <c r="D12" s="4" t="s">
        <v>32</v>
      </c>
      <c r="E12" s="5" t="s">
        <v>33</v>
      </c>
      <c r="F12" s="4">
        <v>401693</v>
      </c>
      <c r="G12" s="5" t="s">
        <v>3</v>
      </c>
      <c r="H12" s="4">
        <v>4</v>
      </c>
      <c r="I12" s="7">
        <v>80</v>
      </c>
      <c r="J12" s="7">
        <v>0</v>
      </c>
      <c r="K12" s="7">
        <v>320</v>
      </c>
      <c r="L12" s="7">
        <v>0</v>
      </c>
      <c r="M12" s="7">
        <v>320</v>
      </c>
      <c r="N12" s="7">
        <v>28.8</v>
      </c>
      <c r="O12" s="5"/>
      <c r="P12" s="7">
        <v>28.8</v>
      </c>
      <c r="Q12" s="5"/>
      <c r="R12" s="5"/>
      <c r="S12" s="7">
        <v>57.6</v>
      </c>
      <c r="T12" s="7">
        <v>377.6</v>
      </c>
      <c r="U12" s="6">
        <v>140361</v>
      </c>
      <c r="V12" s="5"/>
      <c r="W12" s="5"/>
      <c r="X12" s="5"/>
      <c r="Y12" s="5"/>
      <c r="Z12" s="5"/>
      <c r="AA12" s="5"/>
    </row>
    <row r="13" spans="1:27">
      <c r="A13" s="4">
        <v>27</v>
      </c>
      <c r="B13" s="4" t="s">
        <v>45</v>
      </c>
      <c r="C13" s="8">
        <v>46250</v>
      </c>
      <c r="D13" s="4" t="s">
        <v>46</v>
      </c>
      <c r="E13" s="5" t="s">
        <v>47</v>
      </c>
      <c r="F13" s="4" t="s">
        <v>48</v>
      </c>
      <c r="G13" s="5" t="s">
        <v>3</v>
      </c>
      <c r="H13" s="4">
        <v>6</v>
      </c>
      <c r="I13" s="6">
        <v>2150</v>
      </c>
      <c r="J13" s="7">
        <v>0</v>
      </c>
      <c r="K13" s="6">
        <v>12900</v>
      </c>
      <c r="L13" s="7">
        <v>0</v>
      </c>
      <c r="M13" s="6">
        <v>12900</v>
      </c>
      <c r="N13" s="6">
        <v>1161</v>
      </c>
      <c r="O13" s="5"/>
      <c r="P13" s="6">
        <v>1161</v>
      </c>
      <c r="Q13" s="5"/>
      <c r="R13" s="5"/>
      <c r="S13" s="6">
        <v>2322</v>
      </c>
      <c r="T13" s="6">
        <v>15222</v>
      </c>
      <c r="U13" s="6">
        <v>15222</v>
      </c>
      <c r="V13" s="5" t="s">
        <v>49</v>
      </c>
      <c r="W13" s="5" t="s">
        <v>50</v>
      </c>
      <c r="X13" s="8">
        <v>46248</v>
      </c>
      <c r="Y13" s="5"/>
      <c r="Z13" s="5"/>
      <c r="AA13" s="5"/>
    </row>
    <row r="14" spans="1:27">
      <c r="A14" s="4">
        <v>28</v>
      </c>
      <c r="B14" s="4" t="s">
        <v>45</v>
      </c>
      <c r="C14" s="8">
        <v>46252</v>
      </c>
      <c r="D14" s="4" t="s">
        <v>51</v>
      </c>
      <c r="E14" s="5" t="s">
        <v>52</v>
      </c>
      <c r="F14" s="4" t="s">
        <v>53</v>
      </c>
      <c r="G14" s="5" t="s">
        <v>54</v>
      </c>
      <c r="H14" s="4">
        <v>300</v>
      </c>
      <c r="I14" s="7">
        <v>18</v>
      </c>
      <c r="J14" s="7">
        <v>0</v>
      </c>
      <c r="K14" s="6">
        <v>5400</v>
      </c>
      <c r="L14" s="7">
        <v>0</v>
      </c>
      <c r="M14" s="6">
        <v>5400</v>
      </c>
      <c r="N14" s="7">
        <v>486</v>
      </c>
      <c r="O14" s="5"/>
      <c r="P14" s="7">
        <v>486</v>
      </c>
      <c r="Q14" s="5"/>
      <c r="R14" s="5"/>
      <c r="S14" s="7">
        <v>972</v>
      </c>
      <c r="T14" s="6">
        <v>6372</v>
      </c>
      <c r="U14" s="6">
        <v>6372</v>
      </c>
      <c r="V14" s="5" t="s">
        <v>55</v>
      </c>
      <c r="W14" s="7">
        <v>385</v>
      </c>
      <c r="X14" s="16">
        <v>46246</v>
      </c>
      <c r="Y14" s="5" t="s">
        <v>56</v>
      </c>
      <c r="Z14" s="5"/>
      <c r="AA14" s="5"/>
    </row>
    <row r="15" spans="1:27">
      <c r="A15" s="4">
        <v>29</v>
      </c>
      <c r="B15" s="4" t="s">
        <v>57</v>
      </c>
      <c r="C15" s="8">
        <v>46252</v>
      </c>
      <c r="D15" s="4" t="s">
        <v>58</v>
      </c>
      <c r="E15" s="5" t="s">
        <v>59</v>
      </c>
      <c r="F15" s="4" t="s">
        <v>60</v>
      </c>
      <c r="G15" s="5" t="s">
        <v>61</v>
      </c>
      <c r="H15" s="4">
        <v>25</v>
      </c>
      <c r="I15" s="6">
        <v>35750</v>
      </c>
      <c r="J15" s="7">
        <v>0</v>
      </c>
      <c r="K15" s="6">
        <v>893750</v>
      </c>
      <c r="L15" s="7">
        <v>0</v>
      </c>
      <c r="M15" s="6">
        <v>893750</v>
      </c>
      <c r="N15" s="6">
        <v>22343.75</v>
      </c>
      <c r="O15" s="5"/>
      <c r="P15" s="6">
        <v>22343.75</v>
      </c>
      <c r="Q15" s="5"/>
      <c r="R15" s="5"/>
      <c r="S15" s="6">
        <v>44687.5</v>
      </c>
      <c r="T15" s="6">
        <v>938438</v>
      </c>
      <c r="U15" s="6">
        <v>938438</v>
      </c>
      <c r="V15" s="5" t="s">
        <v>62</v>
      </c>
      <c r="W15" s="5" t="s">
        <v>63</v>
      </c>
      <c r="X15" s="8">
        <v>46252</v>
      </c>
      <c r="Y15" s="5" t="s">
        <v>64</v>
      </c>
      <c r="Z15" s="5"/>
      <c r="AA15" s="5"/>
    </row>
    <row r="16" spans="1:27">
      <c r="A16" s="4">
        <v>30</v>
      </c>
      <c r="B16" s="4" t="s">
        <v>65</v>
      </c>
      <c r="C16" s="8">
        <v>46253</v>
      </c>
      <c r="D16" s="5"/>
      <c r="E16" s="5" t="s">
        <v>66</v>
      </c>
      <c r="F16" s="5"/>
      <c r="G16" s="5" t="s">
        <v>54</v>
      </c>
      <c r="H16" s="4">
        <v>10</v>
      </c>
      <c r="I16" s="7">
        <v>60</v>
      </c>
      <c r="J16" s="7">
        <v>0</v>
      </c>
      <c r="K16" s="7">
        <v>600</v>
      </c>
      <c r="L16" s="7">
        <v>0</v>
      </c>
      <c r="M16" s="7">
        <v>600</v>
      </c>
      <c r="N16" s="7">
        <v>0</v>
      </c>
      <c r="O16" s="5"/>
      <c r="P16" s="7">
        <v>0</v>
      </c>
      <c r="Q16" s="5"/>
      <c r="R16" s="5"/>
      <c r="S16" s="7">
        <v>0</v>
      </c>
      <c r="T16" s="7">
        <v>600</v>
      </c>
      <c r="U16" s="7">
        <v>600</v>
      </c>
      <c r="V16" s="5" t="s">
        <v>67</v>
      </c>
      <c r="W16" s="5" t="s">
        <v>68</v>
      </c>
      <c r="X16" s="8">
        <v>46253</v>
      </c>
      <c r="Y16" s="5"/>
      <c r="Z16" s="5"/>
      <c r="AA16" s="5"/>
    </row>
    <row r="17" spans="1:27">
      <c r="A17" s="4">
        <v>31</v>
      </c>
      <c r="B17" s="4" t="s">
        <v>69</v>
      </c>
      <c r="C17" s="8">
        <v>46254</v>
      </c>
      <c r="D17" s="4" t="s">
        <v>70</v>
      </c>
      <c r="E17" s="5" t="s">
        <v>71</v>
      </c>
      <c r="F17" s="4" t="s">
        <v>72</v>
      </c>
      <c r="G17" s="5" t="s">
        <v>54</v>
      </c>
      <c r="H17" s="4">
        <v>2500</v>
      </c>
      <c r="I17" s="7">
        <v>230</v>
      </c>
      <c r="J17" s="7">
        <v>0</v>
      </c>
      <c r="K17" s="6">
        <v>575000</v>
      </c>
      <c r="L17" s="7">
        <v>0</v>
      </c>
      <c r="M17" s="6">
        <v>575000</v>
      </c>
      <c r="N17" s="7">
        <v>0</v>
      </c>
      <c r="O17" s="5"/>
      <c r="P17" s="7">
        <v>0</v>
      </c>
      <c r="Q17" s="5"/>
      <c r="R17" s="6">
        <v>103500</v>
      </c>
      <c r="S17" s="7">
        <v>0</v>
      </c>
      <c r="T17" s="6">
        <v>678500</v>
      </c>
      <c r="U17" s="5"/>
      <c r="V17" s="5" t="s">
        <v>73</v>
      </c>
      <c r="W17" s="7">
        <v>23</v>
      </c>
      <c r="X17" s="8">
        <v>46252</v>
      </c>
      <c r="Y17" s="5"/>
      <c r="Z17" s="5"/>
      <c r="AA17" s="5"/>
    </row>
    <row r="18" spans="1:27">
      <c r="A18" s="5"/>
      <c r="B18" s="5"/>
      <c r="C18" s="5"/>
      <c r="D18" s="4" t="s">
        <v>74</v>
      </c>
      <c r="E18" s="5" t="s">
        <v>75</v>
      </c>
      <c r="F18" s="4" t="s">
        <v>72</v>
      </c>
      <c r="G18" s="5" t="s">
        <v>54</v>
      </c>
      <c r="H18" s="4">
        <v>300</v>
      </c>
      <c r="I18" s="7">
        <v>230</v>
      </c>
      <c r="J18" s="7">
        <v>0</v>
      </c>
      <c r="K18" s="6">
        <v>69000</v>
      </c>
      <c r="L18" s="7">
        <v>0</v>
      </c>
      <c r="M18" s="6">
        <v>69000</v>
      </c>
      <c r="N18" s="7">
        <v>0</v>
      </c>
      <c r="O18" s="5"/>
      <c r="P18" s="7">
        <v>0</v>
      </c>
      <c r="Q18" s="5"/>
      <c r="R18" s="6">
        <v>12420</v>
      </c>
      <c r="S18" s="7">
        <v>0</v>
      </c>
      <c r="T18" s="6">
        <v>81420</v>
      </c>
      <c r="U18" s="5"/>
      <c r="V18" s="5"/>
      <c r="W18" s="5"/>
      <c r="X18" s="5"/>
      <c r="Y18" s="5"/>
      <c r="Z18" s="5"/>
      <c r="AA18" s="5"/>
    </row>
    <row r="19" spans="1:27">
      <c r="A19" s="5"/>
      <c r="B19" s="5"/>
      <c r="C19" s="5"/>
      <c r="D19" s="4" t="s">
        <v>76</v>
      </c>
      <c r="E19" s="5" t="s">
        <v>77</v>
      </c>
      <c r="F19" s="4" t="s">
        <v>72</v>
      </c>
      <c r="G19" s="5" t="s">
        <v>54</v>
      </c>
      <c r="H19" s="4">
        <v>250</v>
      </c>
      <c r="I19" s="7">
        <v>320</v>
      </c>
      <c r="J19" s="7">
        <v>0</v>
      </c>
      <c r="K19" s="6">
        <v>80000</v>
      </c>
      <c r="L19" s="7">
        <v>0</v>
      </c>
      <c r="M19" s="6">
        <v>80000</v>
      </c>
      <c r="N19" s="7">
        <v>0</v>
      </c>
      <c r="O19" s="5"/>
      <c r="P19" s="7">
        <v>0</v>
      </c>
      <c r="Q19" s="5"/>
      <c r="R19" s="6">
        <v>14400</v>
      </c>
      <c r="S19" s="7">
        <v>0</v>
      </c>
      <c r="T19" s="6">
        <v>94400</v>
      </c>
      <c r="U19" s="6">
        <v>854320</v>
      </c>
      <c r="V19" s="5"/>
      <c r="W19" s="5"/>
      <c r="X19" s="5"/>
      <c r="Y19" s="5"/>
      <c r="Z19" s="5"/>
      <c r="AA19" s="5"/>
    </row>
    <row r="20" spans="1:27">
      <c r="A20" s="4">
        <v>32</v>
      </c>
      <c r="B20" s="4" t="s">
        <v>78</v>
      </c>
      <c r="C20" s="8">
        <v>46254</v>
      </c>
      <c r="D20" s="5"/>
      <c r="E20" s="5" t="s">
        <v>79</v>
      </c>
      <c r="F20" s="4" t="s">
        <v>80</v>
      </c>
      <c r="G20" s="5" t="s">
        <v>3</v>
      </c>
      <c r="H20" s="4">
        <v>2</v>
      </c>
      <c r="I20" s="6">
        <v>35000</v>
      </c>
      <c r="J20" s="7">
        <v>0</v>
      </c>
      <c r="K20" s="6">
        <v>70000</v>
      </c>
      <c r="L20" s="7">
        <v>0</v>
      </c>
      <c r="M20" s="6">
        <v>70000</v>
      </c>
      <c r="N20" s="6">
        <v>6300</v>
      </c>
      <c r="O20" s="5"/>
      <c r="P20" s="6">
        <v>6300</v>
      </c>
      <c r="Q20" s="5"/>
      <c r="R20" s="5"/>
      <c r="S20" s="6">
        <v>12600</v>
      </c>
      <c r="T20" s="6">
        <v>82600</v>
      </c>
      <c r="U20" s="6">
        <v>82600</v>
      </c>
      <c r="V20" s="17" t="s">
        <v>81</v>
      </c>
      <c r="W20" s="7">
        <v>16</v>
      </c>
      <c r="X20" s="8">
        <v>46253</v>
      </c>
      <c r="Y20" s="5"/>
      <c r="Z20" s="5"/>
      <c r="AA20" s="5"/>
    </row>
    <row r="21" spans="1:27">
      <c r="A21" s="4">
        <v>33</v>
      </c>
      <c r="B21" s="4" t="s">
        <v>82</v>
      </c>
      <c r="C21" s="8">
        <v>46255</v>
      </c>
      <c r="D21" s="4" t="s">
        <v>83</v>
      </c>
      <c r="E21" s="5" t="s">
        <v>84</v>
      </c>
      <c r="F21" s="4" t="s">
        <v>85</v>
      </c>
      <c r="G21" s="5" t="s">
        <v>3</v>
      </c>
      <c r="H21" s="4">
        <v>12</v>
      </c>
      <c r="I21" s="6">
        <v>3283</v>
      </c>
      <c r="J21" s="7">
        <v>984.9</v>
      </c>
      <c r="K21" s="6">
        <v>27764.7</v>
      </c>
      <c r="L21" s="7">
        <v>0</v>
      </c>
      <c r="M21" s="6">
        <v>27764.7</v>
      </c>
      <c r="N21" s="7">
        <v>0</v>
      </c>
      <c r="O21" s="5"/>
      <c r="P21" s="7">
        <v>0</v>
      </c>
      <c r="Q21" s="5"/>
      <c r="R21" s="6">
        <v>4997.6499999999996</v>
      </c>
      <c r="S21" s="7">
        <v>0</v>
      </c>
      <c r="T21" s="6">
        <v>32762.35</v>
      </c>
      <c r="U21" s="5"/>
      <c r="V21" s="17" t="s">
        <v>86</v>
      </c>
      <c r="W21" s="5" t="s">
        <v>87</v>
      </c>
      <c r="X21" s="8">
        <v>46252</v>
      </c>
      <c r="Y21" s="5"/>
      <c r="Z21" s="5"/>
      <c r="AA21" s="5"/>
    </row>
    <row r="22" spans="1:27">
      <c r="A22" s="5"/>
      <c r="B22" s="5"/>
      <c r="C22" s="5"/>
      <c r="D22" s="4" t="s">
        <v>88</v>
      </c>
      <c r="E22" s="5" t="s">
        <v>89</v>
      </c>
      <c r="F22" s="5" t="s">
        <v>85</v>
      </c>
      <c r="G22" s="5" t="s">
        <v>3</v>
      </c>
      <c r="H22" s="4">
        <v>5</v>
      </c>
      <c r="I22" s="7">
        <v>989</v>
      </c>
      <c r="J22" s="7">
        <v>494.5</v>
      </c>
      <c r="K22" s="6">
        <v>2660</v>
      </c>
      <c r="L22" s="7">
        <v>0</v>
      </c>
      <c r="M22" s="6">
        <v>2660</v>
      </c>
      <c r="N22" s="7">
        <v>0</v>
      </c>
      <c r="O22" s="5"/>
      <c r="P22" s="7">
        <v>0</v>
      </c>
      <c r="Q22" s="5"/>
      <c r="R22" s="7">
        <v>478.8</v>
      </c>
      <c r="S22" s="7">
        <v>0</v>
      </c>
      <c r="T22" s="6">
        <v>3138.8</v>
      </c>
      <c r="U22" s="5"/>
      <c r="V22" s="5" t="s">
        <v>90</v>
      </c>
      <c r="W22" s="5"/>
      <c r="X22" s="5"/>
      <c r="Y22" s="5"/>
      <c r="Z22" s="5"/>
      <c r="AA22" s="5"/>
    </row>
    <row r="23" spans="1:27">
      <c r="A23" s="5"/>
      <c r="B23" s="5"/>
      <c r="C23" s="5"/>
      <c r="D23" s="4" t="s">
        <v>91</v>
      </c>
      <c r="E23" s="5" t="s">
        <v>92</v>
      </c>
      <c r="F23" s="5" t="s">
        <v>85</v>
      </c>
      <c r="G23" s="5" t="s">
        <v>3</v>
      </c>
      <c r="H23" s="4">
        <v>3</v>
      </c>
      <c r="I23" s="6">
        <v>1865</v>
      </c>
      <c r="J23" s="7">
        <v>932.5</v>
      </c>
      <c r="K23" s="6">
        <v>2985</v>
      </c>
      <c r="L23" s="7">
        <v>0</v>
      </c>
      <c r="M23" s="6">
        <v>2985</v>
      </c>
      <c r="N23" s="7">
        <v>0</v>
      </c>
      <c r="O23" s="5"/>
      <c r="P23" s="7">
        <v>0</v>
      </c>
      <c r="Q23" s="5"/>
      <c r="R23" s="7">
        <v>537.29999999999995</v>
      </c>
      <c r="S23" s="7">
        <v>0</v>
      </c>
      <c r="T23" s="6">
        <v>3522.3</v>
      </c>
      <c r="U23" s="5"/>
      <c r="V23" s="5"/>
      <c r="W23" s="5"/>
      <c r="X23" s="5"/>
      <c r="Y23" s="5"/>
      <c r="Z23" s="5"/>
      <c r="AA23" s="5"/>
    </row>
    <row r="24" spans="1:27">
      <c r="A24" s="5"/>
      <c r="B24" s="5"/>
      <c r="C24" s="5"/>
      <c r="D24" s="4" t="s">
        <v>93</v>
      </c>
      <c r="E24" s="5" t="s">
        <v>94</v>
      </c>
      <c r="F24" s="4">
        <v>8482</v>
      </c>
      <c r="G24" s="5" t="s">
        <v>3</v>
      </c>
      <c r="H24" s="4">
        <v>10</v>
      </c>
      <c r="I24" s="6">
        <v>1350</v>
      </c>
      <c r="J24" s="7">
        <v>675</v>
      </c>
      <c r="K24" s="6">
        <v>6937.5</v>
      </c>
      <c r="L24" s="7">
        <v>0</v>
      </c>
      <c r="M24" s="6">
        <v>6937.5</v>
      </c>
      <c r="N24" s="7">
        <v>0</v>
      </c>
      <c r="O24" s="5"/>
      <c r="P24" s="7">
        <v>0</v>
      </c>
      <c r="Q24" s="5"/>
      <c r="R24" s="6">
        <v>1248.75</v>
      </c>
      <c r="S24" s="7">
        <v>0</v>
      </c>
      <c r="T24" s="6">
        <v>8186.25</v>
      </c>
      <c r="U24" s="6">
        <v>47610</v>
      </c>
      <c r="V24" s="5"/>
      <c r="W24" s="5"/>
      <c r="X24" s="5"/>
      <c r="Y24" s="5"/>
      <c r="Z24" s="5"/>
      <c r="AA24" s="5"/>
    </row>
    <row r="25" spans="1:27">
      <c r="A25" s="18">
        <v>34</v>
      </c>
      <c r="B25" s="17" t="s">
        <v>95</v>
      </c>
      <c r="C25" s="19">
        <v>46255</v>
      </c>
      <c r="D25" s="4" t="s">
        <v>96</v>
      </c>
      <c r="E25" s="17" t="s">
        <v>97</v>
      </c>
      <c r="F25" s="17" t="s">
        <v>98</v>
      </c>
      <c r="G25" s="17" t="s">
        <v>3</v>
      </c>
      <c r="H25" s="18">
        <v>10</v>
      </c>
      <c r="I25" s="20">
        <v>3800</v>
      </c>
      <c r="J25" s="21">
        <v>0</v>
      </c>
      <c r="K25" s="20">
        <v>38000</v>
      </c>
      <c r="L25" s="21">
        <v>0</v>
      </c>
      <c r="M25" s="20">
        <v>38000</v>
      </c>
      <c r="N25" s="20">
        <v>3420</v>
      </c>
      <c r="O25" s="17"/>
      <c r="P25" s="20">
        <v>3420</v>
      </c>
      <c r="Q25" s="17"/>
      <c r="R25" s="17"/>
      <c r="S25" s="20">
        <v>6840</v>
      </c>
      <c r="T25" s="20">
        <v>44840</v>
      </c>
      <c r="U25" s="17"/>
      <c r="V25" s="17" t="s">
        <v>99</v>
      </c>
      <c r="W25" s="17" t="s">
        <v>100</v>
      </c>
      <c r="X25" s="19">
        <v>46253</v>
      </c>
      <c r="Y25" s="17"/>
      <c r="Z25" s="17"/>
      <c r="AA25" s="17"/>
    </row>
    <row r="26" spans="1:27">
      <c r="A26" s="17"/>
      <c r="B26" s="17"/>
      <c r="C26" s="17"/>
      <c r="D26" s="4" t="s">
        <v>101</v>
      </c>
      <c r="E26" s="17" t="s">
        <v>102</v>
      </c>
      <c r="F26" s="17" t="s">
        <v>98</v>
      </c>
      <c r="G26" s="17" t="s">
        <v>3</v>
      </c>
      <c r="H26" s="18">
        <v>10</v>
      </c>
      <c r="I26" s="20">
        <v>3450</v>
      </c>
      <c r="J26" s="21">
        <v>0</v>
      </c>
      <c r="K26" s="20">
        <v>34500</v>
      </c>
      <c r="L26" s="21">
        <v>0</v>
      </c>
      <c r="M26" s="20">
        <v>34500</v>
      </c>
      <c r="N26" s="20">
        <v>3105</v>
      </c>
      <c r="O26" s="17"/>
      <c r="P26" s="20">
        <v>3105</v>
      </c>
      <c r="Q26" s="17"/>
      <c r="R26" s="17"/>
      <c r="S26" s="20">
        <v>6210</v>
      </c>
      <c r="T26" s="20">
        <v>40710</v>
      </c>
      <c r="U26" s="20">
        <v>85550</v>
      </c>
      <c r="V26" s="17" t="s">
        <v>103</v>
      </c>
      <c r="W26" s="17"/>
      <c r="X26" s="17"/>
      <c r="Y26" s="17"/>
      <c r="Z26" s="17"/>
      <c r="AA26" s="17"/>
    </row>
    <row r="27" spans="1:27">
      <c r="A27" s="18">
        <v>35</v>
      </c>
      <c r="B27" s="17" t="s">
        <v>104</v>
      </c>
      <c r="C27" s="19">
        <v>46255</v>
      </c>
      <c r="D27" s="4" t="s">
        <v>105</v>
      </c>
      <c r="E27" s="17" t="s">
        <v>106</v>
      </c>
      <c r="F27" s="17" t="s">
        <v>107</v>
      </c>
      <c r="G27" s="17" t="s">
        <v>3</v>
      </c>
      <c r="H27" s="18">
        <v>6</v>
      </c>
      <c r="I27" s="21">
        <v>135</v>
      </c>
      <c r="J27" s="21">
        <v>0</v>
      </c>
      <c r="K27" s="21">
        <v>810</v>
      </c>
      <c r="L27" s="21">
        <v>0</v>
      </c>
      <c r="M27" s="21">
        <v>810</v>
      </c>
      <c r="N27" s="21">
        <v>72.900000000000006</v>
      </c>
      <c r="O27" s="17"/>
      <c r="P27" s="21">
        <v>72.900000000000006</v>
      </c>
      <c r="Q27" s="17"/>
      <c r="R27" s="17"/>
      <c r="S27" s="21">
        <v>145.80000000000001</v>
      </c>
      <c r="T27" s="21">
        <v>955.8</v>
      </c>
      <c r="U27" s="17"/>
      <c r="V27" s="17" t="s">
        <v>108</v>
      </c>
      <c r="W27" s="17" t="s">
        <v>109</v>
      </c>
      <c r="X27" s="19">
        <v>46246</v>
      </c>
      <c r="Y27" s="17"/>
      <c r="Z27" s="17"/>
      <c r="AA27" s="17"/>
    </row>
    <row r="28" spans="1:27">
      <c r="A28" s="17"/>
      <c r="B28" s="17"/>
      <c r="C28" s="17"/>
      <c r="D28" s="4" t="s">
        <v>110</v>
      </c>
      <c r="E28" s="17" t="s">
        <v>111</v>
      </c>
      <c r="F28" s="17" t="s">
        <v>107</v>
      </c>
      <c r="G28" s="17" t="s">
        <v>3</v>
      </c>
      <c r="H28" s="18">
        <v>6</v>
      </c>
      <c r="I28" s="21">
        <v>232</v>
      </c>
      <c r="J28" s="21">
        <v>0</v>
      </c>
      <c r="K28" s="20">
        <v>1392</v>
      </c>
      <c r="L28" s="21">
        <v>0</v>
      </c>
      <c r="M28" s="20">
        <v>1392</v>
      </c>
      <c r="N28" s="21">
        <v>125.28</v>
      </c>
      <c r="O28" s="17"/>
      <c r="P28" s="21">
        <v>125.28</v>
      </c>
      <c r="Q28" s="17"/>
      <c r="R28" s="17"/>
      <c r="S28" s="21">
        <v>250.56</v>
      </c>
      <c r="T28" s="20">
        <v>1642.56</v>
      </c>
      <c r="U28" s="17"/>
      <c r="V28" s="17" t="s">
        <v>112</v>
      </c>
      <c r="W28" s="17"/>
      <c r="X28" s="17"/>
      <c r="Y28" s="17"/>
      <c r="Z28" s="17"/>
      <c r="AA28" s="17"/>
    </row>
    <row r="29" spans="1:27">
      <c r="A29" s="17"/>
      <c r="B29" s="17"/>
      <c r="C29" s="17"/>
      <c r="D29" s="4" t="s">
        <v>113</v>
      </c>
      <c r="E29" s="17" t="s">
        <v>114</v>
      </c>
      <c r="F29" s="17" t="s">
        <v>107</v>
      </c>
      <c r="G29" s="17" t="s">
        <v>3</v>
      </c>
      <c r="H29" s="18">
        <v>3</v>
      </c>
      <c r="I29" s="21">
        <v>287</v>
      </c>
      <c r="J29" s="21">
        <v>0</v>
      </c>
      <c r="K29" s="21">
        <v>861</v>
      </c>
      <c r="L29" s="21">
        <v>0</v>
      </c>
      <c r="M29" s="21">
        <v>861</v>
      </c>
      <c r="N29" s="21">
        <v>77.489999999999995</v>
      </c>
      <c r="O29" s="17"/>
      <c r="P29" s="21">
        <v>77.489999999999995</v>
      </c>
      <c r="Q29" s="17"/>
      <c r="R29" s="17"/>
      <c r="S29" s="21">
        <v>154.97999999999999</v>
      </c>
      <c r="T29" s="20">
        <v>1015.98</v>
      </c>
      <c r="U29" s="17"/>
      <c r="V29" s="17" t="s">
        <v>115</v>
      </c>
      <c r="W29" s="17"/>
      <c r="X29" s="17"/>
      <c r="Y29" s="17"/>
      <c r="Z29" s="17"/>
      <c r="AA29" s="17"/>
    </row>
    <row r="30" spans="1:27">
      <c r="A30" s="17"/>
      <c r="B30" s="17"/>
      <c r="C30" s="17"/>
      <c r="D30" s="4" t="s">
        <v>116</v>
      </c>
      <c r="E30" s="17" t="s">
        <v>117</v>
      </c>
      <c r="F30" s="17" t="s">
        <v>107</v>
      </c>
      <c r="G30" s="17" t="s">
        <v>3</v>
      </c>
      <c r="H30" s="18">
        <v>4</v>
      </c>
      <c r="I30" s="21">
        <v>556</v>
      </c>
      <c r="J30" s="21">
        <v>0</v>
      </c>
      <c r="K30" s="20">
        <v>2224</v>
      </c>
      <c r="L30" s="21">
        <v>0</v>
      </c>
      <c r="M30" s="20">
        <v>2224</v>
      </c>
      <c r="N30" s="21">
        <v>200.16</v>
      </c>
      <c r="O30" s="17"/>
      <c r="P30" s="21">
        <v>200.16</v>
      </c>
      <c r="Q30" s="17"/>
      <c r="R30" s="17"/>
      <c r="S30" s="21">
        <v>400.32</v>
      </c>
      <c r="T30" s="20">
        <v>2624.32</v>
      </c>
      <c r="U30" s="17"/>
      <c r="V30" s="17"/>
      <c r="W30" s="17"/>
      <c r="X30" s="17"/>
      <c r="Y30" s="17"/>
      <c r="Z30" s="17"/>
      <c r="AA30" s="17"/>
    </row>
    <row r="31" spans="1:27">
      <c r="A31" s="17"/>
      <c r="B31" s="17"/>
      <c r="C31" s="17"/>
      <c r="D31" s="4" t="s">
        <v>118</v>
      </c>
      <c r="E31" s="17" t="s">
        <v>119</v>
      </c>
      <c r="F31" s="17" t="s">
        <v>107</v>
      </c>
      <c r="G31" s="17" t="s">
        <v>3</v>
      </c>
      <c r="H31" s="18">
        <v>6</v>
      </c>
      <c r="I31" s="21">
        <v>549</v>
      </c>
      <c r="J31" s="21">
        <v>0</v>
      </c>
      <c r="K31" s="20">
        <v>3294</v>
      </c>
      <c r="L31" s="21">
        <v>0</v>
      </c>
      <c r="M31" s="20">
        <v>3294</v>
      </c>
      <c r="N31" s="21">
        <v>296.45999999999998</v>
      </c>
      <c r="O31" s="17"/>
      <c r="P31" s="21">
        <v>296.45999999999998</v>
      </c>
      <c r="Q31" s="17"/>
      <c r="R31" s="17"/>
      <c r="S31" s="21">
        <v>592.91999999999996</v>
      </c>
      <c r="T31" s="20">
        <v>3886.92</v>
      </c>
      <c r="U31" s="17"/>
      <c r="V31" s="17"/>
      <c r="W31" s="17"/>
      <c r="X31" s="17"/>
      <c r="Y31" s="17"/>
      <c r="Z31" s="17"/>
      <c r="AA31" s="17"/>
    </row>
    <row r="32" spans="1:27">
      <c r="A32" s="17"/>
      <c r="B32" s="17"/>
      <c r="C32" s="17"/>
      <c r="D32" s="4" t="s">
        <v>120</v>
      </c>
      <c r="E32" s="17" t="s">
        <v>121</v>
      </c>
      <c r="F32" s="17" t="s">
        <v>107</v>
      </c>
      <c r="G32" s="17" t="s">
        <v>3</v>
      </c>
      <c r="H32" s="18">
        <v>4</v>
      </c>
      <c r="I32" s="21">
        <v>836</v>
      </c>
      <c r="J32" s="21">
        <v>0</v>
      </c>
      <c r="K32" s="20">
        <v>3344</v>
      </c>
      <c r="L32" s="21">
        <v>0</v>
      </c>
      <c r="M32" s="20">
        <v>3344</v>
      </c>
      <c r="N32" s="21">
        <v>300.95999999999998</v>
      </c>
      <c r="O32" s="17"/>
      <c r="P32" s="21">
        <v>300.95999999999998</v>
      </c>
      <c r="Q32" s="17"/>
      <c r="R32" s="17"/>
      <c r="S32" s="21">
        <v>601.91999999999996</v>
      </c>
      <c r="T32" s="20">
        <v>3945.92</v>
      </c>
      <c r="U32" s="17"/>
      <c r="V32" s="17"/>
      <c r="W32" s="17"/>
      <c r="X32" s="17"/>
      <c r="Y32" s="17"/>
      <c r="Z32" s="17"/>
      <c r="AA32" s="17"/>
    </row>
    <row r="33" spans="1:27">
      <c r="A33" s="17"/>
      <c r="B33" s="17"/>
      <c r="C33" s="17"/>
      <c r="D33" s="4" t="s">
        <v>122</v>
      </c>
      <c r="E33" s="17" t="s">
        <v>123</v>
      </c>
      <c r="F33" s="17" t="s">
        <v>107</v>
      </c>
      <c r="G33" s="17" t="s">
        <v>3</v>
      </c>
      <c r="H33" s="18">
        <v>6</v>
      </c>
      <c r="I33" s="20">
        <v>1885</v>
      </c>
      <c r="J33" s="21">
        <v>0</v>
      </c>
      <c r="K33" s="20">
        <v>11310</v>
      </c>
      <c r="L33" s="21">
        <v>0</v>
      </c>
      <c r="M33" s="20">
        <v>11310</v>
      </c>
      <c r="N33" s="20">
        <v>1017.9</v>
      </c>
      <c r="O33" s="17"/>
      <c r="P33" s="20">
        <v>1017.9</v>
      </c>
      <c r="Q33" s="17"/>
      <c r="R33" s="17"/>
      <c r="S33" s="20">
        <v>2035.8</v>
      </c>
      <c r="T33" s="20">
        <v>13345.8</v>
      </c>
      <c r="U33" s="17"/>
      <c r="V33" s="17"/>
      <c r="W33" s="17"/>
      <c r="X33" s="17"/>
      <c r="Y33" s="17"/>
      <c r="Z33" s="17"/>
      <c r="AA33" s="17"/>
    </row>
    <row r="34" spans="1:27">
      <c r="A34" s="17"/>
      <c r="B34" s="17"/>
      <c r="C34" s="17"/>
      <c r="D34" s="4" t="s">
        <v>124</v>
      </c>
      <c r="E34" s="17" t="s">
        <v>125</v>
      </c>
      <c r="F34" s="17" t="s">
        <v>107</v>
      </c>
      <c r="G34" s="17" t="s">
        <v>3</v>
      </c>
      <c r="H34" s="18">
        <v>1</v>
      </c>
      <c r="I34" s="20">
        <v>6710</v>
      </c>
      <c r="J34" s="21">
        <v>0</v>
      </c>
      <c r="K34" s="20">
        <v>6710</v>
      </c>
      <c r="L34" s="21">
        <v>0</v>
      </c>
      <c r="M34" s="20">
        <v>6710</v>
      </c>
      <c r="N34" s="21">
        <v>603.9</v>
      </c>
      <c r="O34" s="17"/>
      <c r="P34" s="21">
        <v>603.9</v>
      </c>
      <c r="Q34" s="17"/>
      <c r="R34" s="17"/>
      <c r="S34" s="20">
        <v>1207.8</v>
      </c>
      <c r="T34" s="20">
        <v>7917.8</v>
      </c>
      <c r="U34" s="17"/>
      <c r="V34" s="17"/>
      <c r="W34" s="17"/>
      <c r="X34" s="17"/>
      <c r="Y34" s="17"/>
      <c r="Z34" s="17"/>
      <c r="AA34" s="17"/>
    </row>
    <row r="35" spans="1:27">
      <c r="A35" s="17"/>
      <c r="B35" s="17"/>
      <c r="C35" s="17"/>
      <c r="D35" s="4" t="s">
        <v>126</v>
      </c>
      <c r="E35" s="22" t="s">
        <v>127</v>
      </c>
      <c r="F35" s="17">
        <v>8503</v>
      </c>
      <c r="G35" s="17" t="s">
        <v>3</v>
      </c>
      <c r="H35" s="18">
        <v>6</v>
      </c>
      <c r="I35" s="21">
        <v>50</v>
      </c>
      <c r="J35" s="21">
        <v>0</v>
      </c>
      <c r="K35" s="21">
        <v>300</v>
      </c>
      <c r="L35" s="21">
        <v>0</v>
      </c>
      <c r="M35" s="21">
        <v>300</v>
      </c>
      <c r="N35" s="21">
        <v>27</v>
      </c>
      <c r="O35" s="17"/>
      <c r="P35" s="21">
        <v>27</v>
      </c>
      <c r="Q35" s="17"/>
      <c r="R35" s="17"/>
      <c r="S35" s="21">
        <v>54</v>
      </c>
      <c r="T35" s="21">
        <v>354</v>
      </c>
      <c r="U35" s="17"/>
      <c r="V35" s="17"/>
      <c r="W35" s="17"/>
      <c r="X35" s="17"/>
      <c r="Y35" s="17"/>
      <c r="Z35" s="17"/>
      <c r="AA35" s="17"/>
    </row>
    <row r="36" spans="1:27">
      <c r="A36" s="17"/>
      <c r="B36" s="17"/>
      <c r="C36" s="17"/>
      <c r="D36" s="4" t="s">
        <v>128</v>
      </c>
      <c r="E36" s="22" t="s">
        <v>129</v>
      </c>
      <c r="F36" s="17">
        <v>8503</v>
      </c>
      <c r="G36" s="17" t="s">
        <v>3</v>
      </c>
      <c r="H36" s="18">
        <v>6</v>
      </c>
      <c r="I36" s="21">
        <v>55</v>
      </c>
      <c r="J36" s="21">
        <v>0</v>
      </c>
      <c r="K36" s="21">
        <v>330</v>
      </c>
      <c r="L36" s="21">
        <v>0</v>
      </c>
      <c r="M36" s="21">
        <v>330</v>
      </c>
      <c r="N36" s="21">
        <v>29.7</v>
      </c>
      <c r="O36" s="17"/>
      <c r="P36" s="21">
        <v>29.7</v>
      </c>
      <c r="Q36" s="17"/>
      <c r="R36" s="17"/>
      <c r="S36" s="21">
        <v>59.4</v>
      </c>
      <c r="T36" s="21">
        <v>389.4</v>
      </c>
      <c r="U36" s="17"/>
      <c r="V36" s="17"/>
      <c r="W36" s="17"/>
      <c r="X36" s="17"/>
      <c r="Y36" s="17"/>
      <c r="Z36" s="17"/>
      <c r="AA36" s="17"/>
    </row>
    <row r="37" spans="1:27">
      <c r="A37" s="17"/>
      <c r="B37" s="17"/>
      <c r="C37" s="17"/>
      <c r="D37" s="4" t="s">
        <v>130</v>
      </c>
      <c r="E37" s="22" t="s">
        <v>131</v>
      </c>
      <c r="F37" s="17">
        <v>8503</v>
      </c>
      <c r="G37" s="17" t="s">
        <v>3</v>
      </c>
      <c r="H37" s="18">
        <v>5</v>
      </c>
      <c r="I37" s="21">
        <v>60</v>
      </c>
      <c r="J37" s="21">
        <v>0</v>
      </c>
      <c r="K37" s="21">
        <v>300</v>
      </c>
      <c r="L37" s="21">
        <v>0</v>
      </c>
      <c r="M37" s="21">
        <v>300</v>
      </c>
      <c r="N37" s="21">
        <v>27</v>
      </c>
      <c r="O37" s="17"/>
      <c r="P37" s="21">
        <v>27</v>
      </c>
      <c r="Q37" s="17"/>
      <c r="R37" s="17"/>
      <c r="S37" s="21">
        <v>54</v>
      </c>
      <c r="T37" s="21">
        <v>354</v>
      </c>
      <c r="U37" s="17"/>
      <c r="V37" s="17"/>
      <c r="W37" s="17"/>
      <c r="X37" s="17"/>
      <c r="Y37" s="17"/>
      <c r="Z37" s="17"/>
      <c r="AA37" s="17"/>
    </row>
    <row r="38" spans="1:27">
      <c r="A38" s="17"/>
      <c r="B38" s="17"/>
      <c r="C38" s="17"/>
      <c r="D38" s="4" t="s">
        <v>132</v>
      </c>
      <c r="E38" s="22" t="s">
        <v>133</v>
      </c>
      <c r="F38" s="17">
        <v>8503</v>
      </c>
      <c r="G38" s="17" t="s">
        <v>3</v>
      </c>
      <c r="H38" s="18">
        <v>4</v>
      </c>
      <c r="I38" s="21">
        <v>70</v>
      </c>
      <c r="J38" s="21">
        <v>0</v>
      </c>
      <c r="K38" s="21">
        <v>280</v>
      </c>
      <c r="L38" s="21">
        <v>0</v>
      </c>
      <c r="M38" s="21">
        <v>280</v>
      </c>
      <c r="N38" s="21">
        <v>25.2</v>
      </c>
      <c r="O38" s="17"/>
      <c r="P38" s="21">
        <v>25.2</v>
      </c>
      <c r="Q38" s="17"/>
      <c r="R38" s="17"/>
      <c r="S38" s="21">
        <v>50.4</v>
      </c>
      <c r="T38" s="21">
        <v>330.4</v>
      </c>
      <c r="U38" s="17"/>
      <c r="V38" s="17"/>
      <c r="W38" s="17"/>
      <c r="X38" s="17"/>
      <c r="Y38" s="17"/>
      <c r="Z38" s="17"/>
      <c r="AA38" s="17"/>
    </row>
    <row r="39" spans="1:27">
      <c r="A39" s="17"/>
      <c r="B39" s="17"/>
      <c r="C39" s="17"/>
      <c r="D39" s="4" t="s">
        <v>134</v>
      </c>
      <c r="E39" s="22" t="s">
        <v>135</v>
      </c>
      <c r="F39" s="17">
        <v>8503</v>
      </c>
      <c r="G39" s="17" t="s">
        <v>3</v>
      </c>
      <c r="H39" s="18">
        <v>6</v>
      </c>
      <c r="I39" s="21">
        <v>120</v>
      </c>
      <c r="J39" s="21">
        <v>0</v>
      </c>
      <c r="K39" s="21">
        <v>720</v>
      </c>
      <c r="L39" s="21">
        <v>0</v>
      </c>
      <c r="M39" s="21">
        <v>720</v>
      </c>
      <c r="N39" s="21">
        <v>64.8</v>
      </c>
      <c r="O39" s="17"/>
      <c r="P39" s="21">
        <v>64.8</v>
      </c>
      <c r="Q39" s="17"/>
      <c r="R39" s="17"/>
      <c r="S39" s="21">
        <v>129.6</v>
      </c>
      <c r="T39" s="21">
        <v>849.6</v>
      </c>
      <c r="U39" s="17"/>
      <c r="V39" s="17"/>
      <c r="W39" s="17"/>
      <c r="X39" s="17"/>
      <c r="Y39" s="17"/>
      <c r="Z39" s="17"/>
      <c r="AA39" s="17"/>
    </row>
    <row r="40" spans="1:27">
      <c r="A40" s="17"/>
      <c r="B40" s="17"/>
      <c r="C40" s="17"/>
      <c r="D40" s="17"/>
      <c r="E40" s="17" t="s">
        <v>136</v>
      </c>
      <c r="F40" s="17" t="s">
        <v>137</v>
      </c>
      <c r="G40" s="17"/>
      <c r="H40" s="18">
        <v>1</v>
      </c>
      <c r="I40" s="21">
        <v>962</v>
      </c>
      <c r="J40" s="21">
        <v>0</v>
      </c>
      <c r="K40" s="21">
        <v>962</v>
      </c>
      <c r="L40" s="17"/>
      <c r="M40" s="21">
        <v>962</v>
      </c>
      <c r="N40" s="21">
        <v>86.58</v>
      </c>
      <c r="O40" s="17"/>
      <c r="P40" s="21">
        <v>86.58</v>
      </c>
      <c r="Q40" s="17"/>
      <c r="R40" s="17"/>
      <c r="S40" s="21">
        <v>173.16</v>
      </c>
      <c r="T40" s="20">
        <v>1135.1600000000001</v>
      </c>
      <c r="U40" s="20">
        <v>38748</v>
      </c>
      <c r="V40" s="17"/>
      <c r="W40" s="17"/>
      <c r="X40" s="17"/>
      <c r="Y40" s="17"/>
      <c r="Z40" s="17"/>
      <c r="AA40" s="17"/>
    </row>
    <row r="41" spans="1:27">
      <c r="A41" s="18">
        <v>36</v>
      </c>
      <c r="B41" s="17" t="s">
        <v>138</v>
      </c>
      <c r="C41" s="19">
        <v>46255</v>
      </c>
      <c r="D41" s="18" t="s">
        <v>46</v>
      </c>
      <c r="E41" s="17" t="s">
        <v>47</v>
      </c>
      <c r="F41" s="17" t="s">
        <v>139</v>
      </c>
      <c r="G41" s="17" t="s">
        <v>3</v>
      </c>
      <c r="H41" s="18">
        <v>35</v>
      </c>
      <c r="I41" s="20">
        <v>2150</v>
      </c>
      <c r="J41" s="21">
        <v>0</v>
      </c>
      <c r="K41" s="20">
        <v>75250</v>
      </c>
      <c r="L41" s="17"/>
      <c r="M41" s="20">
        <v>75250</v>
      </c>
      <c r="N41" s="20">
        <v>6772.5</v>
      </c>
      <c r="O41" s="17"/>
      <c r="P41" s="20">
        <v>6772.5</v>
      </c>
      <c r="Q41" s="17"/>
      <c r="R41" s="17"/>
      <c r="S41" s="20">
        <v>13545</v>
      </c>
      <c r="T41" s="20">
        <v>88795</v>
      </c>
      <c r="U41" s="20">
        <v>88795</v>
      </c>
      <c r="V41" s="17" t="s">
        <v>140</v>
      </c>
      <c r="W41" s="17" t="s">
        <v>141</v>
      </c>
      <c r="X41" s="19">
        <v>46253</v>
      </c>
      <c r="Y41" s="17"/>
      <c r="Z41" s="17"/>
      <c r="AA41" s="17"/>
    </row>
    <row r="42" spans="1:27">
      <c r="A42" s="18">
        <v>37</v>
      </c>
      <c r="B42" s="17" t="s">
        <v>142</v>
      </c>
      <c r="C42" s="19">
        <v>46256</v>
      </c>
      <c r="D42" s="18" t="s">
        <v>143</v>
      </c>
      <c r="E42" s="17" t="s">
        <v>144</v>
      </c>
      <c r="F42" s="17" t="s">
        <v>145</v>
      </c>
      <c r="G42" s="17" t="s">
        <v>38</v>
      </c>
      <c r="H42" s="18">
        <v>600</v>
      </c>
      <c r="I42" s="21">
        <v>76</v>
      </c>
      <c r="J42" s="21">
        <v>0</v>
      </c>
      <c r="K42" s="20">
        <v>45600</v>
      </c>
      <c r="L42" s="17"/>
      <c r="M42" s="20">
        <v>45600</v>
      </c>
      <c r="N42" s="21">
        <v>0</v>
      </c>
      <c r="O42" s="17"/>
      <c r="P42" s="21">
        <v>0</v>
      </c>
      <c r="Q42" s="17"/>
      <c r="R42" s="20">
        <v>2280</v>
      </c>
      <c r="S42" s="21">
        <v>0</v>
      </c>
      <c r="T42" s="20">
        <v>47880</v>
      </c>
      <c r="U42" s="20">
        <v>47880</v>
      </c>
      <c r="V42" s="17" t="s">
        <v>146</v>
      </c>
      <c r="W42" s="17" t="s">
        <v>147</v>
      </c>
      <c r="X42" s="19">
        <v>46245</v>
      </c>
      <c r="Y42" s="17"/>
      <c r="Z42" s="17"/>
      <c r="AA42" s="17"/>
    </row>
    <row r="43" spans="1:27">
      <c r="A43" s="18">
        <v>38</v>
      </c>
      <c r="B43" s="17" t="s">
        <v>148</v>
      </c>
      <c r="C43" s="19">
        <v>46256</v>
      </c>
      <c r="D43" s="18" t="s">
        <v>149</v>
      </c>
      <c r="E43" s="17" t="s">
        <v>150</v>
      </c>
      <c r="F43" s="17" t="s">
        <v>151</v>
      </c>
      <c r="G43" s="17" t="s">
        <v>54</v>
      </c>
      <c r="H43" s="18">
        <v>400</v>
      </c>
      <c r="I43" s="21">
        <v>204.5</v>
      </c>
      <c r="J43" s="21">
        <v>0</v>
      </c>
      <c r="K43" s="20">
        <v>81800</v>
      </c>
      <c r="L43" s="17"/>
      <c r="M43" s="20">
        <v>81800</v>
      </c>
      <c r="N43" s="21">
        <v>0</v>
      </c>
      <c r="O43" s="17"/>
      <c r="P43" s="21">
        <v>0</v>
      </c>
      <c r="Q43" s="17"/>
      <c r="R43" s="20">
        <v>14724</v>
      </c>
      <c r="S43" s="21">
        <v>0</v>
      </c>
      <c r="T43" s="20">
        <v>96524</v>
      </c>
      <c r="U43" s="20">
        <v>96524</v>
      </c>
      <c r="V43" s="17" t="s">
        <v>152</v>
      </c>
      <c r="W43" s="17">
        <v>22</v>
      </c>
      <c r="X43" s="19">
        <v>46251</v>
      </c>
      <c r="Y43" s="17"/>
      <c r="Z43" s="17"/>
      <c r="AA43" s="17"/>
    </row>
    <row r="44" spans="1:27">
      <c r="A44" s="18">
        <v>39</v>
      </c>
      <c r="B44" s="17" t="s">
        <v>153</v>
      </c>
      <c r="C44" s="19">
        <v>46256</v>
      </c>
      <c r="D44" s="18" t="s">
        <v>154</v>
      </c>
      <c r="E44" s="17" t="s">
        <v>155</v>
      </c>
      <c r="F44" s="17">
        <v>8207</v>
      </c>
      <c r="G44" s="17" t="s">
        <v>3</v>
      </c>
      <c r="H44" s="18">
        <v>1</v>
      </c>
      <c r="I44" s="20">
        <v>4450</v>
      </c>
      <c r="J44" s="21">
        <v>0</v>
      </c>
      <c r="K44" s="20">
        <v>4450</v>
      </c>
      <c r="L44" s="17"/>
      <c r="M44" s="20">
        <v>4450</v>
      </c>
      <c r="N44" s="21">
        <v>400.5</v>
      </c>
      <c r="O44" s="17"/>
      <c r="P44" s="21">
        <v>400.5</v>
      </c>
      <c r="Q44" s="17"/>
      <c r="R44" s="17"/>
      <c r="S44" s="21">
        <v>801</v>
      </c>
      <c r="T44" s="20">
        <v>5251</v>
      </c>
      <c r="U44" s="20">
        <v>5251</v>
      </c>
      <c r="V44" s="17" t="s">
        <v>156</v>
      </c>
      <c r="W44" s="17" t="s">
        <v>157</v>
      </c>
      <c r="X44" s="19">
        <v>46255</v>
      </c>
      <c r="Y44" s="17"/>
      <c r="Z44" s="17"/>
      <c r="AA44" s="17"/>
    </row>
    <row r="45" spans="1:27">
      <c r="A45" s="18">
        <v>40</v>
      </c>
      <c r="B45" s="17" t="s">
        <v>158</v>
      </c>
      <c r="C45" s="19">
        <v>46256</v>
      </c>
      <c r="D45" s="18" t="s">
        <v>159</v>
      </c>
      <c r="E45" s="17" t="s">
        <v>160</v>
      </c>
      <c r="F45" s="17" t="s">
        <v>161</v>
      </c>
      <c r="G45" s="17" t="s">
        <v>3</v>
      </c>
      <c r="H45" s="18">
        <v>20</v>
      </c>
      <c r="I45" s="21">
        <v>35</v>
      </c>
      <c r="J45" s="21">
        <v>0</v>
      </c>
      <c r="K45" s="21">
        <v>700</v>
      </c>
      <c r="L45" s="17"/>
      <c r="M45" s="21">
        <v>700</v>
      </c>
      <c r="N45" s="21">
        <v>63</v>
      </c>
      <c r="O45" s="17"/>
      <c r="P45" s="21">
        <v>63</v>
      </c>
      <c r="Q45" s="17"/>
      <c r="R45" s="17"/>
      <c r="S45" s="21">
        <v>126</v>
      </c>
      <c r="T45" s="21">
        <v>826</v>
      </c>
      <c r="U45" s="17"/>
      <c r="V45" s="17" t="s">
        <v>156</v>
      </c>
      <c r="W45" s="17" t="s">
        <v>162</v>
      </c>
      <c r="X45" s="19">
        <v>46255</v>
      </c>
      <c r="Y45" s="17"/>
      <c r="Z45" s="17"/>
      <c r="AA45" s="17"/>
    </row>
    <row r="46" spans="1:27">
      <c r="A46" s="17"/>
      <c r="B46" s="17"/>
      <c r="C46" s="17"/>
      <c r="D46" s="4" t="s">
        <v>163</v>
      </c>
      <c r="E46" s="5" t="s">
        <v>164</v>
      </c>
      <c r="F46" s="17" t="s">
        <v>165</v>
      </c>
      <c r="G46" s="17" t="s">
        <v>3</v>
      </c>
      <c r="H46" s="18">
        <v>300</v>
      </c>
      <c r="I46" s="21">
        <v>12</v>
      </c>
      <c r="J46" s="21">
        <v>0</v>
      </c>
      <c r="K46" s="20">
        <v>3600</v>
      </c>
      <c r="L46" s="17"/>
      <c r="M46" s="20">
        <v>3600</v>
      </c>
      <c r="N46" s="21">
        <v>324</v>
      </c>
      <c r="O46" s="17"/>
      <c r="P46" s="21">
        <v>324</v>
      </c>
      <c r="Q46" s="17"/>
      <c r="R46" s="17"/>
      <c r="S46" s="21">
        <v>648</v>
      </c>
      <c r="T46" s="20">
        <v>4248</v>
      </c>
      <c r="U46" s="17"/>
      <c r="V46" s="17"/>
      <c r="W46" s="17"/>
      <c r="X46" s="17"/>
      <c r="Y46" s="17"/>
      <c r="Z46" s="17"/>
      <c r="AA46" s="17"/>
    </row>
    <row r="47" spans="1:27">
      <c r="A47" s="17"/>
      <c r="B47" s="17"/>
      <c r="C47" s="17"/>
      <c r="D47" s="4" t="s">
        <v>166</v>
      </c>
      <c r="E47" s="17" t="s">
        <v>167</v>
      </c>
      <c r="F47" s="17">
        <v>8207</v>
      </c>
      <c r="G47" s="17" t="s">
        <v>3</v>
      </c>
      <c r="H47" s="18">
        <v>1</v>
      </c>
      <c r="I47" s="20">
        <v>1770</v>
      </c>
      <c r="J47" s="21">
        <v>0</v>
      </c>
      <c r="K47" s="20">
        <v>1770</v>
      </c>
      <c r="L47" s="17"/>
      <c r="M47" s="20">
        <v>1770</v>
      </c>
      <c r="N47" s="21">
        <v>159.30000000000001</v>
      </c>
      <c r="O47" s="17"/>
      <c r="P47" s="21">
        <v>159.30000000000001</v>
      </c>
      <c r="Q47" s="17"/>
      <c r="R47" s="17"/>
      <c r="S47" s="21">
        <v>318.60000000000002</v>
      </c>
      <c r="T47" s="20">
        <v>2088.6</v>
      </c>
      <c r="U47" s="17"/>
      <c r="V47" s="17"/>
      <c r="W47" s="17"/>
      <c r="X47" s="17"/>
      <c r="Y47" s="17"/>
      <c r="Z47" s="17"/>
      <c r="AA47" s="17"/>
    </row>
    <row r="48" spans="1:27">
      <c r="A48" s="17"/>
      <c r="B48" s="17"/>
      <c r="C48" s="17"/>
      <c r="D48" s="4" t="s">
        <v>168</v>
      </c>
      <c r="E48" s="17" t="s">
        <v>169</v>
      </c>
      <c r="F48" s="17">
        <v>8207</v>
      </c>
      <c r="G48" s="17" t="s">
        <v>3</v>
      </c>
      <c r="H48" s="18">
        <v>1</v>
      </c>
      <c r="I48" s="20">
        <v>2008</v>
      </c>
      <c r="J48" s="21">
        <v>0</v>
      </c>
      <c r="K48" s="20">
        <v>2008</v>
      </c>
      <c r="L48" s="17"/>
      <c r="M48" s="20">
        <v>2008</v>
      </c>
      <c r="N48" s="21">
        <v>180.72</v>
      </c>
      <c r="O48" s="17"/>
      <c r="P48" s="21">
        <v>180.72</v>
      </c>
      <c r="Q48" s="17"/>
      <c r="R48" s="17"/>
      <c r="S48" s="21">
        <v>361.44</v>
      </c>
      <c r="T48" s="20">
        <v>2369.44</v>
      </c>
      <c r="U48" s="17"/>
      <c r="V48" s="17"/>
      <c r="W48" s="17"/>
      <c r="X48" s="17"/>
      <c r="Y48" s="17"/>
      <c r="Z48" s="17"/>
      <c r="AA48" s="17"/>
    </row>
    <row r="49" spans="1:27">
      <c r="A49" s="17"/>
      <c r="B49" s="17"/>
      <c r="C49" s="17"/>
      <c r="D49" s="4" t="s">
        <v>170</v>
      </c>
      <c r="E49" s="17" t="s">
        <v>171</v>
      </c>
      <c r="F49" s="17">
        <v>8207</v>
      </c>
      <c r="G49" s="17" t="s">
        <v>3</v>
      </c>
      <c r="H49" s="18">
        <v>1</v>
      </c>
      <c r="I49" s="20">
        <v>2339</v>
      </c>
      <c r="J49" s="21">
        <v>0</v>
      </c>
      <c r="K49" s="20">
        <v>2339</v>
      </c>
      <c r="L49" s="17"/>
      <c r="M49" s="20">
        <v>2339</v>
      </c>
      <c r="N49" s="21">
        <v>210.51</v>
      </c>
      <c r="O49" s="17"/>
      <c r="P49" s="21">
        <v>210.51</v>
      </c>
      <c r="Q49" s="17"/>
      <c r="R49" s="17"/>
      <c r="S49" s="21">
        <v>421.02</v>
      </c>
      <c r="T49" s="20">
        <v>2760.02</v>
      </c>
      <c r="U49" s="17"/>
      <c r="V49" s="17"/>
      <c r="W49" s="17"/>
      <c r="X49" s="17"/>
      <c r="Y49" s="17"/>
      <c r="Z49" s="17"/>
      <c r="AA49" s="17"/>
    </row>
    <row r="50" spans="1:27">
      <c r="A50" s="17"/>
      <c r="B50" s="17"/>
      <c r="C50" s="17"/>
      <c r="D50" s="4" t="s">
        <v>172</v>
      </c>
      <c r="E50" s="17" t="s">
        <v>173</v>
      </c>
      <c r="F50" s="17" t="s">
        <v>174</v>
      </c>
      <c r="G50" s="17" t="s">
        <v>3</v>
      </c>
      <c r="H50" s="18">
        <v>1</v>
      </c>
      <c r="I50" s="20">
        <v>2180</v>
      </c>
      <c r="J50" s="21">
        <v>0</v>
      </c>
      <c r="K50" s="20">
        <v>2180</v>
      </c>
      <c r="L50" s="17"/>
      <c r="M50" s="20">
        <v>2180</v>
      </c>
      <c r="N50" s="21">
        <v>196.2</v>
      </c>
      <c r="O50" s="17"/>
      <c r="P50" s="21">
        <v>196.2</v>
      </c>
      <c r="Q50" s="17"/>
      <c r="R50" s="17"/>
      <c r="S50" s="21">
        <v>392.4</v>
      </c>
      <c r="T50" s="20">
        <v>2572.4</v>
      </c>
      <c r="U50" s="17"/>
      <c r="V50" s="17"/>
      <c r="W50" s="17"/>
      <c r="X50" s="17"/>
      <c r="Y50" s="17"/>
      <c r="Z50" s="17"/>
      <c r="AA50" s="17"/>
    </row>
    <row r="51" spans="1:27">
      <c r="A51" s="17"/>
      <c r="B51" s="17"/>
      <c r="C51" s="17"/>
      <c r="D51" s="4" t="s">
        <v>175</v>
      </c>
      <c r="E51" s="17" t="s">
        <v>176</v>
      </c>
      <c r="F51" s="17" t="s">
        <v>174</v>
      </c>
      <c r="G51" s="17" t="s">
        <v>3</v>
      </c>
      <c r="H51" s="18">
        <v>1</v>
      </c>
      <c r="I51" s="20">
        <v>2810</v>
      </c>
      <c r="J51" s="21">
        <v>0</v>
      </c>
      <c r="K51" s="20">
        <v>2810</v>
      </c>
      <c r="L51" s="17"/>
      <c r="M51" s="20">
        <v>2810</v>
      </c>
      <c r="N51" s="21">
        <v>252.9</v>
      </c>
      <c r="O51" s="17"/>
      <c r="P51" s="21">
        <v>252.9</v>
      </c>
      <c r="Q51" s="17"/>
      <c r="R51" s="17"/>
      <c r="S51" s="21">
        <v>505.8</v>
      </c>
      <c r="T51" s="20">
        <v>3315.8</v>
      </c>
      <c r="U51" s="17"/>
      <c r="V51" s="17"/>
      <c r="W51" s="17"/>
      <c r="X51" s="17"/>
      <c r="Y51" s="17"/>
      <c r="Z51" s="17"/>
      <c r="AA51" s="17"/>
    </row>
    <row r="52" spans="1:27">
      <c r="A52" s="17"/>
      <c r="B52" s="17"/>
      <c r="C52" s="17"/>
      <c r="D52" s="4" t="s">
        <v>177</v>
      </c>
      <c r="E52" s="5" t="s">
        <v>178</v>
      </c>
      <c r="F52" s="17">
        <v>6804</v>
      </c>
      <c r="G52" s="17" t="s">
        <v>3</v>
      </c>
      <c r="H52" s="18">
        <v>50</v>
      </c>
      <c r="I52" s="21">
        <v>30</v>
      </c>
      <c r="J52" s="21">
        <v>0</v>
      </c>
      <c r="K52" s="20">
        <v>1500</v>
      </c>
      <c r="L52" s="17"/>
      <c r="M52" s="20">
        <v>1500</v>
      </c>
      <c r="N52" s="21">
        <v>135</v>
      </c>
      <c r="O52" s="17"/>
      <c r="P52" s="21">
        <v>135</v>
      </c>
      <c r="Q52" s="17"/>
      <c r="R52" s="17"/>
      <c r="S52" s="21">
        <v>270</v>
      </c>
      <c r="T52" s="20">
        <v>1770</v>
      </c>
      <c r="U52" s="17"/>
      <c r="V52" s="17"/>
      <c r="W52" s="17"/>
      <c r="X52" s="17"/>
      <c r="Y52" s="17"/>
      <c r="Z52" s="17"/>
      <c r="AA52" s="17"/>
    </row>
    <row r="53" spans="1:27">
      <c r="A53" s="17"/>
      <c r="B53" s="17"/>
      <c r="C53" s="17"/>
      <c r="D53" s="4" t="s">
        <v>179</v>
      </c>
      <c r="E53" s="17" t="s">
        <v>180</v>
      </c>
      <c r="F53" s="17">
        <v>8207</v>
      </c>
      <c r="G53" s="17" t="s">
        <v>3</v>
      </c>
      <c r="H53" s="18">
        <v>6</v>
      </c>
      <c r="I53" s="21">
        <v>450</v>
      </c>
      <c r="J53" s="21">
        <v>0</v>
      </c>
      <c r="K53" s="20">
        <v>2700</v>
      </c>
      <c r="L53" s="17"/>
      <c r="M53" s="20">
        <v>2700</v>
      </c>
      <c r="N53" s="21">
        <v>243</v>
      </c>
      <c r="O53" s="17"/>
      <c r="P53" s="21">
        <v>243</v>
      </c>
      <c r="Q53" s="17"/>
      <c r="R53" s="17"/>
      <c r="S53" s="21">
        <v>486</v>
      </c>
      <c r="T53" s="20">
        <v>3186</v>
      </c>
      <c r="U53" s="17"/>
      <c r="V53" s="17"/>
      <c r="W53" s="17"/>
      <c r="X53" s="17"/>
      <c r="Y53" s="17"/>
      <c r="Z53" s="17"/>
      <c r="AA53" s="17"/>
    </row>
    <row r="54" spans="1:27">
      <c r="A54" s="17"/>
      <c r="B54" s="17"/>
      <c r="C54" s="17"/>
      <c r="D54" s="4" t="s">
        <v>181</v>
      </c>
      <c r="E54" s="17" t="s">
        <v>182</v>
      </c>
      <c r="F54" s="17">
        <v>8207</v>
      </c>
      <c r="G54" s="17" t="s">
        <v>3</v>
      </c>
      <c r="H54" s="18">
        <v>6</v>
      </c>
      <c r="I54" s="20">
        <v>1250</v>
      </c>
      <c r="J54" s="21">
        <v>0</v>
      </c>
      <c r="K54" s="20">
        <v>7500</v>
      </c>
      <c r="L54" s="17"/>
      <c r="M54" s="20">
        <v>7500</v>
      </c>
      <c r="N54" s="21">
        <v>675</v>
      </c>
      <c r="O54" s="17"/>
      <c r="P54" s="21">
        <v>675</v>
      </c>
      <c r="Q54" s="17"/>
      <c r="R54" s="17"/>
      <c r="S54" s="20">
        <v>1350</v>
      </c>
      <c r="T54" s="20">
        <v>8850</v>
      </c>
      <c r="U54" s="17"/>
      <c r="V54" s="17"/>
      <c r="W54" s="17"/>
      <c r="X54" s="17"/>
      <c r="Y54" s="17"/>
      <c r="Z54" s="17"/>
      <c r="AA54" s="17"/>
    </row>
    <row r="55" spans="1:27">
      <c r="A55" s="17"/>
      <c r="B55" s="17"/>
      <c r="C55" s="17"/>
      <c r="D55" s="18" t="s">
        <v>183</v>
      </c>
      <c r="E55" s="17" t="s">
        <v>184</v>
      </c>
      <c r="F55" s="17" t="s">
        <v>185</v>
      </c>
      <c r="G55" s="17" t="s">
        <v>3</v>
      </c>
      <c r="H55" s="18">
        <v>6</v>
      </c>
      <c r="I55" s="21">
        <v>380</v>
      </c>
      <c r="J55" s="21">
        <v>0</v>
      </c>
      <c r="K55" s="20">
        <v>2280</v>
      </c>
      <c r="L55" s="17"/>
      <c r="M55" s="20">
        <v>2280</v>
      </c>
      <c r="N55" s="21">
        <v>205.2</v>
      </c>
      <c r="O55" s="17"/>
      <c r="P55" s="21">
        <v>205.2</v>
      </c>
      <c r="Q55" s="17"/>
      <c r="R55" s="17"/>
      <c r="S55" s="21">
        <v>410.4</v>
      </c>
      <c r="T55" s="20">
        <v>2690.4</v>
      </c>
      <c r="U55" s="17"/>
      <c r="V55" s="17"/>
      <c r="W55" s="17"/>
      <c r="X55" s="17"/>
      <c r="Y55" s="17"/>
      <c r="Z55" s="17"/>
      <c r="AA55" s="17"/>
    </row>
    <row r="56" spans="1:27">
      <c r="A56" s="17"/>
      <c r="B56" s="17"/>
      <c r="C56" s="17"/>
      <c r="D56" s="4" t="s">
        <v>186</v>
      </c>
      <c r="E56" s="17" t="s">
        <v>187</v>
      </c>
      <c r="F56" s="17">
        <v>8483</v>
      </c>
      <c r="G56" s="17" t="s">
        <v>3</v>
      </c>
      <c r="H56" s="18">
        <v>4</v>
      </c>
      <c r="I56" s="21">
        <v>800</v>
      </c>
      <c r="J56" s="21">
        <v>0</v>
      </c>
      <c r="K56" s="20">
        <v>3200</v>
      </c>
      <c r="L56" s="17"/>
      <c r="M56" s="20">
        <v>3200</v>
      </c>
      <c r="N56" s="21">
        <v>288</v>
      </c>
      <c r="O56" s="17"/>
      <c r="P56" s="21">
        <v>288</v>
      </c>
      <c r="Q56" s="17"/>
      <c r="R56" s="17"/>
      <c r="S56" s="21">
        <v>576</v>
      </c>
      <c r="T56" s="20">
        <v>3776</v>
      </c>
      <c r="U56" s="17"/>
      <c r="V56" s="17"/>
      <c r="W56" s="17"/>
      <c r="X56" s="17"/>
      <c r="Y56" s="17"/>
      <c r="Z56" s="17"/>
      <c r="AA56" s="17"/>
    </row>
    <row r="57" spans="1:27">
      <c r="A57" s="17"/>
      <c r="B57" s="17"/>
      <c r="C57" s="17"/>
      <c r="D57" s="4" t="s">
        <v>188</v>
      </c>
      <c r="E57" s="17" t="s">
        <v>189</v>
      </c>
      <c r="F57" s="17">
        <v>9017</v>
      </c>
      <c r="G57" s="17" t="s">
        <v>3</v>
      </c>
      <c r="H57" s="18">
        <v>1</v>
      </c>
      <c r="I57" s="21">
        <v>368</v>
      </c>
      <c r="J57" s="21">
        <v>0</v>
      </c>
      <c r="K57" s="21">
        <v>368</v>
      </c>
      <c r="L57" s="17"/>
      <c r="M57" s="21">
        <v>368</v>
      </c>
      <c r="N57" s="21">
        <v>33.119999999999997</v>
      </c>
      <c r="O57" s="17"/>
      <c r="P57" s="21">
        <v>33.119999999999997</v>
      </c>
      <c r="Q57" s="17"/>
      <c r="R57" s="17"/>
      <c r="S57" s="21">
        <v>66.239999999999995</v>
      </c>
      <c r="T57" s="21">
        <v>434.24</v>
      </c>
      <c r="U57" s="20">
        <v>48569.99</v>
      </c>
      <c r="V57" s="17"/>
      <c r="W57" s="17"/>
      <c r="X57" s="17"/>
      <c r="Y57" s="17"/>
      <c r="Z57" s="17"/>
      <c r="AA57" s="17"/>
    </row>
    <row r="58" spans="1:27">
      <c r="A58" s="18">
        <v>41</v>
      </c>
      <c r="B58" s="17" t="s">
        <v>190</v>
      </c>
      <c r="C58" s="19">
        <v>46256</v>
      </c>
      <c r="D58" s="4" t="s">
        <v>191</v>
      </c>
      <c r="E58" s="23" t="s">
        <v>192</v>
      </c>
      <c r="F58" s="17">
        <v>813</v>
      </c>
      <c r="G58" s="17" t="s">
        <v>3</v>
      </c>
      <c r="H58" s="18">
        <v>2</v>
      </c>
      <c r="I58" s="21">
        <v>0</v>
      </c>
      <c r="J58" s="21">
        <v>0</v>
      </c>
      <c r="K58" s="21">
        <v>0</v>
      </c>
      <c r="L58" s="17"/>
      <c r="M58" s="21">
        <v>0</v>
      </c>
      <c r="N58" s="21">
        <v>0</v>
      </c>
      <c r="O58" s="17"/>
      <c r="P58" s="21">
        <v>0</v>
      </c>
      <c r="Q58" s="17"/>
      <c r="R58" s="17"/>
      <c r="S58" s="21">
        <v>0</v>
      </c>
      <c r="T58" s="21">
        <v>0</v>
      </c>
      <c r="U58" s="17"/>
      <c r="V58" s="17" t="s">
        <v>193</v>
      </c>
      <c r="W58" s="17">
        <v>1</v>
      </c>
      <c r="X58" s="19">
        <v>46251</v>
      </c>
      <c r="Y58" s="17"/>
      <c r="Z58" s="17"/>
      <c r="AA58" s="17"/>
    </row>
    <row r="59" spans="1:27">
      <c r="A59" s="18">
        <v>42</v>
      </c>
      <c r="B59" s="17" t="s">
        <v>194</v>
      </c>
      <c r="C59" s="19">
        <v>46256</v>
      </c>
      <c r="D59" s="4" t="s">
        <v>195</v>
      </c>
      <c r="E59" s="17" t="s">
        <v>196</v>
      </c>
      <c r="F59" s="17"/>
      <c r="G59" s="17" t="s">
        <v>3</v>
      </c>
      <c r="H59" s="18">
        <v>200</v>
      </c>
      <c r="I59" s="21">
        <v>1.8</v>
      </c>
      <c r="J59" s="21">
        <v>0</v>
      </c>
      <c r="K59" s="21">
        <v>360</v>
      </c>
      <c r="L59" s="17"/>
      <c r="M59" s="21">
        <v>360</v>
      </c>
      <c r="N59" s="21">
        <v>0</v>
      </c>
      <c r="O59" s="17"/>
      <c r="P59" s="21">
        <v>0</v>
      </c>
      <c r="Q59" s="17"/>
      <c r="R59" s="17"/>
      <c r="S59" s="21">
        <v>0</v>
      </c>
      <c r="T59" s="21">
        <v>360</v>
      </c>
      <c r="U59" s="17"/>
      <c r="V59" s="17" t="s">
        <v>197</v>
      </c>
      <c r="W59" s="17"/>
      <c r="X59" s="17"/>
      <c r="Y59" s="17"/>
      <c r="Z59" s="17"/>
      <c r="AA59" s="17"/>
    </row>
    <row r="60" spans="1:27">
      <c r="A60" s="17"/>
      <c r="B60" s="17"/>
      <c r="C60" s="17"/>
      <c r="D60" s="4" t="s">
        <v>198</v>
      </c>
      <c r="E60" s="17" t="s">
        <v>199</v>
      </c>
      <c r="F60" s="17"/>
      <c r="G60" s="17" t="s">
        <v>3</v>
      </c>
      <c r="H60" s="18">
        <v>3</v>
      </c>
      <c r="I60" s="21">
        <v>160</v>
      </c>
      <c r="J60" s="21">
        <v>0</v>
      </c>
      <c r="K60" s="21">
        <v>480</v>
      </c>
      <c r="L60" s="17"/>
      <c r="M60" s="21">
        <v>480</v>
      </c>
      <c r="N60" s="21">
        <v>0</v>
      </c>
      <c r="O60" s="17"/>
      <c r="P60" s="21">
        <v>0</v>
      </c>
      <c r="Q60" s="17"/>
      <c r="R60" s="17"/>
      <c r="S60" s="21">
        <v>0</v>
      </c>
      <c r="T60" s="21">
        <v>480</v>
      </c>
      <c r="U60" s="17"/>
      <c r="V60" s="17"/>
      <c r="W60" s="17"/>
      <c r="X60" s="17"/>
      <c r="Y60" s="17"/>
      <c r="Z60" s="17"/>
      <c r="AA60" s="17"/>
    </row>
    <row r="61" spans="1:27">
      <c r="A61" s="17"/>
      <c r="B61" s="17"/>
      <c r="C61" s="17"/>
      <c r="D61" s="4" t="s">
        <v>200</v>
      </c>
      <c r="E61" s="17" t="s">
        <v>201</v>
      </c>
      <c r="F61" s="17"/>
      <c r="G61" s="17" t="s">
        <v>3</v>
      </c>
      <c r="H61" s="18">
        <v>3</v>
      </c>
      <c r="I61" s="21">
        <v>75</v>
      </c>
      <c r="J61" s="21">
        <v>0</v>
      </c>
      <c r="K61" s="21">
        <v>225</v>
      </c>
      <c r="L61" s="17"/>
      <c r="M61" s="21">
        <v>225</v>
      </c>
      <c r="N61" s="21">
        <v>0</v>
      </c>
      <c r="O61" s="17"/>
      <c r="P61" s="21">
        <v>0</v>
      </c>
      <c r="Q61" s="17"/>
      <c r="R61" s="17"/>
      <c r="S61" s="21">
        <v>0</v>
      </c>
      <c r="T61" s="21">
        <v>225</v>
      </c>
      <c r="U61" s="17"/>
      <c r="V61" s="17"/>
      <c r="W61" s="17"/>
      <c r="X61" s="17"/>
      <c r="Y61" s="17"/>
      <c r="Z61" s="17"/>
      <c r="AA61" s="17"/>
    </row>
    <row r="62" spans="1:27">
      <c r="A62" s="17"/>
      <c r="B62" s="17"/>
      <c r="C62" s="17"/>
      <c r="D62" s="4" t="s">
        <v>202</v>
      </c>
      <c r="E62" s="17" t="s">
        <v>203</v>
      </c>
      <c r="F62" s="17"/>
      <c r="G62" s="17" t="s">
        <v>3</v>
      </c>
      <c r="H62" s="18">
        <v>2</v>
      </c>
      <c r="I62" s="21">
        <v>40</v>
      </c>
      <c r="J62" s="21">
        <v>0</v>
      </c>
      <c r="K62" s="21">
        <v>80</v>
      </c>
      <c r="L62" s="17"/>
      <c r="M62" s="21">
        <v>80</v>
      </c>
      <c r="N62" s="21">
        <v>0</v>
      </c>
      <c r="O62" s="17"/>
      <c r="P62" s="21">
        <v>0</v>
      </c>
      <c r="Q62" s="17"/>
      <c r="R62" s="17"/>
      <c r="S62" s="21">
        <v>0</v>
      </c>
      <c r="T62" s="21">
        <v>80</v>
      </c>
      <c r="U62" s="17"/>
      <c r="V62" s="17"/>
      <c r="W62" s="17"/>
      <c r="X62" s="17"/>
      <c r="Y62" s="17"/>
      <c r="Z62" s="17"/>
      <c r="AA62" s="17"/>
    </row>
    <row r="63" spans="1:27">
      <c r="A63" s="17"/>
      <c r="B63" s="17"/>
      <c r="C63" s="17"/>
      <c r="D63" s="4" t="s">
        <v>204</v>
      </c>
      <c r="E63" s="17" t="s">
        <v>205</v>
      </c>
      <c r="F63" s="17"/>
      <c r="G63" s="17" t="s">
        <v>3</v>
      </c>
      <c r="H63" s="18">
        <v>3</v>
      </c>
      <c r="I63" s="21">
        <v>73.3</v>
      </c>
      <c r="J63" s="21">
        <v>0</v>
      </c>
      <c r="K63" s="21">
        <v>219.9</v>
      </c>
      <c r="L63" s="17"/>
      <c r="M63" s="21">
        <v>219.9</v>
      </c>
      <c r="N63" s="21">
        <v>0</v>
      </c>
      <c r="O63" s="17"/>
      <c r="P63" s="21">
        <v>0</v>
      </c>
      <c r="Q63" s="17"/>
      <c r="R63" s="17"/>
      <c r="S63" s="21">
        <v>0</v>
      </c>
      <c r="T63" s="21">
        <v>220</v>
      </c>
      <c r="U63" s="17"/>
      <c r="V63" s="17"/>
      <c r="W63" s="17"/>
      <c r="X63" s="17"/>
      <c r="Y63" s="17"/>
      <c r="Z63" s="17"/>
      <c r="AA63" s="17"/>
    </row>
    <row r="64" spans="1:27">
      <c r="A64" s="17"/>
      <c r="B64" s="17"/>
      <c r="C64" s="17"/>
      <c r="D64" s="4" t="s">
        <v>206</v>
      </c>
      <c r="E64" s="17" t="s">
        <v>207</v>
      </c>
      <c r="F64" s="17"/>
      <c r="G64" s="17" t="s">
        <v>3</v>
      </c>
      <c r="H64" s="18">
        <v>6</v>
      </c>
      <c r="I64" s="21">
        <v>25</v>
      </c>
      <c r="J64" s="21">
        <v>0</v>
      </c>
      <c r="K64" s="21">
        <v>150</v>
      </c>
      <c r="L64" s="17"/>
      <c r="M64" s="21">
        <v>150</v>
      </c>
      <c r="N64" s="21">
        <v>0</v>
      </c>
      <c r="O64" s="17"/>
      <c r="P64" s="21">
        <v>0</v>
      </c>
      <c r="Q64" s="17"/>
      <c r="R64" s="17"/>
      <c r="S64" s="21">
        <v>0</v>
      </c>
      <c r="T64" s="21">
        <v>150</v>
      </c>
      <c r="U64" s="17"/>
      <c r="V64" s="17"/>
      <c r="W64" s="17"/>
      <c r="X64" s="17"/>
      <c r="Y64" s="17"/>
      <c r="Z64" s="17"/>
      <c r="AA64" s="17"/>
    </row>
    <row r="65" spans="1:27">
      <c r="A65" s="17"/>
      <c r="B65" s="17"/>
      <c r="C65" s="17"/>
      <c r="D65" s="4" t="s">
        <v>208</v>
      </c>
      <c r="E65" s="17" t="s">
        <v>209</v>
      </c>
      <c r="F65" s="17"/>
      <c r="G65" s="17" t="s">
        <v>3</v>
      </c>
      <c r="H65" s="18">
        <v>1</v>
      </c>
      <c r="I65" s="21">
        <v>150</v>
      </c>
      <c r="J65" s="21">
        <v>0</v>
      </c>
      <c r="K65" s="21">
        <v>150</v>
      </c>
      <c r="L65" s="17"/>
      <c r="M65" s="21">
        <v>150</v>
      </c>
      <c r="N65" s="21">
        <v>0</v>
      </c>
      <c r="O65" s="17"/>
      <c r="P65" s="21">
        <v>0</v>
      </c>
      <c r="Q65" s="17"/>
      <c r="R65" s="17"/>
      <c r="S65" s="21">
        <v>0</v>
      </c>
      <c r="T65" s="21">
        <v>150</v>
      </c>
      <c r="U65" s="17"/>
      <c r="V65" s="17"/>
      <c r="W65" s="17"/>
      <c r="X65" s="17"/>
      <c r="Y65" s="17"/>
      <c r="Z65" s="17"/>
      <c r="AA65" s="17"/>
    </row>
    <row r="66" spans="1:27">
      <c r="A66" s="17"/>
      <c r="B66" s="17"/>
      <c r="C66" s="17"/>
      <c r="D66" s="4" t="s">
        <v>210</v>
      </c>
      <c r="E66" s="17" t="s">
        <v>211</v>
      </c>
      <c r="F66" s="17"/>
      <c r="G66" s="17" t="s">
        <v>3</v>
      </c>
      <c r="H66" s="18">
        <v>10</v>
      </c>
      <c r="I66" s="21">
        <v>20</v>
      </c>
      <c r="J66" s="21">
        <v>0</v>
      </c>
      <c r="K66" s="21">
        <v>200</v>
      </c>
      <c r="L66" s="17"/>
      <c r="M66" s="21">
        <v>200</v>
      </c>
      <c r="N66" s="21">
        <v>0</v>
      </c>
      <c r="O66" s="17"/>
      <c r="P66" s="21">
        <v>0</v>
      </c>
      <c r="Q66" s="17"/>
      <c r="R66" s="17"/>
      <c r="S66" s="21">
        <v>0</v>
      </c>
      <c r="T66" s="21">
        <v>200</v>
      </c>
      <c r="U66" s="20">
        <v>1865</v>
      </c>
      <c r="V66" s="17"/>
      <c r="W66" s="17"/>
      <c r="X66" s="17"/>
      <c r="Y66" s="17"/>
      <c r="Z66" s="17"/>
      <c r="AA66" s="17"/>
    </row>
    <row r="67" spans="1:27">
      <c r="A67" s="18">
        <v>43</v>
      </c>
      <c r="B67" s="17" t="s">
        <v>212</v>
      </c>
      <c r="C67" s="19">
        <v>46256</v>
      </c>
      <c r="D67" s="4" t="s">
        <v>213</v>
      </c>
      <c r="E67" s="5" t="s">
        <v>214</v>
      </c>
      <c r="F67" s="17"/>
      <c r="G67" s="17" t="s">
        <v>3</v>
      </c>
      <c r="H67" s="18">
        <v>1</v>
      </c>
      <c r="I67" s="21">
        <v>400</v>
      </c>
      <c r="J67" s="21">
        <v>0</v>
      </c>
      <c r="K67" s="21">
        <v>400</v>
      </c>
      <c r="L67" s="17"/>
      <c r="M67" s="21">
        <v>400</v>
      </c>
      <c r="N67" s="21">
        <v>0</v>
      </c>
      <c r="O67" s="17"/>
      <c r="P67" s="21">
        <v>0</v>
      </c>
      <c r="Q67" s="17"/>
      <c r="R67" s="17"/>
      <c r="S67" s="21">
        <v>0</v>
      </c>
      <c r="T67" s="21">
        <v>400</v>
      </c>
      <c r="U67" s="17"/>
      <c r="V67" s="17" t="s">
        <v>271</v>
      </c>
      <c r="W67" s="17"/>
      <c r="X67" s="19"/>
      <c r="Y67" s="17"/>
      <c r="Z67" s="17"/>
      <c r="AA67" s="17"/>
    </row>
    <row r="68" spans="1:27">
      <c r="A68" s="17"/>
      <c r="B68" s="17"/>
      <c r="C68" s="17"/>
      <c r="D68" s="4" t="s">
        <v>215</v>
      </c>
      <c r="E68" s="17" t="s">
        <v>216</v>
      </c>
      <c r="F68" s="17"/>
      <c r="G68" s="17" t="s">
        <v>3</v>
      </c>
      <c r="H68" s="18">
        <v>10</v>
      </c>
      <c r="I68" s="21">
        <v>7</v>
      </c>
      <c r="J68" s="21">
        <v>0</v>
      </c>
      <c r="K68" s="21">
        <v>70</v>
      </c>
      <c r="L68" s="17"/>
      <c r="M68" s="21">
        <v>70</v>
      </c>
      <c r="N68" s="21">
        <v>0</v>
      </c>
      <c r="O68" s="17"/>
      <c r="P68" s="21">
        <v>0</v>
      </c>
      <c r="Q68" s="17"/>
      <c r="R68" s="17"/>
      <c r="S68" s="21">
        <v>0</v>
      </c>
      <c r="T68" s="21">
        <v>70</v>
      </c>
      <c r="U68" s="17"/>
      <c r="V68" s="17"/>
      <c r="W68" s="17"/>
      <c r="X68" s="17"/>
      <c r="Y68" s="17"/>
      <c r="Z68" s="17"/>
      <c r="AA68" s="17"/>
    </row>
    <row r="69" spans="1:27">
      <c r="A69" s="17"/>
      <c r="B69" s="17"/>
      <c r="C69" s="17"/>
      <c r="D69" s="4" t="s">
        <v>217</v>
      </c>
      <c r="E69" s="5" t="s">
        <v>218</v>
      </c>
      <c r="F69" s="17"/>
      <c r="G69" s="17" t="s">
        <v>3</v>
      </c>
      <c r="H69" s="18">
        <v>150</v>
      </c>
      <c r="I69" s="21">
        <v>3.8</v>
      </c>
      <c r="J69" s="21">
        <v>0</v>
      </c>
      <c r="K69" s="21">
        <v>570</v>
      </c>
      <c r="L69" s="17"/>
      <c r="M69" s="21">
        <v>570</v>
      </c>
      <c r="N69" s="21">
        <v>0</v>
      </c>
      <c r="O69" s="17"/>
      <c r="P69" s="21">
        <v>0</v>
      </c>
      <c r="Q69" s="17"/>
      <c r="R69" s="17"/>
      <c r="S69" s="21">
        <v>0</v>
      </c>
      <c r="T69" s="21">
        <v>570</v>
      </c>
      <c r="U69" s="17"/>
      <c r="V69" s="17"/>
      <c r="W69" s="17"/>
      <c r="X69" s="17"/>
      <c r="Y69" s="17"/>
      <c r="Z69" s="17"/>
      <c r="AA69" s="17"/>
    </row>
    <row r="70" spans="1:27">
      <c r="A70" s="17"/>
      <c r="B70" s="17"/>
      <c r="C70" s="17"/>
      <c r="D70" s="4" t="s">
        <v>219</v>
      </c>
      <c r="E70" s="17" t="s">
        <v>220</v>
      </c>
      <c r="F70" s="17"/>
      <c r="G70" s="17" t="s">
        <v>3</v>
      </c>
      <c r="H70" s="18">
        <v>6</v>
      </c>
      <c r="I70" s="21">
        <v>40</v>
      </c>
      <c r="J70" s="21">
        <v>0</v>
      </c>
      <c r="K70" s="21">
        <v>240</v>
      </c>
      <c r="L70" s="17"/>
      <c r="M70" s="21">
        <v>240</v>
      </c>
      <c r="N70" s="21">
        <v>0</v>
      </c>
      <c r="O70" s="17"/>
      <c r="P70" s="21">
        <v>0</v>
      </c>
      <c r="Q70" s="17"/>
      <c r="R70" s="17"/>
      <c r="S70" s="21">
        <v>0</v>
      </c>
      <c r="T70" s="21">
        <v>240</v>
      </c>
      <c r="U70" s="17"/>
      <c r="V70" s="17"/>
      <c r="W70" s="17"/>
      <c r="X70" s="17"/>
      <c r="Y70" s="17"/>
      <c r="Z70" s="17"/>
      <c r="AA70" s="17"/>
    </row>
    <row r="71" spans="1:27">
      <c r="A71" s="17"/>
      <c r="B71" s="17"/>
      <c r="C71" s="17"/>
      <c r="D71" s="4" t="s">
        <v>221</v>
      </c>
      <c r="E71" s="17" t="s">
        <v>222</v>
      </c>
      <c r="F71" s="17"/>
      <c r="G71" s="17" t="s">
        <v>3</v>
      </c>
      <c r="H71" s="18">
        <v>20</v>
      </c>
      <c r="I71" s="21">
        <v>5</v>
      </c>
      <c r="J71" s="21">
        <v>0</v>
      </c>
      <c r="K71" s="21">
        <v>100</v>
      </c>
      <c r="L71" s="17"/>
      <c r="M71" s="21">
        <v>100</v>
      </c>
      <c r="N71" s="21">
        <v>0</v>
      </c>
      <c r="O71" s="17"/>
      <c r="P71" s="21">
        <v>0</v>
      </c>
      <c r="Q71" s="17"/>
      <c r="R71" s="17"/>
      <c r="S71" s="21">
        <v>0</v>
      </c>
      <c r="T71" s="21">
        <v>100</v>
      </c>
      <c r="U71" s="17"/>
      <c r="V71" s="17"/>
      <c r="W71" s="17"/>
      <c r="X71" s="17"/>
      <c r="Y71" s="17"/>
      <c r="Z71" s="17"/>
      <c r="AA71" s="17"/>
    </row>
    <row r="72" spans="1:27">
      <c r="A72" s="17"/>
      <c r="B72" s="17"/>
      <c r="C72" s="17"/>
      <c r="D72" s="4" t="s">
        <v>223</v>
      </c>
      <c r="E72" s="17" t="s">
        <v>224</v>
      </c>
      <c r="F72" s="17"/>
      <c r="G72" s="17" t="s">
        <v>3</v>
      </c>
      <c r="H72" s="18">
        <v>10</v>
      </c>
      <c r="I72" s="21">
        <v>90</v>
      </c>
      <c r="J72" s="21">
        <v>0</v>
      </c>
      <c r="K72" s="21">
        <v>900</v>
      </c>
      <c r="L72" s="17"/>
      <c r="M72" s="21">
        <v>900</v>
      </c>
      <c r="N72" s="21">
        <v>0</v>
      </c>
      <c r="O72" s="17"/>
      <c r="P72" s="21">
        <v>0</v>
      </c>
      <c r="Q72" s="17"/>
      <c r="R72" s="17"/>
      <c r="S72" s="21">
        <v>0</v>
      </c>
      <c r="T72" s="21">
        <v>900</v>
      </c>
      <c r="U72" s="17"/>
      <c r="V72" s="17"/>
      <c r="W72" s="17"/>
      <c r="X72" s="17"/>
      <c r="Y72" s="17"/>
      <c r="Z72" s="17"/>
      <c r="AA72" s="17"/>
    </row>
    <row r="73" spans="1:27">
      <c r="A73" s="17"/>
      <c r="B73" s="17"/>
      <c r="C73" s="17"/>
      <c r="D73" s="4" t="s">
        <v>225</v>
      </c>
      <c r="E73" s="5" t="s">
        <v>226</v>
      </c>
      <c r="F73" s="17"/>
      <c r="G73" s="17" t="s">
        <v>3</v>
      </c>
      <c r="H73" s="18">
        <v>30</v>
      </c>
      <c r="I73" s="21">
        <v>18</v>
      </c>
      <c r="J73" s="21">
        <v>0</v>
      </c>
      <c r="K73" s="21">
        <v>540</v>
      </c>
      <c r="L73" s="17"/>
      <c r="M73" s="21">
        <v>540</v>
      </c>
      <c r="N73" s="21">
        <v>0</v>
      </c>
      <c r="O73" s="17"/>
      <c r="P73" s="21">
        <v>0</v>
      </c>
      <c r="Q73" s="17"/>
      <c r="R73" s="17"/>
      <c r="S73" s="21">
        <v>0</v>
      </c>
      <c r="T73" s="21">
        <v>540</v>
      </c>
      <c r="U73" s="17"/>
      <c r="V73" s="17"/>
      <c r="W73" s="17"/>
      <c r="X73" s="17"/>
      <c r="Y73" s="17"/>
      <c r="Z73" s="17"/>
      <c r="AA73" s="17"/>
    </row>
    <row r="74" spans="1:27">
      <c r="A74" s="17"/>
      <c r="B74" s="17"/>
      <c r="C74" s="17"/>
      <c r="D74" s="4" t="s">
        <v>227</v>
      </c>
      <c r="E74" s="23" t="s">
        <v>228</v>
      </c>
      <c r="F74" s="17"/>
      <c r="G74" s="17" t="s">
        <v>3</v>
      </c>
      <c r="H74" s="18">
        <v>1</v>
      </c>
      <c r="I74" s="21">
        <v>60</v>
      </c>
      <c r="J74" s="21">
        <v>0</v>
      </c>
      <c r="K74" s="21">
        <v>60</v>
      </c>
      <c r="L74" s="17"/>
      <c r="M74" s="21">
        <v>60</v>
      </c>
      <c r="N74" s="21">
        <v>0</v>
      </c>
      <c r="O74" s="17"/>
      <c r="P74" s="21">
        <v>0</v>
      </c>
      <c r="Q74" s="17"/>
      <c r="R74" s="17"/>
      <c r="S74" s="21">
        <v>0</v>
      </c>
      <c r="T74" s="21">
        <v>60</v>
      </c>
      <c r="U74" s="17"/>
      <c r="V74" s="17"/>
      <c r="W74" s="17"/>
      <c r="X74" s="17"/>
      <c r="Y74" s="17"/>
      <c r="Z74" s="17"/>
      <c r="AA74" s="17"/>
    </row>
    <row r="75" spans="1:27">
      <c r="A75" s="17"/>
      <c r="B75" s="17"/>
      <c r="C75" s="17"/>
      <c r="D75" s="4" t="s">
        <v>229</v>
      </c>
      <c r="E75" s="17" t="s">
        <v>230</v>
      </c>
      <c r="F75" s="17"/>
      <c r="G75" s="17" t="s">
        <v>3</v>
      </c>
      <c r="H75" s="18">
        <v>1</v>
      </c>
      <c r="I75" s="21">
        <v>10</v>
      </c>
      <c r="J75" s="21">
        <v>0</v>
      </c>
      <c r="K75" s="21">
        <v>10</v>
      </c>
      <c r="L75" s="17"/>
      <c r="M75" s="21">
        <v>10</v>
      </c>
      <c r="N75" s="21">
        <v>0</v>
      </c>
      <c r="O75" s="17"/>
      <c r="P75" s="21">
        <v>0</v>
      </c>
      <c r="Q75" s="17"/>
      <c r="R75" s="17"/>
      <c r="S75" s="21">
        <v>0</v>
      </c>
      <c r="T75" s="21">
        <v>10</v>
      </c>
      <c r="U75" s="17"/>
      <c r="V75" s="17"/>
      <c r="W75" s="17"/>
      <c r="X75" s="17"/>
      <c r="Y75" s="17"/>
      <c r="Z75" s="17"/>
      <c r="AA75" s="17"/>
    </row>
    <row r="76" spans="1:27">
      <c r="A76" s="17"/>
      <c r="B76" s="17"/>
      <c r="C76" s="17"/>
      <c r="D76" s="4" t="s">
        <v>231</v>
      </c>
      <c r="E76" s="17" t="s">
        <v>232</v>
      </c>
      <c r="F76" s="17"/>
      <c r="G76" s="17" t="s">
        <v>3</v>
      </c>
      <c r="H76" s="18">
        <v>1</v>
      </c>
      <c r="I76" s="21">
        <v>10</v>
      </c>
      <c r="J76" s="21">
        <v>0</v>
      </c>
      <c r="K76" s="21">
        <v>10</v>
      </c>
      <c r="L76" s="17"/>
      <c r="M76" s="21">
        <v>10</v>
      </c>
      <c r="N76" s="21">
        <v>0</v>
      </c>
      <c r="O76" s="17"/>
      <c r="P76" s="21">
        <v>0</v>
      </c>
      <c r="Q76" s="17"/>
      <c r="R76" s="17"/>
      <c r="S76" s="21">
        <v>0</v>
      </c>
      <c r="T76" s="21">
        <v>10</v>
      </c>
      <c r="U76" s="17"/>
      <c r="V76" s="17"/>
      <c r="W76" s="17"/>
      <c r="X76" s="17"/>
      <c r="Y76" s="17"/>
      <c r="Z76" s="17"/>
      <c r="AA76" s="17"/>
    </row>
    <row r="77" spans="1:27">
      <c r="A77" s="18">
        <v>44</v>
      </c>
      <c r="B77" s="17" t="s">
        <v>233</v>
      </c>
      <c r="C77" s="19">
        <v>46256</v>
      </c>
      <c r="D77" s="4" t="s">
        <v>234</v>
      </c>
      <c r="E77" s="17" t="s">
        <v>235</v>
      </c>
      <c r="F77" s="17"/>
      <c r="G77" s="17" t="s">
        <v>3</v>
      </c>
      <c r="H77" s="18">
        <v>1</v>
      </c>
      <c r="I77" s="20">
        <v>2200</v>
      </c>
      <c r="J77" s="21">
        <v>0</v>
      </c>
      <c r="K77" s="20">
        <v>2200</v>
      </c>
      <c r="L77" s="17"/>
      <c r="M77" s="20">
        <v>2200</v>
      </c>
      <c r="N77" s="21">
        <v>0</v>
      </c>
      <c r="O77" s="17"/>
      <c r="P77" s="21">
        <v>0</v>
      </c>
      <c r="Q77" s="17"/>
      <c r="R77" s="17"/>
      <c r="S77" s="21">
        <v>0</v>
      </c>
      <c r="T77" s="20">
        <v>2200</v>
      </c>
      <c r="U77" s="17"/>
      <c r="V77" s="17"/>
      <c r="W77" s="17"/>
      <c r="X77" s="17"/>
      <c r="Y77" s="17"/>
      <c r="Z77" s="17"/>
      <c r="AA77" s="17"/>
    </row>
    <row r="78" spans="1:27">
      <c r="A78" s="17"/>
      <c r="B78" s="17"/>
      <c r="C78" s="17"/>
      <c r="D78" s="4" t="s">
        <v>236</v>
      </c>
      <c r="E78" s="17" t="s">
        <v>237</v>
      </c>
      <c r="F78" s="17"/>
      <c r="G78" s="17" t="s">
        <v>3</v>
      </c>
      <c r="H78" s="18">
        <v>2</v>
      </c>
      <c r="I78" s="21">
        <v>525</v>
      </c>
      <c r="J78" s="21">
        <v>0</v>
      </c>
      <c r="K78" s="20">
        <v>1050</v>
      </c>
      <c r="L78" s="17"/>
      <c r="M78" s="20">
        <v>1050</v>
      </c>
      <c r="N78" s="21">
        <v>0</v>
      </c>
      <c r="O78" s="17"/>
      <c r="P78" s="21">
        <v>0</v>
      </c>
      <c r="Q78" s="17"/>
      <c r="R78" s="17"/>
      <c r="S78" s="21">
        <v>0</v>
      </c>
      <c r="T78" s="20">
        <v>1050</v>
      </c>
      <c r="U78" s="24">
        <f>T77+T78</f>
        <v>3250</v>
      </c>
      <c r="V78" s="17" t="s">
        <v>272</v>
      </c>
      <c r="W78" s="17"/>
      <c r="X78" s="17"/>
      <c r="Y78" s="17"/>
      <c r="Z78" s="17"/>
      <c r="AA78" s="17"/>
    </row>
    <row r="79" spans="1:27">
      <c r="A79" s="18">
        <v>45</v>
      </c>
      <c r="B79" s="17" t="s">
        <v>238</v>
      </c>
      <c r="C79" s="19">
        <v>46256</v>
      </c>
      <c r="D79" s="4" t="s">
        <v>239</v>
      </c>
      <c r="E79" s="5" t="s">
        <v>240</v>
      </c>
      <c r="F79" s="17"/>
      <c r="G79" s="17" t="s">
        <v>3</v>
      </c>
      <c r="H79" s="18">
        <v>2</v>
      </c>
      <c r="I79" s="21">
        <v>60</v>
      </c>
      <c r="J79" s="21">
        <v>0</v>
      </c>
      <c r="K79" s="21">
        <v>120</v>
      </c>
      <c r="L79" s="17"/>
      <c r="M79" s="21">
        <v>120</v>
      </c>
      <c r="N79" s="21">
        <v>0</v>
      </c>
      <c r="O79" s="17"/>
      <c r="P79" s="21">
        <v>0</v>
      </c>
      <c r="Q79" s="17"/>
      <c r="R79" s="17"/>
      <c r="S79" s="21">
        <v>0</v>
      </c>
      <c r="T79" s="25">
        <v>120</v>
      </c>
      <c r="U79" s="26">
        <f>T79</f>
        <v>120</v>
      </c>
      <c r="V79" s="17" t="s">
        <v>273</v>
      </c>
      <c r="W79" s="17"/>
      <c r="X79" s="17"/>
      <c r="Y79" s="17"/>
      <c r="Z79" s="17"/>
      <c r="AA79" s="17"/>
    </row>
    <row r="80" spans="1:27">
      <c r="A80" s="18">
        <v>46</v>
      </c>
      <c r="B80" s="17" t="s">
        <v>241</v>
      </c>
      <c r="C80" s="19">
        <v>46258</v>
      </c>
      <c r="D80" s="18" t="s">
        <v>242</v>
      </c>
      <c r="E80" s="17" t="s">
        <v>243</v>
      </c>
      <c r="F80" s="17">
        <v>9027</v>
      </c>
      <c r="G80" s="17" t="s">
        <v>3</v>
      </c>
      <c r="H80" s="18">
        <v>1</v>
      </c>
      <c r="I80" s="20">
        <v>1311.86</v>
      </c>
      <c r="J80" s="21">
        <v>0</v>
      </c>
      <c r="K80" s="20">
        <v>1311.86</v>
      </c>
      <c r="L80" s="17"/>
      <c r="M80" s="20">
        <v>1311.86</v>
      </c>
      <c r="N80" s="21">
        <v>0</v>
      </c>
      <c r="O80" s="17"/>
      <c r="P80" s="21">
        <v>0</v>
      </c>
      <c r="Q80" s="17"/>
      <c r="R80" s="21">
        <v>236.13</v>
      </c>
      <c r="S80" s="17"/>
      <c r="T80" s="20">
        <v>1547.99</v>
      </c>
      <c r="U80" s="20">
        <v>1548</v>
      </c>
      <c r="V80" s="17"/>
      <c r="W80" s="17"/>
      <c r="X80" s="17"/>
      <c r="Y80" s="17"/>
      <c r="Z80" s="17"/>
      <c r="AA80" s="17"/>
    </row>
    <row r="81" spans="1:27">
      <c r="A81" s="18">
        <v>47</v>
      </c>
      <c r="B81" s="17" t="s">
        <v>244</v>
      </c>
      <c r="C81" s="19">
        <v>46258</v>
      </c>
      <c r="D81" s="4" t="s">
        <v>245</v>
      </c>
      <c r="E81" s="5" t="s">
        <v>246</v>
      </c>
      <c r="F81" s="17"/>
      <c r="G81" s="17" t="s">
        <v>3</v>
      </c>
      <c r="H81" s="18">
        <v>200</v>
      </c>
      <c r="I81" s="21">
        <v>0</v>
      </c>
      <c r="J81" s="21">
        <v>0</v>
      </c>
      <c r="K81" s="21">
        <v>0</v>
      </c>
      <c r="L81" s="17"/>
      <c r="M81" s="21">
        <v>0</v>
      </c>
      <c r="N81" s="21">
        <v>0</v>
      </c>
      <c r="O81" s="17"/>
      <c r="P81" s="21">
        <v>0</v>
      </c>
      <c r="Q81" s="17"/>
      <c r="R81" s="17"/>
      <c r="S81" s="17"/>
      <c r="T81" s="21">
        <v>0</v>
      </c>
      <c r="U81" s="17"/>
      <c r="V81" s="17" t="s">
        <v>247</v>
      </c>
      <c r="W81" s="17" t="s">
        <v>248</v>
      </c>
      <c r="X81" s="19">
        <v>46258</v>
      </c>
      <c r="Y81" s="17" t="s">
        <v>249</v>
      </c>
      <c r="Z81" s="17"/>
      <c r="AA81" s="17"/>
    </row>
    <row r="82" spans="1:27">
      <c r="A82" s="5"/>
      <c r="B82" s="5"/>
      <c r="C82" s="5"/>
      <c r="D82" s="4" t="s">
        <v>250</v>
      </c>
      <c r="E82" s="23" t="s">
        <v>251</v>
      </c>
      <c r="F82" s="5"/>
      <c r="G82" s="17" t="s">
        <v>3</v>
      </c>
      <c r="H82" s="4">
        <v>2</v>
      </c>
      <c r="I82" s="21">
        <v>0</v>
      </c>
      <c r="J82" s="21">
        <v>0</v>
      </c>
      <c r="K82" s="21">
        <v>0</v>
      </c>
      <c r="L82" s="17"/>
      <c r="M82" s="21">
        <v>0</v>
      </c>
      <c r="N82" s="21">
        <v>0</v>
      </c>
      <c r="O82" s="17"/>
      <c r="P82" s="21">
        <v>0</v>
      </c>
      <c r="Q82" s="17"/>
      <c r="R82" s="17"/>
      <c r="S82" s="17"/>
      <c r="T82" s="21">
        <v>0</v>
      </c>
      <c r="U82" s="5"/>
      <c r="V82" s="5"/>
      <c r="W82" s="5"/>
      <c r="X82" s="5"/>
      <c r="Y82" s="5"/>
      <c r="Z82" s="5"/>
      <c r="AA82" s="5"/>
    </row>
    <row r="83" spans="1:27">
      <c r="A83" s="5"/>
      <c r="B83" s="5"/>
      <c r="C83" s="5"/>
      <c r="D83" s="4" t="s">
        <v>252</v>
      </c>
      <c r="E83" s="5" t="s">
        <v>253</v>
      </c>
      <c r="F83" s="5"/>
      <c r="G83" s="5" t="s">
        <v>3</v>
      </c>
      <c r="H83" s="4">
        <v>6</v>
      </c>
      <c r="I83" s="21">
        <v>0</v>
      </c>
      <c r="J83" s="21">
        <v>0</v>
      </c>
      <c r="K83" s="21">
        <v>0</v>
      </c>
      <c r="L83" s="17"/>
      <c r="M83" s="21">
        <v>0</v>
      </c>
      <c r="N83" s="21">
        <v>0</v>
      </c>
      <c r="O83" s="17"/>
      <c r="P83" s="21">
        <v>0</v>
      </c>
      <c r="Q83" s="17"/>
      <c r="R83" s="17"/>
      <c r="S83" s="17"/>
      <c r="T83" s="21">
        <v>0</v>
      </c>
      <c r="U83" s="17"/>
      <c r="V83" s="17"/>
      <c r="W83" s="5"/>
      <c r="X83" s="5"/>
      <c r="Y83" s="5"/>
      <c r="Z83" s="5"/>
      <c r="AA83" s="5"/>
    </row>
    <row r="84" spans="1:27">
      <c r="A84" s="5"/>
      <c r="B84" s="5"/>
      <c r="C84" s="5"/>
      <c r="D84" s="4" t="s">
        <v>254</v>
      </c>
      <c r="E84" s="5" t="s">
        <v>255</v>
      </c>
      <c r="F84" s="5"/>
      <c r="G84" s="5" t="s">
        <v>3</v>
      </c>
      <c r="H84" s="4">
        <v>2</v>
      </c>
      <c r="I84" s="21">
        <v>0</v>
      </c>
      <c r="J84" s="21">
        <v>0</v>
      </c>
      <c r="K84" s="21">
        <v>0</v>
      </c>
      <c r="L84" s="17"/>
      <c r="M84" s="21">
        <v>0</v>
      </c>
      <c r="N84" s="21">
        <v>0</v>
      </c>
      <c r="O84" s="17"/>
      <c r="P84" s="21">
        <v>0</v>
      </c>
      <c r="Q84" s="17"/>
      <c r="R84" s="17"/>
      <c r="S84" s="17"/>
      <c r="T84" s="21">
        <v>0</v>
      </c>
      <c r="U84" s="17"/>
      <c r="V84" s="17"/>
      <c r="W84" s="5"/>
      <c r="X84" s="5"/>
      <c r="Y84" s="5"/>
      <c r="Z84" s="5"/>
      <c r="AA84" s="5"/>
    </row>
    <row r="85" spans="1:27">
      <c r="A85" s="18">
        <v>43</v>
      </c>
      <c r="B85" s="18" t="s">
        <v>256</v>
      </c>
      <c r="C85" s="19">
        <v>46258</v>
      </c>
      <c r="D85" s="18" t="s">
        <v>257</v>
      </c>
      <c r="E85" s="17" t="s">
        <v>258</v>
      </c>
      <c r="F85" s="18" t="s">
        <v>145</v>
      </c>
      <c r="G85" s="17" t="s">
        <v>38</v>
      </c>
      <c r="H85" s="18">
        <v>400</v>
      </c>
      <c r="I85" s="21">
        <v>84</v>
      </c>
      <c r="J85" s="21">
        <v>0</v>
      </c>
      <c r="K85" s="20">
        <v>33600</v>
      </c>
      <c r="L85" s="17"/>
      <c r="M85" s="20">
        <v>33600</v>
      </c>
      <c r="N85" s="21">
        <v>0</v>
      </c>
      <c r="O85" s="17"/>
      <c r="P85" s="21">
        <v>0</v>
      </c>
      <c r="Q85" s="17"/>
      <c r="R85" s="20">
        <v>1680</v>
      </c>
      <c r="S85" s="17"/>
      <c r="T85" s="20">
        <v>35280</v>
      </c>
      <c r="U85" s="20">
        <v>35280</v>
      </c>
      <c r="V85" s="17" t="s">
        <v>146</v>
      </c>
      <c r="W85" s="17" t="s">
        <v>259</v>
      </c>
      <c r="X85" s="19">
        <v>46251</v>
      </c>
      <c r="Y85" s="17"/>
      <c r="Z85" s="17"/>
      <c r="AA85" s="17"/>
    </row>
    <row r="86" spans="1:27">
      <c r="A86" s="4">
        <v>44</v>
      </c>
      <c r="B86" s="4" t="s">
        <v>194</v>
      </c>
      <c r="C86" s="8">
        <v>46258</v>
      </c>
      <c r="D86" s="4" t="s">
        <v>260</v>
      </c>
      <c r="E86" s="5" t="s">
        <v>261</v>
      </c>
      <c r="F86" s="4" t="s">
        <v>262</v>
      </c>
      <c r="G86" s="5" t="s">
        <v>3</v>
      </c>
      <c r="H86" s="4">
        <v>20</v>
      </c>
      <c r="I86" s="7">
        <v>90</v>
      </c>
      <c r="J86" s="21">
        <v>0</v>
      </c>
      <c r="K86" s="20">
        <v>1800</v>
      </c>
      <c r="L86" s="17"/>
      <c r="M86" s="20">
        <v>1800</v>
      </c>
      <c r="N86" s="21">
        <v>0</v>
      </c>
      <c r="O86" s="17"/>
      <c r="P86" s="21">
        <v>0</v>
      </c>
      <c r="Q86" s="17"/>
      <c r="R86" s="17"/>
      <c r="S86" s="17"/>
      <c r="T86" s="20">
        <v>1800</v>
      </c>
      <c r="U86" s="6">
        <v>1800</v>
      </c>
      <c r="V86" s="5" t="s">
        <v>263</v>
      </c>
      <c r="W86" s="5"/>
      <c r="X86" s="5"/>
      <c r="Y86" s="5"/>
      <c r="Z86" s="5"/>
      <c r="AA86" s="5"/>
    </row>
  </sheetData>
  <mergeCells count="26">
    <mergeCell ref="AA1:AA2"/>
    <mergeCell ref="V1:V2"/>
    <mergeCell ref="W1:W2"/>
    <mergeCell ref="X1:X2"/>
    <mergeCell ref="Y1:Y2"/>
    <mergeCell ref="Z1:Z2"/>
    <mergeCell ref="A1:A2"/>
    <mergeCell ref="B1:B2"/>
    <mergeCell ref="C1:C2"/>
    <mergeCell ref="G1:G2"/>
    <mergeCell ref="H1:H2"/>
    <mergeCell ref="R1:R2"/>
    <mergeCell ref="S1:S2"/>
    <mergeCell ref="T1:T2"/>
    <mergeCell ref="U1:U2"/>
    <mergeCell ref="N2:O2"/>
    <mergeCell ref="P2:Q2"/>
    <mergeCell ref="D1:D2"/>
    <mergeCell ref="E1:E2"/>
    <mergeCell ref="F1:F2"/>
    <mergeCell ref="M1:M2"/>
    <mergeCell ref="N1:Q1"/>
    <mergeCell ref="J1:J2"/>
    <mergeCell ref="K1:K2"/>
    <mergeCell ref="L1:L2"/>
    <mergeCell ref="I1:I2"/>
  </mergeCells>
  <hyperlinks>
    <hyperlink ref="A1" r:id="rId1" display="http://s.no/"/>
  </hyperlinks>
  <pageMargins left="0.05" right="0.15748031496062992" top="0.74803149606299213" bottom="0.74803149606299213" header="0.31496062992125984" footer="0.31496062992125984"/>
  <pageSetup paperSize="9" scale="75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2026-08-25T13:19:15Z</dcterms:modified>
</cp:coreProperties>
</file>