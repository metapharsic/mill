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7980" firstSheet="17" activeTab="22"/>
  </bookViews>
  <sheets>
    <sheet name="Bearing" sheetId="1" state="hidden" r:id="rId1"/>
    <sheet name="OIl Seal" sheetId="2" state="hidden" r:id="rId2"/>
    <sheet name="Sheet3" sheetId="3" state="hidden" r:id="rId3"/>
    <sheet name="Sheet1" sheetId="4" state="hidden" r:id="rId4"/>
    <sheet name="Final Oil Seal" sheetId="5" r:id="rId5"/>
    <sheet name="Bearing " sheetId="6" r:id="rId6"/>
    <sheet name="CLOTHING" sheetId="7" r:id="rId7"/>
    <sheet name="TYRE" sheetId="8" r:id="rId8"/>
    <sheet name="TYRE COUPLING, PIN BUSH" sheetId="9" r:id="rId9"/>
    <sheet name="PUMP SLEEVE" sheetId="10" r:id="rId10"/>
    <sheet name="V-BELT" sheetId="11" r:id="rId11"/>
    <sheet name="PENUM CYLINDER KITS" sheetId="12" r:id="rId12"/>
    <sheet name="WELDING RODS" sheetId="13" r:id="rId13"/>
    <sheet name="BLADE" sheetId="14" r:id="rId14"/>
    <sheet name="CHEMICAL" sheetId="15" r:id="rId15"/>
    <sheet name="PENUMATICS &amp; HYDRAULICS" sheetId="16" r:id="rId16"/>
    <sheet name="GENERAL " sheetId="17" r:id="rId17"/>
    <sheet name="VALVE" sheetId="18" r:id="rId18"/>
    <sheet name="CHECK NUT &amp; WASHER" sheetId="19" r:id="rId19"/>
    <sheet name="GUAGES" sheetId="20" r:id="rId20"/>
    <sheet name="SHAFT &amp; IMPELLER" sheetId="21" r:id="rId21"/>
    <sheet name="SS,MS PIPE FITTING" sheetId="22" r:id="rId22"/>
    <sheet name="NOZZLES" sheetId="23" r:id="rId23"/>
    <sheet name="LUBRICANTS" sheetId="24" r:id="rId24"/>
  </sheets>
  <definedNames>
    <definedName name="_xlnm._FilterDatabase" localSheetId="5" hidden="1">'Bearing '!$L$3:$Q$173</definedName>
    <definedName name="_xlnm._FilterDatabase" localSheetId="1" hidden="1">'OIl Seal'!$A$1:$D$75</definedName>
    <definedName name="_xlnm._FilterDatabase" localSheetId="11" hidden="1">'PENUM CYLINDER KITS'!$A$14:$D$14</definedName>
    <definedName name="_xlnm.Print_Area" localSheetId="3">Sheet1!$A$1:$F$21</definedName>
  </definedNames>
  <calcPr calcId="124519"/>
</workbook>
</file>

<file path=xl/calcChain.xml><?xml version="1.0" encoding="utf-8"?>
<calcChain xmlns="http://schemas.openxmlformats.org/spreadsheetml/2006/main">
  <c r="G9" i="7"/>
  <c r="H9" s="1"/>
  <c r="G4" i="24"/>
  <c r="G5"/>
  <c r="G6"/>
  <c r="G7"/>
  <c r="G3"/>
  <c r="G73" i="22"/>
  <c r="G58"/>
  <c r="G71"/>
  <c r="G66"/>
  <c r="G70"/>
  <c r="G76"/>
  <c r="G75"/>
  <c r="G74"/>
  <c r="G72"/>
  <c r="G69"/>
  <c r="G68"/>
  <c r="G67"/>
  <c r="G65"/>
  <c r="G25"/>
  <c r="G26"/>
  <c r="G27"/>
  <c r="G40"/>
  <c r="D39"/>
  <c r="D38"/>
  <c r="F19" i="16"/>
  <c r="H19" s="1"/>
  <c r="F18"/>
  <c r="H18" s="1"/>
  <c r="F17"/>
  <c r="H17" s="1"/>
  <c r="F16"/>
  <c r="H16" s="1"/>
  <c r="G105" i="17"/>
  <c r="I105"/>
  <c r="G104"/>
  <c r="I104" s="1"/>
  <c r="G103"/>
  <c r="I103" s="1"/>
  <c r="F15" i="16" l="1"/>
  <c r="H15" s="1"/>
  <c r="F14"/>
  <c r="H14" s="1"/>
  <c r="G102" i="17" l="1"/>
  <c r="I102" s="1"/>
  <c r="G5" i="23"/>
  <c r="G6"/>
  <c r="F9" i="13"/>
  <c r="H9" s="1"/>
  <c r="F10"/>
  <c r="H10" s="1"/>
  <c r="G4" i="23"/>
  <c r="G7"/>
  <c r="G3"/>
  <c r="I101" i="17"/>
  <c r="G101"/>
  <c r="G100"/>
  <c r="I100" s="1"/>
  <c r="G99"/>
  <c r="I99" s="1"/>
  <c r="F13" i="16"/>
  <c r="H13" s="1"/>
  <c r="G33" i="21"/>
  <c r="G34"/>
  <c r="G35"/>
  <c r="G36"/>
  <c r="G37"/>
  <c r="G38"/>
  <c r="G39"/>
  <c r="G40"/>
  <c r="G41"/>
  <c r="G42"/>
  <c r="G43"/>
  <c r="G44"/>
  <c r="G45"/>
  <c r="G46"/>
  <c r="G47"/>
  <c r="G48"/>
  <c r="G3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4"/>
  <c r="H76" i="5" l="1"/>
  <c r="G57" i="22"/>
  <c r="G59"/>
  <c r="G60"/>
  <c r="G61"/>
  <c r="G62"/>
  <c r="G63"/>
  <c r="G64"/>
  <c r="G98" i="17"/>
  <c r="I98" s="1"/>
  <c r="G94"/>
  <c r="I94" s="1"/>
  <c r="G95"/>
  <c r="I95" s="1"/>
  <c r="G96"/>
  <c r="I96" s="1"/>
  <c r="G97"/>
  <c r="I97" s="1"/>
  <c r="G93"/>
  <c r="I93" s="1"/>
  <c r="I91"/>
  <c r="G90"/>
  <c r="I90" s="1"/>
  <c r="G91"/>
  <c r="G92"/>
  <c r="I92" s="1"/>
  <c r="F176" i="6"/>
  <c r="H176" s="1"/>
  <c r="K176" s="1"/>
  <c r="N176" s="1"/>
  <c r="Q176" s="1"/>
  <c r="F175"/>
  <c r="H175" s="1"/>
  <c r="K175" s="1"/>
  <c r="N175" s="1"/>
  <c r="Q175" s="1"/>
  <c r="F174"/>
  <c r="H174" s="1"/>
  <c r="K174" s="1"/>
  <c r="N174" s="1"/>
  <c r="Q174" s="1"/>
  <c r="G6" i="18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"/>
  <c r="G59" i="17"/>
  <c r="I59" s="1"/>
  <c r="G4" i="2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8"/>
  <c r="G29"/>
  <c r="G30"/>
  <c r="G31"/>
  <c r="G32"/>
  <c r="G33"/>
  <c r="G34"/>
  <c r="G35"/>
  <c r="G36"/>
  <c r="G37"/>
  <c r="G38"/>
  <c r="G39"/>
  <c r="G41"/>
  <c r="G42"/>
  <c r="G44"/>
  <c r="G45"/>
  <c r="G46"/>
  <c r="G47"/>
  <c r="G48"/>
  <c r="G49"/>
  <c r="G50"/>
  <c r="G51"/>
  <c r="G52"/>
  <c r="G53"/>
  <c r="G54"/>
  <c r="G55"/>
  <c r="G56"/>
  <c r="G3"/>
  <c r="G82" i="17"/>
  <c r="I82" s="1"/>
  <c r="G81"/>
  <c r="I81" s="1"/>
  <c r="G80"/>
  <c r="I80" s="1"/>
  <c r="G4" i="20"/>
  <c r="G5"/>
  <c r="G6"/>
  <c r="G7"/>
  <c r="G8"/>
  <c r="G9"/>
  <c r="G10"/>
  <c r="G11"/>
  <c r="G12"/>
  <c r="G13"/>
  <c r="G14"/>
  <c r="G15"/>
  <c r="G16"/>
  <c r="G3"/>
  <c r="D43" i="22" l="1"/>
  <c r="G43" s="1"/>
  <c r="G89" i="17"/>
  <c r="I89" s="1"/>
  <c r="I88"/>
  <c r="G88"/>
  <c r="G87"/>
  <c r="I87" s="1"/>
  <c r="G86"/>
  <c r="I86" s="1"/>
  <c r="G85"/>
  <c r="I85" s="1"/>
  <c r="G84"/>
  <c r="I84" s="1"/>
  <c r="G83"/>
  <c r="I83" s="1"/>
  <c r="G79"/>
  <c r="I79" s="1"/>
  <c r="G78"/>
  <c r="I78" s="1"/>
  <c r="G77"/>
  <c r="I77" s="1"/>
  <c r="G76"/>
  <c r="I76" s="1"/>
  <c r="G75"/>
  <c r="I75" s="1"/>
  <c r="G74"/>
  <c r="I74" s="1"/>
  <c r="G73"/>
  <c r="I73" s="1"/>
  <c r="G72"/>
  <c r="I72" s="1"/>
  <c r="G71"/>
  <c r="I71" s="1"/>
  <c r="G70"/>
  <c r="I70" s="1"/>
  <c r="G69"/>
  <c r="I69" s="1"/>
  <c r="G68"/>
  <c r="I68" s="1"/>
  <c r="G67"/>
  <c r="I67" s="1"/>
  <c r="G66"/>
  <c r="I66" s="1"/>
  <c r="G65"/>
  <c r="I65" s="1"/>
  <c r="G64"/>
  <c r="I64" s="1"/>
  <c r="G63"/>
  <c r="I63" s="1"/>
  <c r="G62"/>
  <c r="I62" s="1"/>
  <c r="G61"/>
  <c r="I61" s="1"/>
  <c r="G60"/>
  <c r="I60" s="1"/>
  <c r="G58"/>
  <c r="I58" s="1"/>
  <c r="G57"/>
  <c r="I57" s="1"/>
  <c r="E56"/>
  <c r="G56" s="1"/>
  <c r="I56" s="1"/>
  <c r="G55"/>
  <c r="I55" s="1"/>
  <c r="I54"/>
  <c r="G54"/>
  <c r="G53"/>
  <c r="I53" s="1"/>
  <c r="G52"/>
  <c r="I52" s="1"/>
  <c r="G51"/>
  <c r="I51" s="1"/>
  <c r="G50"/>
  <c r="I50" s="1"/>
  <c r="G49"/>
  <c r="I49" s="1"/>
  <c r="G48"/>
  <c r="I48" s="1"/>
  <c r="E47"/>
  <c r="G47" s="1"/>
  <c r="I47" s="1"/>
  <c r="G46"/>
  <c r="I46" s="1"/>
  <c r="G45"/>
  <c r="I45" s="1"/>
  <c r="G44"/>
  <c r="I44" s="1"/>
  <c r="G43"/>
  <c r="I43" s="1"/>
  <c r="G42"/>
  <c r="I42" s="1"/>
  <c r="G41"/>
  <c r="I41" s="1"/>
  <c r="G40"/>
  <c r="I40" s="1"/>
  <c r="G39"/>
  <c r="I39" s="1"/>
  <c r="G20"/>
  <c r="I20" s="1"/>
  <c r="G19"/>
  <c r="I19" s="1"/>
  <c r="G18"/>
  <c r="I18" s="1"/>
  <c r="G17"/>
  <c r="I17" s="1"/>
  <c r="G16"/>
  <c r="I16" s="1"/>
  <c r="G15"/>
  <c r="I15" s="1"/>
  <c r="G14"/>
  <c r="I14" s="1"/>
  <c r="G13"/>
  <c r="I13" s="1"/>
  <c r="G12"/>
  <c r="I12" s="1"/>
  <c r="G11"/>
  <c r="I11" s="1"/>
  <c r="G10"/>
  <c r="I10" s="1"/>
  <c r="G9"/>
  <c r="I9" s="1"/>
  <c r="G8"/>
  <c r="I8" s="1"/>
  <c r="G7"/>
  <c r="I7" s="1"/>
  <c r="G6"/>
  <c r="I6" s="1"/>
  <c r="G5"/>
  <c r="I5" s="1"/>
  <c r="G4"/>
  <c r="I4" s="1"/>
  <c r="F16" i="12" l="1"/>
  <c r="F17"/>
  <c r="H17" s="1"/>
  <c r="F18"/>
  <c r="F19"/>
  <c r="F20"/>
  <c r="F21"/>
  <c r="H21" s="1"/>
  <c r="F22"/>
  <c r="F23"/>
  <c r="F24"/>
  <c r="F25"/>
  <c r="H25" s="1"/>
  <c r="F26"/>
  <c r="F27"/>
  <c r="F28"/>
  <c r="F29"/>
  <c r="H29" s="1"/>
  <c r="F30"/>
  <c r="F31"/>
  <c r="F32"/>
  <c r="F33"/>
  <c r="H33" s="1"/>
  <c r="F34"/>
  <c r="F35"/>
  <c r="F36"/>
  <c r="F37"/>
  <c r="H37" s="1"/>
  <c r="F38"/>
  <c r="F39"/>
  <c r="F40"/>
  <c r="F41"/>
  <c r="H41" s="1"/>
  <c r="F42"/>
  <c r="F43"/>
  <c r="F44"/>
  <c r="F45"/>
  <c r="H45" s="1"/>
  <c r="F46"/>
  <c r="F47"/>
  <c r="F48"/>
  <c r="F49"/>
  <c r="H49" s="1"/>
  <c r="F15"/>
  <c r="H16"/>
  <c r="H18"/>
  <c r="H19"/>
  <c r="H20"/>
  <c r="H22"/>
  <c r="H23"/>
  <c r="H24"/>
  <c r="H26"/>
  <c r="H27"/>
  <c r="H28"/>
  <c r="H30"/>
  <c r="H31"/>
  <c r="H32"/>
  <c r="H34"/>
  <c r="H35"/>
  <c r="H36"/>
  <c r="H38"/>
  <c r="H39"/>
  <c r="H40"/>
  <c r="H42"/>
  <c r="H43"/>
  <c r="H44"/>
  <c r="H46"/>
  <c r="H47"/>
  <c r="H48"/>
  <c r="H15"/>
  <c r="F10" i="16" l="1"/>
  <c r="H10" s="1"/>
  <c r="F11"/>
  <c r="H11" s="1"/>
  <c r="F12"/>
  <c r="H12" s="1"/>
  <c r="N5" i="10"/>
  <c r="N6"/>
  <c r="N7"/>
  <c r="N8"/>
  <c r="N9"/>
  <c r="N10"/>
  <c r="N11"/>
  <c r="N12"/>
  <c r="N14"/>
  <c r="N15"/>
  <c r="N16"/>
  <c r="N17"/>
  <c r="N18"/>
  <c r="N19"/>
  <c r="N20"/>
  <c r="N21"/>
  <c r="N22"/>
  <c r="N23"/>
  <c r="N24"/>
  <c r="N25"/>
  <c r="N26"/>
  <c r="N27"/>
  <c r="N28"/>
  <c r="N29"/>
  <c r="N4"/>
  <c r="F9" i="16" l="1"/>
  <c r="H9" s="1"/>
  <c r="F5"/>
  <c r="H5" s="1"/>
  <c r="F6"/>
  <c r="H6" s="1"/>
  <c r="F7"/>
  <c r="H7" s="1"/>
  <c r="F8"/>
  <c r="H8" s="1"/>
  <c r="F4"/>
  <c r="H4" s="1"/>
  <c r="F11" i="14"/>
  <c r="H11" s="1"/>
  <c r="F12"/>
  <c r="H12" s="1"/>
  <c r="F13"/>
  <c r="H13" s="1"/>
  <c r="F14"/>
  <c r="H14" s="1"/>
  <c r="F15"/>
  <c r="H15" s="1"/>
  <c r="F16"/>
  <c r="H16" s="1"/>
  <c r="F17"/>
  <c r="H17"/>
  <c r="F18"/>
  <c r="H18" s="1"/>
  <c r="F19"/>
  <c r="H19" s="1"/>
  <c r="F10"/>
  <c r="H10" s="1"/>
  <c r="F6"/>
  <c r="H6" s="1"/>
  <c r="F7"/>
  <c r="H7" s="1"/>
  <c r="F5"/>
  <c r="H5" s="1"/>
  <c r="F5" i="13"/>
  <c r="H5" s="1"/>
  <c r="F6"/>
  <c r="H6" s="1"/>
  <c r="F7"/>
  <c r="H7" s="1"/>
  <c r="F8"/>
  <c r="H8" s="1"/>
  <c r="F4"/>
  <c r="H4" s="1"/>
  <c r="F5" i="12"/>
  <c r="H5" s="1"/>
  <c r="F6"/>
  <c r="H6" s="1"/>
  <c r="F7"/>
  <c r="H7" s="1"/>
  <c r="F8"/>
  <c r="H8" s="1"/>
  <c r="F9"/>
  <c r="H9" s="1"/>
  <c r="F10"/>
  <c r="H10" s="1"/>
  <c r="F11"/>
  <c r="H11" s="1"/>
  <c r="F4"/>
  <c r="H4" s="1"/>
  <c r="F5" i="11"/>
  <c r="H5" s="1"/>
  <c r="F6"/>
  <c r="H6" s="1"/>
  <c r="F7"/>
  <c r="H7" s="1"/>
  <c r="F8"/>
  <c r="H8" s="1"/>
  <c r="F9"/>
  <c r="H9"/>
  <c r="F10"/>
  <c r="H10" s="1"/>
  <c r="F11"/>
  <c r="H11" s="1"/>
  <c r="F12"/>
  <c r="H12" s="1"/>
  <c r="F13"/>
  <c r="H13" s="1"/>
  <c r="F14"/>
  <c r="H14" s="1"/>
  <c r="F15"/>
  <c r="H15" s="1"/>
  <c r="F16"/>
  <c r="H16" s="1"/>
  <c r="F17"/>
  <c r="H17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/>
  <c r="F26"/>
  <c r="H26" s="1"/>
  <c r="F27"/>
  <c r="H27" s="1"/>
  <c r="F28"/>
  <c r="H28" s="1"/>
  <c r="F29"/>
  <c r="H29" s="1"/>
  <c r="F30"/>
  <c r="H30" s="1"/>
  <c r="F4"/>
  <c r="H4" s="1"/>
  <c r="F5" i="10"/>
  <c r="H5" s="1"/>
  <c r="K5" s="1"/>
  <c r="F6"/>
  <c r="H6" s="1"/>
  <c r="K6" s="1"/>
  <c r="F7"/>
  <c r="H7"/>
  <c r="K7" s="1"/>
  <c r="F8"/>
  <c r="H8" s="1"/>
  <c r="K8" s="1"/>
  <c r="F9"/>
  <c r="H9" s="1"/>
  <c r="K9" s="1"/>
  <c r="F10"/>
  <c r="H10" s="1"/>
  <c r="K10" s="1"/>
  <c r="F11"/>
  <c r="H11"/>
  <c r="K11" s="1"/>
  <c r="F12"/>
  <c r="H12" s="1"/>
  <c r="K12" s="1"/>
  <c r="F13"/>
  <c r="H13" s="1"/>
  <c r="K13" s="1"/>
  <c r="N13" s="1"/>
  <c r="F14"/>
  <c r="H14" s="1"/>
  <c r="K14" s="1"/>
  <c r="F15"/>
  <c r="H15"/>
  <c r="K15" s="1"/>
  <c r="F16"/>
  <c r="H16" s="1"/>
  <c r="K16" s="1"/>
  <c r="F17"/>
  <c r="H17" s="1"/>
  <c r="K17" s="1"/>
  <c r="F18"/>
  <c r="H18" s="1"/>
  <c r="K18" s="1"/>
  <c r="F19"/>
  <c r="H19"/>
  <c r="K19" s="1"/>
  <c r="F20"/>
  <c r="H20" s="1"/>
  <c r="K20" s="1"/>
  <c r="F21"/>
  <c r="H21" s="1"/>
  <c r="K21" s="1"/>
  <c r="F22"/>
  <c r="H22" s="1"/>
  <c r="K22" s="1"/>
  <c r="F23"/>
  <c r="H23"/>
  <c r="K23" s="1"/>
  <c r="F24"/>
  <c r="H24" s="1"/>
  <c r="K24" s="1"/>
  <c r="F25"/>
  <c r="H25" s="1"/>
  <c r="K25" s="1"/>
  <c r="F26"/>
  <c r="H26" s="1"/>
  <c r="K26" s="1"/>
  <c r="F27"/>
  <c r="H27"/>
  <c r="K27" s="1"/>
  <c r="F28"/>
  <c r="H28" s="1"/>
  <c r="K28" s="1"/>
  <c r="F29"/>
  <c r="H29" s="1"/>
  <c r="K29" s="1"/>
  <c r="F30"/>
  <c r="H30" s="1"/>
  <c r="K30" s="1"/>
  <c r="N30" s="1"/>
  <c r="F4"/>
  <c r="H4" s="1"/>
  <c r="K4" s="1"/>
  <c r="G5" i="9"/>
  <c r="I5" s="1"/>
  <c r="G6"/>
  <c r="I6" s="1"/>
  <c r="G7"/>
  <c r="I7" s="1"/>
  <c r="G8"/>
  <c r="I8" s="1"/>
  <c r="G9"/>
  <c r="I9" s="1"/>
  <c r="G10"/>
  <c r="I10" s="1"/>
  <c r="G13"/>
  <c r="I13" s="1"/>
  <c r="G14"/>
  <c r="I14" s="1"/>
  <c r="G15"/>
  <c r="I15" s="1"/>
  <c r="G16"/>
  <c r="I16" s="1"/>
  <c r="G4"/>
  <c r="I4" s="1"/>
  <c r="I5" i="8"/>
  <c r="I6"/>
  <c r="I9"/>
  <c r="I10"/>
  <c r="I13"/>
  <c r="G5"/>
  <c r="G6"/>
  <c r="G7"/>
  <c r="I7" s="1"/>
  <c r="G8"/>
  <c r="I8" s="1"/>
  <c r="G9"/>
  <c r="G10"/>
  <c r="G11"/>
  <c r="I11" s="1"/>
  <c r="G12"/>
  <c r="I12" s="1"/>
  <c r="G13"/>
  <c r="G4"/>
  <c r="I4" s="1"/>
  <c r="F110" i="6"/>
  <c r="H110" s="1"/>
  <c r="K110" s="1"/>
  <c r="N110" s="1"/>
  <c r="Q110" s="1"/>
  <c r="F118"/>
  <c r="H118" s="1"/>
  <c r="K118" s="1"/>
  <c r="N118" s="1"/>
  <c r="Q118" s="1"/>
  <c r="F5"/>
  <c r="H5" s="1"/>
  <c r="K5" s="1"/>
  <c r="N5" s="1"/>
  <c r="Q5" s="1"/>
  <c r="F6"/>
  <c r="H6" s="1"/>
  <c r="K6" s="1"/>
  <c r="N6" s="1"/>
  <c r="Q6" s="1"/>
  <c r="F7"/>
  <c r="H7" s="1"/>
  <c r="K7" s="1"/>
  <c r="N7" s="1"/>
  <c r="Q7" s="1"/>
  <c r="F8"/>
  <c r="H8" s="1"/>
  <c r="K8" s="1"/>
  <c r="N8" s="1"/>
  <c r="Q8" s="1"/>
  <c r="F9"/>
  <c r="H9" s="1"/>
  <c r="K9" s="1"/>
  <c r="N9" s="1"/>
  <c r="Q9" s="1"/>
  <c r="F10"/>
  <c r="H10" s="1"/>
  <c r="K10" s="1"/>
  <c r="N10" s="1"/>
  <c r="Q10" s="1"/>
  <c r="F11"/>
  <c r="H11" s="1"/>
  <c r="K11" s="1"/>
  <c r="N11" s="1"/>
  <c r="Q11" s="1"/>
  <c r="F12"/>
  <c r="H12" s="1"/>
  <c r="K12" s="1"/>
  <c r="N12" s="1"/>
  <c r="Q12" s="1"/>
  <c r="F13"/>
  <c r="H13" s="1"/>
  <c r="K13" s="1"/>
  <c r="N13" s="1"/>
  <c r="Q13" s="1"/>
  <c r="F14"/>
  <c r="H14" s="1"/>
  <c r="K14" s="1"/>
  <c r="N14" s="1"/>
  <c r="Q14" s="1"/>
  <c r="F15"/>
  <c r="H15" s="1"/>
  <c r="K15" s="1"/>
  <c r="N15" s="1"/>
  <c r="Q15" s="1"/>
  <c r="F16"/>
  <c r="H16" s="1"/>
  <c r="K16" s="1"/>
  <c r="N16" s="1"/>
  <c r="Q16" s="1"/>
  <c r="F17"/>
  <c r="H17" s="1"/>
  <c r="K17" s="1"/>
  <c r="N17" s="1"/>
  <c r="Q17" s="1"/>
  <c r="F18"/>
  <c r="H18" s="1"/>
  <c r="K18" s="1"/>
  <c r="N18" s="1"/>
  <c r="Q18" s="1"/>
  <c r="F19"/>
  <c r="H19" s="1"/>
  <c r="K19" s="1"/>
  <c r="N19" s="1"/>
  <c r="Q19" s="1"/>
  <c r="F20"/>
  <c r="H20" s="1"/>
  <c r="K20" s="1"/>
  <c r="N20" s="1"/>
  <c r="Q20" s="1"/>
  <c r="F21"/>
  <c r="H21" s="1"/>
  <c r="K21" s="1"/>
  <c r="N21" s="1"/>
  <c r="Q21" s="1"/>
  <c r="F22"/>
  <c r="H22" s="1"/>
  <c r="K22" s="1"/>
  <c r="N22" s="1"/>
  <c r="Q22" s="1"/>
  <c r="F23"/>
  <c r="H23" s="1"/>
  <c r="K23" s="1"/>
  <c r="N23" s="1"/>
  <c r="Q23" s="1"/>
  <c r="F24"/>
  <c r="H24" s="1"/>
  <c r="K24" s="1"/>
  <c r="N24" s="1"/>
  <c r="Q24" s="1"/>
  <c r="F25"/>
  <c r="H25" s="1"/>
  <c r="K25" s="1"/>
  <c r="N25" s="1"/>
  <c r="Q25" s="1"/>
  <c r="F26"/>
  <c r="H26" s="1"/>
  <c r="K26" s="1"/>
  <c r="N26" s="1"/>
  <c r="Q26" s="1"/>
  <c r="F27"/>
  <c r="H27" s="1"/>
  <c r="K27" s="1"/>
  <c r="N27" s="1"/>
  <c r="Q27" s="1"/>
  <c r="F28"/>
  <c r="H28" s="1"/>
  <c r="K28" s="1"/>
  <c r="N28" s="1"/>
  <c r="Q28" s="1"/>
  <c r="F29"/>
  <c r="H29" s="1"/>
  <c r="K29" s="1"/>
  <c r="N29" s="1"/>
  <c r="Q29" s="1"/>
  <c r="F30"/>
  <c r="H30" s="1"/>
  <c r="K30" s="1"/>
  <c r="N30" s="1"/>
  <c r="Q30" s="1"/>
  <c r="F31"/>
  <c r="H31" s="1"/>
  <c r="K31" s="1"/>
  <c r="N31" s="1"/>
  <c r="Q31" s="1"/>
  <c r="F32"/>
  <c r="H32" s="1"/>
  <c r="K32" s="1"/>
  <c r="N32" s="1"/>
  <c r="Q32" s="1"/>
  <c r="F33"/>
  <c r="H33" s="1"/>
  <c r="K33" s="1"/>
  <c r="N33" s="1"/>
  <c r="Q33" s="1"/>
  <c r="F34"/>
  <c r="H34" s="1"/>
  <c r="K34" s="1"/>
  <c r="N34" s="1"/>
  <c r="Q34" s="1"/>
  <c r="F35"/>
  <c r="H35" s="1"/>
  <c r="K35" s="1"/>
  <c r="N35" s="1"/>
  <c r="Q35" s="1"/>
  <c r="F36"/>
  <c r="H36" s="1"/>
  <c r="K36" s="1"/>
  <c r="N36" s="1"/>
  <c r="Q36" s="1"/>
  <c r="F37"/>
  <c r="H37" s="1"/>
  <c r="K37" s="1"/>
  <c r="N37" s="1"/>
  <c r="Q37" s="1"/>
  <c r="F38"/>
  <c r="H38" s="1"/>
  <c r="K38" s="1"/>
  <c r="N38" s="1"/>
  <c r="Q38" s="1"/>
  <c r="F39"/>
  <c r="H39" s="1"/>
  <c r="K39" s="1"/>
  <c r="N39" s="1"/>
  <c r="Q39" s="1"/>
  <c r="F40"/>
  <c r="F41"/>
  <c r="H41" s="1"/>
  <c r="K41" s="1"/>
  <c r="N41" s="1"/>
  <c r="Q41" s="1"/>
  <c r="F42"/>
  <c r="H42" s="1"/>
  <c r="K42" s="1"/>
  <c r="N42" s="1"/>
  <c r="Q42" s="1"/>
  <c r="F43"/>
  <c r="H43" s="1"/>
  <c r="K43" s="1"/>
  <c r="N43" s="1"/>
  <c r="Q43" s="1"/>
  <c r="F44"/>
  <c r="H44" s="1"/>
  <c r="K44" s="1"/>
  <c r="N44" s="1"/>
  <c r="Q44" s="1"/>
  <c r="F45"/>
  <c r="H45" s="1"/>
  <c r="K45" s="1"/>
  <c r="N45" s="1"/>
  <c r="Q45" s="1"/>
  <c r="F46"/>
  <c r="H46" s="1"/>
  <c r="K46" s="1"/>
  <c r="N46" s="1"/>
  <c r="Q46" s="1"/>
  <c r="F47"/>
  <c r="H47" s="1"/>
  <c r="K47" s="1"/>
  <c r="N47" s="1"/>
  <c r="Q47" s="1"/>
  <c r="F48"/>
  <c r="H48" s="1"/>
  <c r="K48" s="1"/>
  <c r="N48" s="1"/>
  <c r="Q48" s="1"/>
  <c r="F49"/>
  <c r="H49" s="1"/>
  <c r="K49" s="1"/>
  <c r="N49" s="1"/>
  <c r="Q49" s="1"/>
  <c r="F50"/>
  <c r="H50" s="1"/>
  <c r="K50" s="1"/>
  <c r="N50" s="1"/>
  <c r="Q50" s="1"/>
  <c r="F51"/>
  <c r="H51" s="1"/>
  <c r="K51" s="1"/>
  <c r="N51" s="1"/>
  <c r="Q51" s="1"/>
  <c r="F52"/>
  <c r="H52" s="1"/>
  <c r="K52" s="1"/>
  <c r="N52" s="1"/>
  <c r="Q52" s="1"/>
  <c r="F53"/>
  <c r="H53" s="1"/>
  <c r="K53" s="1"/>
  <c r="N53" s="1"/>
  <c r="Q53" s="1"/>
  <c r="F54"/>
  <c r="H54" s="1"/>
  <c r="K54" s="1"/>
  <c r="N54" s="1"/>
  <c r="Q54" s="1"/>
  <c r="F55"/>
  <c r="H55" s="1"/>
  <c r="K55" s="1"/>
  <c r="N55" s="1"/>
  <c r="Q55" s="1"/>
  <c r="F56"/>
  <c r="H56" s="1"/>
  <c r="K56" s="1"/>
  <c r="N56" s="1"/>
  <c r="Q56" s="1"/>
  <c r="F57"/>
  <c r="H57" s="1"/>
  <c r="K57" s="1"/>
  <c r="N57" s="1"/>
  <c r="Q57" s="1"/>
  <c r="F58"/>
  <c r="H58" s="1"/>
  <c r="K58" s="1"/>
  <c r="N58" s="1"/>
  <c r="Q58" s="1"/>
  <c r="F59"/>
  <c r="H59" s="1"/>
  <c r="K59" s="1"/>
  <c r="N59" s="1"/>
  <c r="Q59" s="1"/>
  <c r="F60"/>
  <c r="H60" s="1"/>
  <c r="K60" s="1"/>
  <c r="N60" s="1"/>
  <c r="Q60" s="1"/>
  <c r="F61"/>
  <c r="H61" s="1"/>
  <c r="K61" s="1"/>
  <c r="N61" s="1"/>
  <c r="Q61" s="1"/>
  <c r="F62"/>
  <c r="H62" s="1"/>
  <c r="K62" s="1"/>
  <c r="N62" s="1"/>
  <c r="Q62" s="1"/>
  <c r="F63"/>
  <c r="H63" s="1"/>
  <c r="K63" s="1"/>
  <c r="N63" s="1"/>
  <c r="Q63" s="1"/>
  <c r="F64"/>
  <c r="H64" s="1"/>
  <c r="K64" s="1"/>
  <c r="N64" s="1"/>
  <c r="Q64" s="1"/>
  <c r="F65"/>
  <c r="H65" s="1"/>
  <c r="K65" s="1"/>
  <c r="N65" s="1"/>
  <c r="Q65" s="1"/>
  <c r="F66"/>
  <c r="H66" s="1"/>
  <c r="K66" s="1"/>
  <c r="N66" s="1"/>
  <c r="Q66" s="1"/>
  <c r="F67"/>
  <c r="H67" s="1"/>
  <c r="K67" s="1"/>
  <c r="N67" s="1"/>
  <c r="Q67" s="1"/>
  <c r="F68"/>
  <c r="H68" s="1"/>
  <c r="K68" s="1"/>
  <c r="N68" s="1"/>
  <c r="Q68" s="1"/>
  <c r="F69"/>
  <c r="H69" s="1"/>
  <c r="K69" s="1"/>
  <c r="N69" s="1"/>
  <c r="Q69" s="1"/>
  <c r="F70"/>
  <c r="H70" s="1"/>
  <c r="K70" s="1"/>
  <c r="N70" s="1"/>
  <c r="Q70" s="1"/>
  <c r="F71"/>
  <c r="H71" s="1"/>
  <c r="K71" s="1"/>
  <c r="N71" s="1"/>
  <c r="Q71" s="1"/>
  <c r="F72"/>
  <c r="H72" s="1"/>
  <c r="K72" s="1"/>
  <c r="N72" s="1"/>
  <c r="Q72" s="1"/>
  <c r="F73"/>
  <c r="H73" s="1"/>
  <c r="K73" s="1"/>
  <c r="N73" s="1"/>
  <c r="Q73" s="1"/>
  <c r="F74"/>
  <c r="H74" s="1"/>
  <c r="K74" s="1"/>
  <c r="N74" s="1"/>
  <c r="Q74" s="1"/>
  <c r="F75"/>
  <c r="H75" s="1"/>
  <c r="K75" s="1"/>
  <c r="N75" s="1"/>
  <c r="Q75" s="1"/>
  <c r="F76"/>
  <c r="H76" s="1"/>
  <c r="K76" s="1"/>
  <c r="N76" s="1"/>
  <c r="Q76" s="1"/>
  <c r="F77"/>
  <c r="H77" s="1"/>
  <c r="K77" s="1"/>
  <c r="N77" s="1"/>
  <c r="Q77" s="1"/>
  <c r="F78"/>
  <c r="H78" s="1"/>
  <c r="K78" s="1"/>
  <c r="N78" s="1"/>
  <c r="Q78" s="1"/>
  <c r="F79"/>
  <c r="H79" s="1"/>
  <c r="K79" s="1"/>
  <c r="N79" s="1"/>
  <c r="Q79" s="1"/>
  <c r="F80"/>
  <c r="H80" s="1"/>
  <c r="K80" s="1"/>
  <c r="N80" s="1"/>
  <c r="Q80" s="1"/>
  <c r="F81"/>
  <c r="H81" s="1"/>
  <c r="K81" s="1"/>
  <c r="N81" s="1"/>
  <c r="Q81" s="1"/>
  <c r="F82"/>
  <c r="H82" s="1"/>
  <c r="K82" s="1"/>
  <c r="N82" s="1"/>
  <c r="Q82" s="1"/>
  <c r="F83"/>
  <c r="H83" s="1"/>
  <c r="K83" s="1"/>
  <c r="N83" s="1"/>
  <c r="Q83" s="1"/>
  <c r="F84"/>
  <c r="H84" s="1"/>
  <c r="K84" s="1"/>
  <c r="N84" s="1"/>
  <c r="Q84" s="1"/>
  <c r="F85"/>
  <c r="H85" s="1"/>
  <c r="K85" s="1"/>
  <c r="N85" s="1"/>
  <c r="Q85" s="1"/>
  <c r="F86"/>
  <c r="H86" s="1"/>
  <c r="K86" s="1"/>
  <c r="N86" s="1"/>
  <c r="Q86" s="1"/>
  <c r="F87"/>
  <c r="H87" s="1"/>
  <c r="K87" s="1"/>
  <c r="N87" s="1"/>
  <c r="Q87" s="1"/>
  <c r="F88"/>
  <c r="H88" s="1"/>
  <c r="K88" s="1"/>
  <c r="N88" s="1"/>
  <c r="Q88" s="1"/>
  <c r="F89"/>
  <c r="H89" s="1"/>
  <c r="K89" s="1"/>
  <c r="N89" s="1"/>
  <c r="Q89" s="1"/>
  <c r="F90"/>
  <c r="H90" s="1"/>
  <c r="K90" s="1"/>
  <c r="N90" s="1"/>
  <c r="Q90" s="1"/>
  <c r="F91"/>
  <c r="H91" s="1"/>
  <c r="K91" s="1"/>
  <c r="N91" s="1"/>
  <c r="Q91" s="1"/>
  <c r="F92"/>
  <c r="H92" s="1"/>
  <c r="K92" s="1"/>
  <c r="N92" s="1"/>
  <c r="Q92" s="1"/>
  <c r="F93"/>
  <c r="H93" s="1"/>
  <c r="K93" s="1"/>
  <c r="N93" s="1"/>
  <c r="Q93" s="1"/>
  <c r="F94"/>
  <c r="H94" s="1"/>
  <c r="K94" s="1"/>
  <c r="N94" s="1"/>
  <c r="Q94" s="1"/>
  <c r="F95"/>
  <c r="H95" s="1"/>
  <c r="K95" s="1"/>
  <c r="N95" s="1"/>
  <c r="Q95" s="1"/>
  <c r="F96"/>
  <c r="H96" s="1"/>
  <c r="K96" s="1"/>
  <c r="N96" s="1"/>
  <c r="Q96" s="1"/>
  <c r="F97"/>
  <c r="H97" s="1"/>
  <c r="K97" s="1"/>
  <c r="N97" s="1"/>
  <c r="Q97" s="1"/>
  <c r="F98"/>
  <c r="H98" s="1"/>
  <c r="K98" s="1"/>
  <c r="N98" s="1"/>
  <c r="Q98" s="1"/>
  <c r="F99"/>
  <c r="H99" s="1"/>
  <c r="K99" s="1"/>
  <c r="N99" s="1"/>
  <c r="Q99" s="1"/>
  <c r="F100"/>
  <c r="H100" s="1"/>
  <c r="K100" s="1"/>
  <c r="N100" s="1"/>
  <c r="Q100" s="1"/>
  <c r="F101"/>
  <c r="H101" s="1"/>
  <c r="K101" s="1"/>
  <c r="N101" s="1"/>
  <c r="Q101" s="1"/>
  <c r="F102"/>
  <c r="H102" s="1"/>
  <c r="K102" s="1"/>
  <c r="N102" s="1"/>
  <c r="Q102" s="1"/>
  <c r="F103"/>
  <c r="H103" s="1"/>
  <c r="K103" s="1"/>
  <c r="N103" s="1"/>
  <c r="Q103" s="1"/>
  <c r="F104"/>
  <c r="H104" s="1"/>
  <c r="K104" s="1"/>
  <c r="N104" s="1"/>
  <c r="Q104" s="1"/>
  <c r="F105"/>
  <c r="H105" s="1"/>
  <c r="K105" s="1"/>
  <c r="N105" s="1"/>
  <c r="Q105" s="1"/>
  <c r="F106"/>
  <c r="H106" s="1"/>
  <c r="K106" s="1"/>
  <c r="N106" s="1"/>
  <c r="Q106" s="1"/>
  <c r="F107"/>
  <c r="H107" s="1"/>
  <c r="K107" s="1"/>
  <c r="N107" s="1"/>
  <c r="Q107" s="1"/>
  <c r="F108"/>
  <c r="H108" s="1"/>
  <c r="K108" s="1"/>
  <c r="N108" s="1"/>
  <c r="Q108" s="1"/>
  <c r="F109"/>
  <c r="H109" s="1"/>
  <c r="K109" s="1"/>
  <c r="N109" s="1"/>
  <c r="Q109" s="1"/>
  <c r="F111"/>
  <c r="H111" s="1"/>
  <c r="K111" s="1"/>
  <c r="N111" s="1"/>
  <c r="Q111" s="1"/>
  <c r="F112"/>
  <c r="H112" s="1"/>
  <c r="K112" s="1"/>
  <c r="N112" s="1"/>
  <c r="Q112" s="1"/>
  <c r="F113"/>
  <c r="H113" s="1"/>
  <c r="K113" s="1"/>
  <c r="N113" s="1"/>
  <c r="Q113" s="1"/>
  <c r="F114"/>
  <c r="H114" s="1"/>
  <c r="K114" s="1"/>
  <c r="N114" s="1"/>
  <c r="Q114" s="1"/>
  <c r="F115"/>
  <c r="H115" s="1"/>
  <c r="K115" s="1"/>
  <c r="N115" s="1"/>
  <c r="Q115" s="1"/>
  <c r="F116"/>
  <c r="H116" s="1"/>
  <c r="K116" s="1"/>
  <c r="N116" s="1"/>
  <c r="Q116" s="1"/>
  <c r="F117"/>
  <c r="H117" s="1"/>
  <c r="K117" s="1"/>
  <c r="N117" s="1"/>
  <c r="Q117" s="1"/>
  <c r="F119"/>
  <c r="H119" s="1"/>
  <c r="K119" s="1"/>
  <c r="N119" s="1"/>
  <c r="Q119" s="1"/>
  <c r="F120"/>
  <c r="H120" s="1"/>
  <c r="K120" s="1"/>
  <c r="N120" s="1"/>
  <c r="Q120" s="1"/>
  <c r="F121"/>
  <c r="H121" s="1"/>
  <c r="K121" s="1"/>
  <c r="N121" s="1"/>
  <c r="Q121" s="1"/>
  <c r="F122"/>
  <c r="H122" s="1"/>
  <c r="K122" s="1"/>
  <c r="N122" s="1"/>
  <c r="Q122" s="1"/>
  <c r="F123"/>
  <c r="H123" s="1"/>
  <c r="K123" s="1"/>
  <c r="N123" s="1"/>
  <c r="Q123" s="1"/>
  <c r="F124"/>
  <c r="H124" s="1"/>
  <c r="K124" s="1"/>
  <c r="N124" s="1"/>
  <c r="Q124" s="1"/>
  <c r="F125"/>
  <c r="H125" s="1"/>
  <c r="K125" s="1"/>
  <c r="N125" s="1"/>
  <c r="Q125" s="1"/>
  <c r="F126"/>
  <c r="H126" s="1"/>
  <c r="K126" s="1"/>
  <c r="N126" s="1"/>
  <c r="Q126" s="1"/>
  <c r="F127"/>
  <c r="H127" s="1"/>
  <c r="K127" s="1"/>
  <c r="N127" s="1"/>
  <c r="Q127" s="1"/>
  <c r="F128"/>
  <c r="H128" s="1"/>
  <c r="K128" s="1"/>
  <c r="N128" s="1"/>
  <c r="Q128" s="1"/>
  <c r="F129"/>
  <c r="H129" s="1"/>
  <c r="K129" s="1"/>
  <c r="N129" s="1"/>
  <c r="Q129" s="1"/>
  <c r="F130"/>
  <c r="H130" s="1"/>
  <c r="K130" s="1"/>
  <c r="N130" s="1"/>
  <c r="Q130" s="1"/>
  <c r="F131"/>
  <c r="H131" s="1"/>
  <c r="K131" s="1"/>
  <c r="N131" s="1"/>
  <c r="Q131" s="1"/>
  <c r="F132"/>
  <c r="H132" s="1"/>
  <c r="K132" s="1"/>
  <c r="N132" s="1"/>
  <c r="Q132" s="1"/>
  <c r="F133"/>
  <c r="H133" s="1"/>
  <c r="K133" s="1"/>
  <c r="N133" s="1"/>
  <c r="Q133" s="1"/>
  <c r="F134"/>
  <c r="H134" s="1"/>
  <c r="K134" s="1"/>
  <c r="N134" s="1"/>
  <c r="Q134" s="1"/>
  <c r="F135"/>
  <c r="H135" s="1"/>
  <c r="K135" s="1"/>
  <c r="N135" s="1"/>
  <c r="Q135" s="1"/>
  <c r="F136"/>
  <c r="H136" s="1"/>
  <c r="K136" s="1"/>
  <c r="N136" s="1"/>
  <c r="Q136" s="1"/>
  <c r="F137"/>
  <c r="H137" s="1"/>
  <c r="K137" s="1"/>
  <c r="N137" s="1"/>
  <c r="Q137" s="1"/>
  <c r="F138"/>
  <c r="H138" s="1"/>
  <c r="K138" s="1"/>
  <c r="N138" s="1"/>
  <c r="Q138" s="1"/>
  <c r="F139"/>
  <c r="H139" s="1"/>
  <c r="K139" s="1"/>
  <c r="N139" s="1"/>
  <c r="Q139" s="1"/>
  <c r="F140"/>
  <c r="H140" s="1"/>
  <c r="K140" s="1"/>
  <c r="N140" s="1"/>
  <c r="Q140" s="1"/>
  <c r="F141"/>
  <c r="H141" s="1"/>
  <c r="K141" s="1"/>
  <c r="N141" s="1"/>
  <c r="Q141" s="1"/>
  <c r="F142"/>
  <c r="H142" s="1"/>
  <c r="K142" s="1"/>
  <c r="N142" s="1"/>
  <c r="Q142" s="1"/>
  <c r="F143"/>
  <c r="H143" s="1"/>
  <c r="K143" s="1"/>
  <c r="N143" s="1"/>
  <c r="Q143" s="1"/>
  <c r="F144"/>
  <c r="H144" s="1"/>
  <c r="K144" s="1"/>
  <c r="N144" s="1"/>
  <c r="Q144" s="1"/>
  <c r="F145"/>
  <c r="H145" s="1"/>
  <c r="K145" s="1"/>
  <c r="N145" s="1"/>
  <c r="Q145" s="1"/>
  <c r="F146"/>
  <c r="H146" s="1"/>
  <c r="K146" s="1"/>
  <c r="N146" s="1"/>
  <c r="Q146" s="1"/>
  <c r="F147"/>
  <c r="H147" s="1"/>
  <c r="K147" s="1"/>
  <c r="N147" s="1"/>
  <c r="Q147" s="1"/>
  <c r="F148"/>
  <c r="H148" s="1"/>
  <c r="K148" s="1"/>
  <c r="N148" s="1"/>
  <c r="Q148" s="1"/>
  <c r="F149"/>
  <c r="H149" s="1"/>
  <c r="K149" s="1"/>
  <c r="N149" s="1"/>
  <c r="Q149" s="1"/>
  <c r="F150"/>
  <c r="H150" s="1"/>
  <c r="K150" s="1"/>
  <c r="N150" s="1"/>
  <c r="Q150" s="1"/>
  <c r="F151"/>
  <c r="H151" s="1"/>
  <c r="K151" s="1"/>
  <c r="N151" s="1"/>
  <c r="Q151" s="1"/>
  <c r="F152"/>
  <c r="H152" s="1"/>
  <c r="K152" s="1"/>
  <c r="N152" s="1"/>
  <c r="Q152" s="1"/>
  <c r="F153"/>
  <c r="H153" s="1"/>
  <c r="K153" s="1"/>
  <c r="N153" s="1"/>
  <c r="Q153" s="1"/>
  <c r="F154"/>
  <c r="H154" s="1"/>
  <c r="K154" s="1"/>
  <c r="N154" s="1"/>
  <c r="Q154" s="1"/>
  <c r="F155"/>
  <c r="H155" s="1"/>
  <c r="K155" s="1"/>
  <c r="N155" s="1"/>
  <c r="Q155" s="1"/>
  <c r="F156"/>
  <c r="H156" s="1"/>
  <c r="K156" s="1"/>
  <c r="N156" s="1"/>
  <c r="Q156" s="1"/>
  <c r="F157"/>
  <c r="H157" s="1"/>
  <c r="K157" s="1"/>
  <c r="N157" s="1"/>
  <c r="Q157" s="1"/>
  <c r="F158"/>
  <c r="H158" s="1"/>
  <c r="K158" s="1"/>
  <c r="N158" s="1"/>
  <c r="Q158" s="1"/>
  <c r="F159"/>
  <c r="H159" s="1"/>
  <c r="K159" s="1"/>
  <c r="N159" s="1"/>
  <c r="Q159" s="1"/>
  <c r="F160"/>
  <c r="H160" s="1"/>
  <c r="K160" s="1"/>
  <c r="N160" s="1"/>
  <c r="Q160" s="1"/>
  <c r="F161"/>
  <c r="H161" s="1"/>
  <c r="K161" s="1"/>
  <c r="N161" s="1"/>
  <c r="Q161" s="1"/>
  <c r="F162"/>
  <c r="H162" s="1"/>
  <c r="K162" s="1"/>
  <c r="N162" s="1"/>
  <c r="Q162" s="1"/>
  <c r="F163"/>
  <c r="H163" s="1"/>
  <c r="K163" s="1"/>
  <c r="N163" s="1"/>
  <c r="Q163" s="1"/>
  <c r="F164"/>
  <c r="H164" s="1"/>
  <c r="K164" s="1"/>
  <c r="N164" s="1"/>
  <c r="Q164" s="1"/>
  <c r="F165"/>
  <c r="H165" s="1"/>
  <c r="K165" s="1"/>
  <c r="N165" s="1"/>
  <c r="Q165" s="1"/>
  <c r="F166"/>
  <c r="H166" s="1"/>
  <c r="K166" s="1"/>
  <c r="N166" s="1"/>
  <c r="Q166" s="1"/>
  <c r="F167"/>
  <c r="H167" s="1"/>
  <c r="K167" s="1"/>
  <c r="N167" s="1"/>
  <c r="Q167" s="1"/>
  <c r="F168"/>
  <c r="H168" s="1"/>
  <c r="K168" s="1"/>
  <c r="N168" s="1"/>
  <c r="Q168" s="1"/>
  <c r="F169"/>
  <c r="H169" s="1"/>
  <c r="K169" s="1"/>
  <c r="N169" s="1"/>
  <c r="Q169" s="1"/>
  <c r="F170"/>
  <c r="H170" s="1"/>
  <c r="K170" s="1"/>
  <c r="N170" s="1"/>
  <c r="Q170" s="1"/>
  <c r="F171"/>
  <c r="H171" s="1"/>
  <c r="K171" s="1"/>
  <c r="N171" s="1"/>
  <c r="Q171" s="1"/>
  <c r="F172"/>
  <c r="H172" s="1"/>
  <c r="K172" s="1"/>
  <c r="N172" s="1"/>
  <c r="Q172" s="1"/>
  <c r="F173"/>
  <c r="H173" s="1"/>
  <c r="K173" s="1"/>
  <c r="N173" s="1"/>
  <c r="Q173" s="1"/>
  <c r="F4"/>
  <c r="H4" s="1"/>
  <c r="K4" s="1"/>
  <c r="N4" s="1"/>
  <c r="Q4" s="1"/>
  <c r="J5" i="5"/>
  <c r="J6"/>
  <c r="J9"/>
  <c r="J10"/>
  <c r="J13"/>
  <c r="J14"/>
  <c r="J17"/>
  <c r="J18"/>
  <c r="J21"/>
  <c r="J22"/>
  <c r="J25"/>
  <c r="J26"/>
  <c r="J29"/>
  <c r="J30"/>
  <c r="J33"/>
  <c r="J34"/>
  <c r="J37"/>
  <c r="J38"/>
  <c r="J41"/>
  <c r="J42"/>
  <c r="J45"/>
  <c r="J46"/>
  <c r="J49"/>
  <c r="J50"/>
  <c r="J53"/>
  <c r="J54"/>
  <c r="J57"/>
  <c r="J58"/>
  <c r="J61"/>
  <c r="J62"/>
  <c r="J65"/>
  <c r="J66"/>
  <c r="J69"/>
  <c r="J70"/>
  <c r="J73"/>
  <c r="J74"/>
  <c r="J77"/>
  <c r="J4"/>
  <c r="H5"/>
  <c r="H6"/>
  <c r="H7"/>
  <c r="J7" s="1"/>
  <c r="H8"/>
  <c r="J8" s="1"/>
  <c r="H9"/>
  <c r="H10"/>
  <c r="H11"/>
  <c r="J11" s="1"/>
  <c r="H12"/>
  <c r="J12" s="1"/>
  <c r="H13"/>
  <c r="H14"/>
  <c r="H15"/>
  <c r="J15" s="1"/>
  <c r="H16"/>
  <c r="J16" s="1"/>
  <c r="H17"/>
  <c r="H18"/>
  <c r="H19"/>
  <c r="J19" s="1"/>
  <c r="H20"/>
  <c r="J20" s="1"/>
  <c r="H21"/>
  <c r="H22"/>
  <c r="H23"/>
  <c r="J23" s="1"/>
  <c r="H24"/>
  <c r="J24" s="1"/>
  <c r="H25"/>
  <c r="H26"/>
  <c r="H27"/>
  <c r="J27" s="1"/>
  <c r="H28"/>
  <c r="J28" s="1"/>
  <c r="H29"/>
  <c r="H30"/>
  <c r="H31"/>
  <c r="J31" s="1"/>
  <c r="H32"/>
  <c r="J32" s="1"/>
  <c r="H33"/>
  <c r="H34"/>
  <c r="H35"/>
  <c r="J35" s="1"/>
  <c r="H36"/>
  <c r="J36" s="1"/>
  <c r="H37"/>
  <c r="H38"/>
  <c r="H39"/>
  <c r="J39" s="1"/>
  <c r="H40"/>
  <c r="J40" s="1"/>
  <c r="H41"/>
  <c r="H42"/>
  <c r="H43"/>
  <c r="J43" s="1"/>
  <c r="H44"/>
  <c r="J44" s="1"/>
  <c r="H45"/>
  <c r="H46"/>
  <c r="H47"/>
  <c r="J47" s="1"/>
  <c r="H48"/>
  <c r="J48" s="1"/>
  <c r="H49"/>
  <c r="H50"/>
  <c r="H51"/>
  <c r="J51" s="1"/>
  <c r="H52"/>
  <c r="J52" s="1"/>
  <c r="H53"/>
  <c r="H54"/>
  <c r="H55"/>
  <c r="J55" s="1"/>
  <c r="H56"/>
  <c r="J56" s="1"/>
  <c r="H57"/>
  <c r="H58"/>
  <c r="H59"/>
  <c r="J59" s="1"/>
  <c r="H60"/>
  <c r="J60" s="1"/>
  <c r="H61"/>
  <c r="H62"/>
  <c r="H63"/>
  <c r="J63" s="1"/>
  <c r="H64"/>
  <c r="J64" s="1"/>
  <c r="H65"/>
  <c r="H66"/>
  <c r="H67"/>
  <c r="J67" s="1"/>
  <c r="H68"/>
  <c r="J68" s="1"/>
  <c r="H69"/>
  <c r="H70"/>
  <c r="H71"/>
  <c r="J71" s="1"/>
  <c r="H72"/>
  <c r="J72" s="1"/>
  <c r="H73"/>
  <c r="H74"/>
  <c r="H75"/>
  <c r="J75" s="1"/>
  <c r="J76"/>
  <c r="H77"/>
  <c r="H4"/>
  <c r="G4" i="7"/>
  <c r="H4" s="1"/>
  <c r="H5"/>
  <c r="G5"/>
  <c r="H8"/>
  <c r="G8"/>
  <c r="H7"/>
  <c r="G7"/>
  <c r="H11"/>
  <c r="G11"/>
  <c r="H10"/>
  <c r="G10"/>
  <c r="H6"/>
  <c r="G6"/>
  <c r="H40" i="6" l="1"/>
  <c r="K40" s="1"/>
  <c r="N40" s="1"/>
  <c r="Q40" s="1"/>
</calcChain>
</file>

<file path=xl/comments1.xml><?xml version="1.0" encoding="utf-8"?>
<comments xmlns="http://schemas.openxmlformats.org/spreadsheetml/2006/main">
  <authors>
    <author>Author</author>
  </authors>
  <commentList>
    <comment ref="I21" authorId="0">
      <text>
        <r>
          <rPr>
            <sz val="9"/>
            <color indexed="81"/>
            <rFont val="Tahoma"/>
            <family val="2"/>
          </rPr>
          <t xml:space="preserve">ISSUED ON 28/07/26 FOR SIZE KITCHAN PARE PUMP
</t>
        </r>
      </text>
    </comment>
    <comment ref="I22" authorId="0">
      <text>
        <r>
          <rPr>
            <sz val="9"/>
            <color indexed="81"/>
            <rFont val="Tahoma"/>
            <family val="2"/>
          </rPr>
          <t xml:space="preserve">HOLLY ROLL GEAR BO ON 26/07/2026
</t>
        </r>
      </text>
    </comment>
    <comment ref="I23" authorId="0">
      <text>
        <r>
          <rPr>
            <sz val="9"/>
            <color indexed="81"/>
            <rFont val="Tahoma"/>
            <family val="2"/>
          </rPr>
          <t xml:space="preserve">CONER PIT PUMPR SPARE ON 21/07/2026
</t>
        </r>
      </text>
    </comment>
    <comment ref="I25" authorId="0">
      <text>
        <r>
          <rPr>
            <sz val="9"/>
            <color indexed="81"/>
            <rFont val="Tahoma"/>
            <family val="2"/>
          </rPr>
          <t>CONER PIT PUMPR SPARE ON 21/07/2026</t>
        </r>
      </text>
    </comment>
    <comment ref="I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ETP PUMP</t>
        </r>
      </text>
    </comment>
    <comment ref="I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SPACE CHEST PUMP ON 18/07</t>
        </r>
      </text>
    </comment>
    <comment ref="I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SPACE CHEST PUMP ON 18/07</t>
        </r>
      </text>
    </comment>
    <comment ref="I56" authorId="0">
      <text>
        <r>
          <rPr>
            <sz val="9"/>
            <color indexed="81"/>
            <rFont val="Tahoma"/>
            <family val="2"/>
          </rPr>
          <t>AFT MESSURING SCREEN-2 ON 23/07</t>
        </r>
      </text>
    </comment>
    <comment ref="I6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KHN VACCME -7000 ON 18/7</t>
        </r>
      </text>
    </comment>
    <comment ref="I71" authorId="0">
      <text>
        <r>
          <rPr>
            <sz val="9"/>
            <color indexed="81"/>
            <rFont val="Tahoma"/>
            <family val="2"/>
          </rPr>
          <t xml:space="preserve">HOLLY ROLL GEAR BO ON 26/07/2026
</t>
        </r>
      </text>
    </comment>
    <comment ref="I76" authorId="0">
      <text>
        <r>
          <rPr>
            <sz val="9"/>
            <color indexed="81"/>
            <rFont val="Tahoma"/>
            <family val="2"/>
          </rPr>
          <t xml:space="preserve">HOLY ROLL MOTOR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M6" authorId="0">
      <text>
        <r>
          <rPr>
            <sz val="9"/>
            <color indexed="81"/>
            <rFont val="Tahoma"/>
            <family val="2"/>
          </rPr>
          <t xml:space="preserve">CONER PET PUMP SPARE ON 21/07/2026
</t>
        </r>
      </text>
    </comment>
    <comment ref="M10" authorId="0">
      <text>
        <r>
          <rPr>
            <sz val="9"/>
            <color indexed="81"/>
            <rFont val="Tahoma"/>
            <family val="2"/>
          </rPr>
          <t xml:space="preserve">20 HP SPARE MOTER
ON 21/07
</t>
        </r>
      </text>
    </comment>
    <comment ref="P11" authorId="0">
      <text>
        <r>
          <rPr>
            <sz val="9"/>
            <color indexed="81"/>
            <rFont val="Tahoma"/>
            <family val="2"/>
          </rPr>
          <t xml:space="preserve">HOLLY ROLL GRAR BOX ON 26/07/2026
</t>
        </r>
      </text>
    </comment>
    <comment ref="P14" authorId="0">
      <text>
        <r>
          <rPr>
            <sz val="9"/>
            <color indexed="81"/>
            <rFont val="Tahoma"/>
            <family val="2"/>
          </rPr>
          <t xml:space="preserve">HOLLY ROLL GEAR BO ON 26/07/2026
</t>
        </r>
      </text>
    </comment>
    <comment ref="P17" authorId="0">
      <text>
        <r>
          <rPr>
            <sz val="9"/>
            <color indexed="81"/>
            <rFont val="Tahoma"/>
            <family val="2"/>
          </rPr>
          <t xml:space="preserve">1 HP MOTER MONO BLOCK -1 ON 29/07/2026
</t>
        </r>
      </text>
    </comment>
    <comment ref="P18" authorId="0">
      <text>
        <r>
          <rPr>
            <sz val="9"/>
            <color indexed="81"/>
            <rFont val="Tahoma"/>
            <family val="2"/>
          </rPr>
          <t>cold Storage 2hp moter
ON 23/07/2026</t>
        </r>
      </text>
    </comment>
    <comment ref="M19" authorId="0">
      <text>
        <r>
          <rPr>
            <sz val="9"/>
            <color indexed="81"/>
            <rFont val="Tahoma"/>
            <family val="2"/>
          </rPr>
          <t xml:space="preserve">20HP SPARE MOTER </t>
        </r>
      </text>
    </comment>
    <comment ref="O19" authorId="0">
      <text>
        <r>
          <rPr>
            <sz val="9"/>
            <color indexed="81"/>
            <rFont val="Tahoma"/>
            <family val="2"/>
          </rPr>
          <t xml:space="preserve">RECIVED ON 27/07/26 -  5 NOS
</t>
        </r>
      </text>
    </comment>
    <comment ref="P19" authorId="0">
      <text>
        <r>
          <rPr>
            <sz val="9"/>
            <color indexed="81"/>
            <rFont val="Tahoma"/>
            <family val="2"/>
          </rPr>
          <t xml:space="preserve">1 HP MOTER MONO BLOCK -1 ON 29/07/2026
ISSUED ON 28/07/26 FOR 5 HP SPARE MOTER
</t>
        </r>
      </text>
    </comment>
    <comment ref="J20" authorId="0">
      <text>
        <r>
          <rPr>
            <sz val="9"/>
            <color indexed="81"/>
            <rFont val="Tahoma"/>
            <family val="2"/>
          </rPr>
          <t xml:space="preserve">5HP SPARE MOTER
</t>
        </r>
      </text>
    </comment>
    <comment ref="P20" authorId="0">
      <text>
        <r>
          <rPr>
            <sz val="9"/>
            <color indexed="81"/>
            <rFont val="Tahoma"/>
            <family val="2"/>
          </rPr>
          <t xml:space="preserve">cold storage 2 hp moter
ON 23/07/2026
</t>
        </r>
      </text>
    </comment>
    <comment ref="P21" authorId="0">
      <text>
        <r>
          <rPr>
            <sz val="9"/>
            <color indexed="81"/>
            <rFont val="Tahoma"/>
            <family val="2"/>
          </rPr>
          <t xml:space="preserve">HOLLY ROLL GEAR BO ON 26/07/2026
</t>
        </r>
      </text>
    </comment>
    <comment ref="J24" authorId="0">
      <text>
        <r>
          <rPr>
            <sz val="9"/>
            <color indexed="81"/>
            <rFont val="Tahoma"/>
            <family val="2"/>
          </rPr>
          <t xml:space="preserve">7.5 HP  SPARE MOTER </t>
        </r>
      </text>
    </comment>
    <comment ref="M25" authorId="0">
      <text>
        <r>
          <rPr>
            <sz val="9"/>
            <color indexed="81"/>
            <rFont val="Tahoma"/>
            <family val="2"/>
          </rPr>
          <t xml:space="preserve">20 HP SPARE MOTER ON 21/07/2026
</t>
        </r>
      </text>
    </comment>
    <comment ref="O25" authorId="0">
      <text>
        <r>
          <rPr>
            <sz val="9"/>
            <color indexed="81"/>
            <rFont val="Tahoma"/>
            <family val="2"/>
          </rPr>
          <t>RECIVED ON 23/07/26 -8 NOS
RECIVED ON 27/07/26 -  5 NOS</t>
        </r>
      </text>
    </comment>
    <comment ref="P26" authorId="0">
      <text>
        <r>
          <rPr>
            <sz val="9"/>
            <color indexed="81"/>
            <rFont val="Tahoma"/>
            <family val="2"/>
          </rPr>
          <t xml:space="preserve">30 HP SPARE MOTER ON 23/07/2026
</t>
        </r>
      </text>
    </comment>
    <comment ref="M35" authorId="0">
      <text>
        <r>
          <rPr>
            <b/>
            <sz val="9"/>
            <color indexed="81"/>
            <rFont val="Tahoma"/>
            <family val="2"/>
          </rPr>
          <t>20 HP SPARE MOTER</t>
        </r>
      </text>
    </comment>
    <comment ref="P37" authorId="0">
      <text>
        <r>
          <rPr>
            <sz val="9"/>
            <color indexed="81"/>
            <rFont val="Tahoma"/>
            <family val="2"/>
          </rPr>
          <t xml:space="preserve">ISSUED ON 28/07/26 FOR 5 HP MOTER -1
</t>
        </r>
      </text>
    </comment>
    <comment ref="O39" authorId="0">
      <text>
        <r>
          <rPr>
            <sz val="9"/>
            <color indexed="81"/>
            <rFont val="Tahoma"/>
            <family val="2"/>
          </rPr>
          <t xml:space="preserve">RECIVED FROM ON 29/07/2026 - 5 NOS
</t>
        </r>
      </text>
    </comment>
    <comment ref="P39" authorId="0">
      <text>
        <r>
          <rPr>
            <b/>
            <sz val="9"/>
            <color indexed="81"/>
            <rFont val="Tahoma"/>
            <family val="2"/>
          </rPr>
          <t>ISSUED ON 28/07/26 FOR SIZE KITCHEN SPARE PUMP</t>
        </r>
      </text>
    </comment>
    <comment ref="M40" authorId="0">
      <text>
        <r>
          <rPr>
            <sz val="9"/>
            <color indexed="81"/>
            <rFont val="Tahoma"/>
            <family val="2"/>
          </rPr>
          <t xml:space="preserve">20 HP SPARE MOTER ON-21/07/2026
</t>
        </r>
      </text>
    </comment>
    <comment ref="G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ETP PUMP
</t>
        </r>
      </text>
    </comment>
    <comment ref="P41" authorId="0">
      <text>
        <r>
          <rPr>
            <sz val="9"/>
            <color indexed="81"/>
            <rFont val="Tahoma"/>
            <family val="2"/>
          </rPr>
          <t xml:space="preserve">30HP SPARE MOTER ON 23/07/2026
</t>
        </r>
      </text>
    </comment>
    <comment ref="O67" authorId="0">
      <text>
        <r>
          <rPr>
            <sz val="9"/>
            <color indexed="81"/>
            <rFont val="Tahoma"/>
            <family val="2"/>
          </rPr>
          <t xml:space="preserve">RECIVED ON 23/07/26 -2 nos
</t>
        </r>
      </text>
    </comment>
    <comment ref="P67" authorId="0">
      <text>
        <r>
          <rPr>
            <b/>
            <sz val="9"/>
            <color indexed="81"/>
            <rFont val="Tahoma"/>
            <family val="2"/>
          </rPr>
          <t>issued on 23/07/26 for  aft presser scren-1 no</t>
        </r>
      </text>
    </comment>
    <comment ref="J98" authorId="0">
      <text>
        <r>
          <rPr>
            <sz val="9"/>
            <color indexed="81"/>
            <rFont val="Tahoma"/>
            <family val="2"/>
          </rPr>
          <t xml:space="preserve">KHS VACCUME -7000
</t>
        </r>
      </text>
    </comment>
    <comment ref="M98" authorId="0">
      <text>
        <r>
          <rPr>
            <sz val="9"/>
            <color indexed="81"/>
            <rFont val="Tahoma"/>
            <family val="2"/>
          </rPr>
          <t xml:space="preserve">KHN 7000 VACCUME PUMP ISSUED ON 21/07/2026
</t>
        </r>
      </text>
    </comment>
    <comment ref="J10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SPARE CHEST PUMP ON 18/07</t>
        </r>
      </text>
    </comment>
    <comment ref="J121" authorId="0">
      <text>
        <r>
          <rPr>
            <b/>
            <sz val="9"/>
            <color indexed="81"/>
            <rFont val="Tahoma"/>
            <family val="2"/>
          </rPr>
          <t xml:space="preserve">KHP VACCUM-7000
</t>
        </r>
      </text>
    </comment>
    <comment ref="M141" authorId="0">
      <text>
        <r>
          <rPr>
            <sz val="9"/>
            <color indexed="81"/>
            <rFont val="Tahoma"/>
            <family val="2"/>
          </rPr>
          <t xml:space="preserve">CONER KIT PUMP SPARE ON 21/07/2026
</t>
        </r>
      </text>
    </comment>
    <comment ref="D17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FIND BERAING ON 16/07
</t>
        </r>
      </text>
    </comment>
    <comment ref="O174" authorId="0">
      <text>
        <r>
          <rPr>
            <sz val="9"/>
            <color indexed="81"/>
            <rFont val="Tahoma"/>
            <family val="2"/>
          </rPr>
          <t>Recived on 25/07/26 for staping mcn -3 no</t>
        </r>
      </text>
    </comment>
    <comment ref="P174" authorId="0">
      <text>
        <r>
          <rPr>
            <sz val="9"/>
            <color indexed="81"/>
            <rFont val="Tahoma"/>
            <family val="2"/>
          </rPr>
          <t xml:space="preserve">ISSUED ON 25/7/26 FOR STRAPING MNC </t>
        </r>
      </text>
    </comment>
    <comment ref="O175" authorId="0">
      <text>
        <r>
          <rPr>
            <sz val="9"/>
            <color indexed="81"/>
            <rFont val="Tahoma"/>
            <family val="2"/>
          </rPr>
          <t>Recived on 25/07/26 for staping mcn -2 no</t>
        </r>
      </text>
    </comment>
    <comment ref="P175" authorId="0">
      <text>
        <r>
          <rPr>
            <sz val="9"/>
            <color indexed="81"/>
            <rFont val="Tahoma"/>
            <family val="2"/>
          </rPr>
          <t>ISSUED ON 25/07/26 FOR STAPPING MNC-1</t>
        </r>
      </text>
    </comment>
    <comment ref="O176" authorId="0">
      <text>
        <r>
          <rPr>
            <sz val="9"/>
            <color indexed="81"/>
            <rFont val="Tahoma"/>
            <family val="2"/>
          </rPr>
          <t>Recived on 25/07/26 for staping mcn -2 no</t>
        </r>
      </text>
    </comment>
    <comment ref="P176" authorId="0">
      <text>
        <r>
          <rPr>
            <sz val="9"/>
            <color indexed="81"/>
            <rFont val="Tahoma"/>
            <family val="2"/>
          </rPr>
          <t xml:space="preserve">25-07-2026 -iissue for strapping mcn 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M19" authorId="0">
      <text>
        <r>
          <rPr>
            <b/>
            <sz val="9"/>
            <color indexed="81"/>
            <rFont val="Tahoma"/>
            <family val="2"/>
          </rPr>
          <t xml:space="preserve">CUTCH PIT PUMP- 1 NO ON 03/08/26
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15/07/2026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sz val="9"/>
            <color indexed="81"/>
            <rFont val="Tahoma"/>
            <family val="2"/>
          </rPr>
          <t>RECIVED 18/07/26 ELEGANT ENGINEERING CORPORATION- 08 NOS</t>
        </r>
      </text>
    </comment>
    <comment ref="G8" authorId="0">
      <text>
        <r>
          <rPr>
            <sz val="9"/>
            <color indexed="81"/>
            <rFont val="Tahoma"/>
            <family val="2"/>
          </rPr>
          <t xml:space="preserve">ISSUE TO PULLP MILL 9-3 ON 29/07/2026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03/08/26 FROM 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ISSUE ON 29/07/26 FOR PRESSER SCREEN BOTTEM WIRE -4 ON 
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15/07/2026
</t>
        </r>
      </text>
    </comment>
    <comment ref="G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COUCH PITE PUMP ON 18/7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ISSED ON 30/07/26 FOR </t>
        </r>
      </text>
    </comment>
    <comment ref="G19" authorId="0">
      <text>
        <r>
          <rPr>
            <sz val="9"/>
            <color indexed="81"/>
            <rFont val="Tahoma"/>
            <family val="2"/>
          </rPr>
          <t>ISSED ON 24/07/26 FOR SIZE KITCHAN - 2 NOS</t>
        </r>
      </text>
    </comment>
    <comment ref="G33" authorId="0">
      <text>
        <r>
          <rPr>
            <sz val="9"/>
            <color indexed="81"/>
            <rFont val="Tahoma"/>
            <family val="2"/>
          </rPr>
          <t>ISSED ON 24/07/26 FOR SIZE KITCHAN - 1 NOS</t>
        </r>
      </text>
    </comment>
    <comment ref="G40" authorId="0">
      <text>
        <r>
          <rPr>
            <b/>
            <sz val="9"/>
            <color indexed="81"/>
            <rFont val="Tahoma"/>
            <family val="2"/>
          </rPr>
          <t>ISSUED ON 29/07/26 FOR REWINDING AIRL LINE-2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1" authorId="0">
      <text>
        <r>
          <rPr>
            <b/>
            <sz val="9"/>
            <color indexed="81"/>
            <rFont val="Tahoma"/>
            <family val="2"/>
          </rPr>
          <t>ISSUED ON 29/07/26 FOR REWINDING AIRL LINE-1</t>
        </r>
      </text>
    </comment>
    <comment ref="G46" authorId="0">
      <text>
        <r>
          <rPr>
            <b/>
            <sz val="9"/>
            <color indexed="81"/>
            <rFont val="Tahoma"/>
            <family val="2"/>
          </rPr>
          <t xml:space="preserve">ISSUED ON 29/07/26 FOR REWINDING AIRL LINE-1
</t>
        </r>
      </text>
    </comment>
    <comment ref="G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REWINDING AIR LINE</t>
        </r>
      </text>
    </comment>
    <comment ref="G48" authorId="0">
      <text>
        <r>
          <rPr>
            <sz val="9"/>
            <color indexed="81"/>
            <rFont val="Tahoma"/>
            <family val="2"/>
          </rPr>
          <t xml:space="preserve">ISSUED ON 29/07/26 FOR REWINDING AIRL LINE-1
</t>
        </r>
      </text>
    </comment>
    <comment ref="G49" authorId="0">
      <text>
        <r>
          <rPr>
            <b/>
            <sz val="9"/>
            <color indexed="81"/>
            <rFont val="Tahoma"/>
            <family val="2"/>
          </rPr>
          <t xml:space="preserve">ISSUED ON 29/07/26 FOR REWINDING AIRL LINE-2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WORK SHOP 30/07/2026 -1 PKT
VACCUME LINE ON 01/08/2026 -1 PKT ISN-31
31/07/2026 -1 PKT ISN-31</t>
        </r>
      </text>
    </comment>
    <comment ref="G7" authorId="0">
      <text>
        <r>
          <rPr>
            <sz val="9"/>
            <color indexed="81"/>
            <rFont val="Tahoma"/>
            <family val="2"/>
          </rPr>
          <t xml:space="preserve">ISSUED ON 20/07/26 FOR WELDING RODS -2 PKT
ISSUED ON 26/07/26 FOR WELDING -1
</t>
        </r>
      </text>
    </comment>
    <comment ref="G9" authorId="0">
      <text>
        <r>
          <rPr>
            <sz val="9"/>
            <color indexed="81"/>
            <rFont val="Tahoma"/>
            <family val="2"/>
          </rPr>
          <t xml:space="preserve">ISSUED ON 27/07/26 FOR GAS CUTTING PURPOSE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sz val="9"/>
            <color indexed="81"/>
            <rFont val="Tahoma"/>
            <family val="2"/>
          </rPr>
          <t>ISSUED ON 23/07/26 FRO MCN NO-17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ISSUED ON 29/07/26 FOR MCN DEPT WARE PART</t>
        </r>
      </text>
    </comment>
    <comment ref="G11" authorId="0">
      <text>
        <r>
          <rPr>
            <sz val="9"/>
            <color indexed="81"/>
            <rFont val="Tahoma"/>
            <family val="2"/>
          </rPr>
          <t>ISSUED ON 28/07/26 FOR WORK SHOP-2
ISSUED ON 28/07/26 FOR WORK SHOP-2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12" authorId="0">
      <text>
        <r>
          <rPr>
            <sz val="9"/>
            <color indexed="81"/>
            <rFont val="Tahoma"/>
            <family val="2"/>
          </rPr>
          <t>ISSUED ON 17/07/26 FOR CUTTING-10 NOS
ISSUED ON 19/07/26
FOR CUTTING-25 NOS
ISSUED ON 23/07/26
FOR CUTTING-25 NOS
ISSUED ON 30/07/26
FOR CUTTING-2 NOS</t>
        </r>
      </text>
    </comment>
    <comment ref="G15" authorId="0">
      <text>
        <r>
          <rPr>
            <sz val="9"/>
            <color indexed="81"/>
            <rFont val="Tahoma"/>
            <family val="2"/>
          </rPr>
          <t xml:space="preserve">ISSUED ON 27/07/26 FOR MECH DEPT CUTTING WORK
ISSUED ON 31/07/26 FOR MECH DEPT CUTTING WORK-1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sz val="9"/>
            <color indexed="81"/>
            <rFont val="Tahoma"/>
            <family val="2"/>
          </rPr>
          <t>ISSED ON 24/07/26 FOR SIZE KITCHAN - 1 NO
ISSED ON 29/07/26 FOR REWINDING - 1 NO</t>
        </r>
      </text>
    </comment>
    <comment ref="G7" authorId="0">
      <text>
        <r>
          <rPr>
            <sz val="9"/>
            <color indexed="81"/>
            <rFont val="Tahoma"/>
            <family val="2"/>
          </rPr>
          <t xml:space="preserve"> ISSUED TO KABER RAJ ON 29/07/2026
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DS244P60-SH3A)- MODEL NO.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 xml:space="preserve">ISSUED ON 29/07/26 FOR REWIDING DEPT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ETP PUMP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0.105 gr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0.085 gr</t>
        </r>
      </text>
    </comment>
    <comment ref="C25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0.055 gr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>0.050 gr</t>
        </r>
      </text>
    </comment>
    <comment ref="C29" authorId="0">
      <text>
        <r>
          <rPr>
            <b/>
            <sz val="9"/>
            <color indexed="81"/>
            <rFont val="Tahoma"/>
            <family val="2"/>
          </rPr>
          <t>0.160 gr</t>
        </r>
      </text>
    </comment>
    <comment ref="C30" authorId="0">
      <text>
        <r>
          <rPr>
            <b/>
            <sz val="9"/>
            <color indexed="81"/>
            <rFont val="Tahoma"/>
            <family val="2"/>
          </rPr>
          <t>0.300 gr</t>
        </r>
      </text>
    </comment>
    <comment ref="C31" authorId="0">
      <text>
        <r>
          <rPr>
            <b/>
            <sz val="9"/>
            <color indexed="81"/>
            <rFont val="Tahoma"/>
            <family val="2"/>
          </rPr>
          <t>0.100 gr</t>
        </r>
      </text>
    </comment>
    <comment ref="C32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C33" authorId="0">
      <text>
        <r>
          <rPr>
            <b/>
            <sz val="9"/>
            <color indexed="81"/>
            <rFont val="Tahoma"/>
            <family val="2"/>
          </rPr>
          <t>0.340 gr</t>
        </r>
      </text>
    </comment>
    <comment ref="C34" authorId="0">
      <text>
        <r>
          <rPr>
            <b/>
            <sz val="9"/>
            <color indexed="81"/>
            <rFont val="Tahoma"/>
            <family val="2"/>
          </rPr>
          <t>0.360 gr</t>
        </r>
      </text>
    </comment>
    <comment ref="C35" authorId="0">
      <text>
        <r>
          <rPr>
            <b/>
            <sz val="9"/>
            <color indexed="81"/>
            <rFont val="Tahoma"/>
            <family val="2"/>
          </rPr>
          <t>0.380 gr</t>
        </r>
      </text>
    </comment>
    <comment ref="C36" authorId="0">
      <text>
        <r>
          <rPr>
            <b/>
            <sz val="9"/>
            <color indexed="81"/>
            <rFont val="Tahoma"/>
            <family val="2"/>
          </rPr>
          <t>0.390 gr</t>
        </r>
      </text>
    </comment>
    <comment ref="C37" authorId="0">
      <text>
        <r>
          <rPr>
            <b/>
            <sz val="9"/>
            <color indexed="81"/>
            <rFont val="Tahoma"/>
            <family val="2"/>
          </rPr>
          <t>0.60 gr</t>
        </r>
      </text>
    </comment>
    <comment ref="C38" authorId="0">
      <text>
        <r>
          <rPr>
            <b/>
            <sz val="9"/>
            <color indexed="81"/>
            <rFont val="Tahoma"/>
            <family val="2"/>
          </rPr>
          <t>0.075 gr</t>
        </r>
      </text>
    </comment>
    <comment ref="H58" authorId="0">
      <text>
        <r>
          <rPr>
            <sz val="9"/>
            <color indexed="81"/>
            <rFont val="Tahoma"/>
            <family val="2"/>
          </rPr>
          <t>ISSUED ON 25/07/2026 FOR CERMICK VACUM-100 NO
ISSUED ON 30/07/26 FOR WORKSHOP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ISSUED ON 05/08/26 FOR - 32 NOS BIPUN</t>
        </r>
      </text>
    </comment>
    <comment ref="H62" authorId="0">
      <text>
        <r>
          <rPr>
            <sz val="9"/>
            <color indexed="81"/>
            <rFont val="Tahoma"/>
            <family val="2"/>
          </rPr>
          <t>ISSUED ON 25/7/26 FOR POP REEL FAN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 xml:space="preserve">ISSUED ON 28/7/26 FOR HOLY ROLL-2 NO
ISSUED ON 29/7/26 FOR HOLY ROLL-1 NO
</t>
        </r>
      </text>
    </comment>
    <comment ref="H6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ETP NO-6 NOS 2
</t>
        </r>
      </text>
    </comment>
    <comment ref="H73" authorId="0">
      <text>
        <r>
          <rPr>
            <sz val="9"/>
            <color indexed="81"/>
            <rFont val="Tahoma"/>
            <family val="2"/>
          </rPr>
          <t xml:space="preserve">ISSUED ON 30/07/26 FOR PRESS STRECHER ROLL
</t>
        </r>
      </text>
    </comment>
    <comment ref="H90" authorId="0">
      <text>
        <r>
          <rPr>
            <sz val="9"/>
            <color indexed="81"/>
            <rFont val="Tahoma"/>
            <family val="2"/>
          </rPr>
          <t>ISSUED ON 25/07/2026 FOR ELE DEPT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ISSED ON 26/07/2026 FOR ELE DEPT</t>
        </r>
      </text>
    </comment>
    <comment ref="H92" authorId="0">
      <text>
        <r>
          <rPr>
            <sz val="9"/>
            <color indexed="81"/>
            <rFont val="Tahoma"/>
            <family val="2"/>
          </rPr>
          <t>ISSUED ON 25/07/26 FOR MECH DEPT</t>
        </r>
      </text>
    </comment>
    <comment ref="H93" authorId="0">
      <text>
        <r>
          <rPr>
            <sz val="9"/>
            <color indexed="81"/>
            <rFont val="Tahoma"/>
            <family val="2"/>
          </rPr>
          <t>ISSUED ON 25/07/26 FOR MECH DEPT</t>
        </r>
      </text>
    </comment>
    <comment ref="F94" authorId="0">
      <text>
        <r>
          <rPr>
            <sz val="9"/>
            <color indexed="81"/>
            <rFont val="Tahoma"/>
            <family val="2"/>
          </rPr>
          <t xml:space="preserve">RECIVED ON 01/8/26 
</t>
        </r>
      </text>
    </comment>
    <comment ref="F95" authorId="0">
      <text>
        <r>
          <rPr>
            <sz val="9"/>
            <color indexed="81"/>
            <rFont val="Tahoma"/>
            <family val="2"/>
          </rPr>
          <t xml:space="preserve">RECIVED ON 01/8/26
</t>
        </r>
      </text>
    </comment>
    <comment ref="F96" authorId="0">
      <text>
        <r>
          <rPr>
            <sz val="9"/>
            <color indexed="81"/>
            <rFont val="Tahoma"/>
            <family val="2"/>
          </rPr>
          <t xml:space="preserve">RECIVED ON 01/8/26
</t>
        </r>
      </text>
    </comment>
    <comment ref="F97" authorId="0">
      <text>
        <r>
          <rPr>
            <sz val="9"/>
            <color indexed="81"/>
            <rFont val="Tahoma"/>
            <family val="2"/>
          </rPr>
          <t xml:space="preserve">RECIVED ON 01/8/26
</t>
        </r>
      </text>
    </comment>
    <comment ref="H97" authorId="0">
      <text>
        <r>
          <rPr>
            <sz val="9"/>
            <color indexed="81"/>
            <rFont val="Tahoma"/>
            <family val="2"/>
          </rPr>
          <t>ISSUED ON 21/07/26 FOR REWINDING
ISSUED ON 25/07/26
FOR BIOLER</t>
        </r>
      </text>
    </comment>
    <comment ref="F98" authorId="0">
      <text>
        <r>
          <rPr>
            <sz val="9"/>
            <color indexed="81"/>
            <rFont val="Tahoma"/>
            <family val="2"/>
          </rPr>
          <t xml:space="preserve">RECIVED ON 01/8/26
</t>
        </r>
      </text>
    </comment>
    <comment ref="H99" authorId="0">
      <text>
        <r>
          <rPr>
            <sz val="9"/>
            <color indexed="81"/>
            <rFont val="Tahoma"/>
            <family val="2"/>
          </rPr>
          <t xml:space="preserve">ISSUED ON 26/07/26 FOR SIZE KITCHAN
</t>
        </r>
      </text>
    </comment>
    <comment ref="H101" authorId="0">
      <text>
        <r>
          <rPr>
            <b/>
            <sz val="9"/>
            <color indexed="81"/>
            <rFont val="Tahoma"/>
            <family val="2"/>
          </rPr>
          <t xml:space="preserve">ISSUED ON 29/07/26 FOR MECHANICAL DEPT-1
</t>
        </r>
      </text>
    </comment>
    <comment ref="F102" authorId="0">
      <text>
        <r>
          <rPr>
            <b/>
            <sz val="9"/>
            <color indexed="81"/>
            <rFont val="Tahoma"/>
            <family val="2"/>
          </rPr>
          <t>RECIVED ON 25/7/26 FROM SHANKAR ENGNEERING CO</t>
        </r>
      </text>
    </comment>
    <comment ref="H102" authorId="0">
      <text>
        <r>
          <rPr>
            <b/>
            <sz val="9"/>
            <color indexed="81"/>
            <rFont val="Tahoma"/>
            <charset val="1"/>
          </rPr>
          <t>ISSUED ON 29/08/26 FOR ELE DEPT</t>
        </r>
      </text>
    </comment>
    <comment ref="H103" authorId="0">
      <text>
        <r>
          <rPr>
            <sz val="9"/>
            <color indexed="81"/>
            <rFont val="Tahoma"/>
            <family val="2"/>
          </rPr>
          <t>ISSUED ON 30/07/26 FOR SIZE KITCHEN MIXING BACK WATER-2 NOS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ISSUED ON 29/08/26 FOR PULP MILL</t>
        </r>
      </text>
    </comment>
    <comment ref="F33" authorId="0">
      <text>
        <r>
          <rPr>
            <sz val="9"/>
            <color indexed="81"/>
            <rFont val="Tahoma"/>
            <family val="2"/>
          </rPr>
          <t xml:space="preserve">ISSUED ON 05/08/26 FOR TOP PRESSOR SCREN-1
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 xml:space="preserve">ISSUED ON 29/07/26 FOR BACK WATER BOTTEM-1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E16" authorId="0">
      <text>
        <r>
          <rPr>
            <sz val="9"/>
            <color indexed="81"/>
            <rFont val="Tahoma"/>
            <family val="2"/>
          </rPr>
          <t xml:space="preserve">Recived On 01/08/26 for Vaccum line-02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sz val="9"/>
            <color indexed="81"/>
            <rFont val="Tahoma"/>
            <family val="2"/>
          </rPr>
          <t>ISSUED ON 01/08/26 FOR PULP MILL 6 NO PUMP</t>
        </r>
      </text>
    </comment>
    <comment ref="F41" authorId="0">
      <text>
        <r>
          <rPr>
            <sz val="9"/>
            <color indexed="81"/>
            <rFont val="Tahoma"/>
            <family val="2"/>
          </rPr>
          <t xml:space="preserve">ISSUED ON 01/08/26 FOR PULP MILL 6 NO PUMP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sz val="7"/>
            <color indexed="81"/>
            <rFont val="Tahoma"/>
            <family val="2"/>
          </rPr>
          <t>VACCUME LINE ON 01/08/2026 -1 ISN-31
ISSUED ON 25/07/26 FOR PULP MILL TURBO 400 WATER LINE- 1</t>
        </r>
      </text>
    </comment>
    <comment ref="F8" authorId="0">
      <text>
        <r>
          <rPr>
            <sz val="7"/>
            <color indexed="81"/>
            <rFont val="Tahoma"/>
            <family val="2"/>
          </rPr>
          <t>VACCUME LINE ON 01/08/2026 -1 ISN-31</t>
        </r>
      </text>
    </comment>
    <comment ref="F1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AIE DRYER LINE</t>
        </r>
      </text>
    </comment>
    <comment ref="F1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AIE DRYER LINE</t>
        </r>
      </text>
    </comment>
    <comment ref="F20" authorId="0">
      <text>
        <r>
          <rPr>
            <sz val="7"/>
            <color indexed="81"/>
            <rFont val="Tahoma"/>
            <family val="2"/>
          </rPr>
          <t xml:space="preserve">VACCUME LINE ON 01/08/2026 -1 ISN-31
</t>
        </r>
      </text>
    </comment>
    <comment ref="F3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AIR DRYER LINE</t>
        </r>
      </text>
    </comment>
    <comment ref="F32" authorId="0">
      <text>
        <r>
          <rPr>
            <sz val="9"/>
            <color indexed="81"/>
            <rFont val="Tahoma"/>
            <family val="2"/>
          </rPr>
          <t>ISSUED ON 25/07/26 FOR PULP MILL TURBO 400 WATER LINE- 1 NO</t>
        </r>
      </text>
    </comment>
    <comment ref="F34" authorId="0">
      <text>
        <r>
          <rPr>
            <sz val="7"/>
            <color indexed="81"/>
            <rFont val="Tahoma"/>
            <family val="2"/>
          </rPr>
          <t xml:space="preserve">VACCUM LINE ON 010/8/2026
- 1 NO ISN:31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44" authorId="0">
      <text>
        <r>
          <rPr>
            <sz val="9"/>
            <color indexed="81"/>
            <rFont val="Tahoma"/>
            <family val="2"/>
          </rPr>
          <t>PULP MILL TURBO 400 WATER LINE ISSUED ON 25/07/2026- 1 NO</t>
        </r>
      </text>
    </comment>
    <comment ref="F46" authorId="0">
      <text>
        <r>
          <rPr>
            <sz val="7"/>
            <color indexed="81"/>
            <rFont val="Tahoma"/>
            <family val="2"/>
          </rPr>
          <t>VACCUME LINE ON 01/08/2026 -4 ISN-31</t>
        </r>
      </text>
    </comment>
    <comment ref="F6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AIR DRYER LINE</t>
        </r>
      </text>
    </comment>
    <comment ref="F63" authorId="0">
      <text>
        <r>
          <rPr>
            <sz val="9"/>
            <color indexed="81"/>
            <rFont val="Tahoma"/>
            <family val="2"/>
          </rPr>
          <t>ISSUED ON 26/07/26 FRO TURBO 400LINE</t>
        </r>
      </text>
    </comment>
    <comment ref="F6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AIR DRYER LINE</t>
        </r>
      </text>
    </comment>
    <comment ref="F75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ISSED ON 31/07/26 FOR AIR DRYER LINE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E3" authorId="0">
      <text>
        <r>
          <rPr>
            <b/>
            <sz val="9"/>
            <color indexed="81"/>
            <rFont val="Tahoma"/>
            <family val="2"/>
          </rPr>
          <t>RECIVED ON 29/07/26 SIDHU ENGINEERING WORKS-4 NOS</t>
        </r>
      </text>
    </comment>
    <comment ref="E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29/07/26 SIDHU ENGINEERING WORKS-4 NOS</t>
        </r>
      </text>
    </comment>
  </commentList>
</comments>
</file>

<file path=xl/sharedStrings.xml><?xml version="1.0" encoding="utf-8"?>
<sst xmlns="http://schemas.openxmlformats.org/spreadsheetml/2006/main" count="2541" uniqueCount="1709">
  <si>
    <t>S NO.</t>
  </si>
  <si>
    <t>ITEM WITH DETAIL</t>
  </si>
  <si>
    <t>Phy Stock</t>
  </si>
  <si>
    <t>6003 -2z</t>
  </si>
  <si>
    <t>6004-2z</t>
  </si>
  <si>
    <t>6011-2rs</t>
  </si>
  <si>
    <t>6201-2Z</t>
  </si>
  <si>
    <t>6202-2Z-C3</t>
  </si>
  <si>
    <t>6203-C-HRS 2Z</t>
  </si>
  <si>
    <t>6204-zz /6204- 2RS</t>
  </si>
  <si>
    <t>6205-zz /2RS</t>
  </si>
  <si>
    <t>6206-2z</t>
  </si>
  <si>
    <t>6207-2z</t>
  </si>
  <si>
    <t>6210- 2z</t>
  </si>
  <si>
    <t>6215-c3</t>
  </si>
  <si>
    <t>6215-2rs/2z</t>
  </si>
  <si>
    <t>6302-2z</t>
  </si>
  <si>
    <t>6303-2z</t>
  </si>
  <si>
    <t>6305-2Z</t>
  </si>
  <si>
    <t>6308-zz</t>
  </si>
  <si>
    <t>6309-zz</t>
  </si>
  <si>
    <t>6209-zz</t>
  </si>
  <si>
    <t>6310-2z -C3/6310-2Z/R</t>
  </si>
  <si>
    <t>6311-2z</t>
  </si>
  <si>
    <t>6312- H-SN-C3</t>
  </si>
  <si>
    <t>6312-2z -L140 /6310-2Z-C3</t>
  </si>
  <si>
    <t>6404-A</t>
  </si>
  <si>
    <t>UC 215</t>
  </si>
  <si>
    <t>UCP215</t>
  </si>
  <si>
    <t>UCFC 210</t>
  </si>
  <si>
    <t>FC 210</t>
  </si>
  <si>
    <t>UCF 210 (mm) /UCF 210 -K</t>
  </si>
  <si>
    <t>UCP 210</t>
  </si>
  <si>
    <t>6009-2RSR/LLU/ZZ</t>
  </si>
  <si>
    <t>30204 -A</t>
  </si>
  <si>
    <t>30206 -A</t>
  </si>
  <si>
    <t>30216-A</t>
  </si>
  <si>
    <t>30312 A</t>
  </si>
  <si>
    <t>30305 CYC</t>
  </si>
  <si>
    <t>30306 -A</t>
  </si>
  <si>
    <t>30310 A</t>
  </si>
  <si>
    <t>32212- A J2 /Q</t>
  </si>
  <si>
    <t>32213-A</t>
  </si>
  <si>
    <t>32214-AM</t>
  </si>
  <si>
    <t>NJ205</t>
  </si>
  <si>
    <t>NU310 E-XL</t>
  </si>
  <si>
    <t>NUP 313 E TVP2</t>
  </si>
  <si>
    <t>NJ 303 E- XL -TVP2</t>
  </si>
  <si>
    <t>NJ313 -E-XL-M1-QP-C3</t>
  </si>
  <si>
    <t>NU313 -E-XL M1 -QP-C3</t>
  </si>
  <si>
    <t>7314 BEP</t>
  </si>
  <si>
    <t>29418 -E1-XL-C3</t>
  </si>
  <si>
    <t>22319 -E</t>
  </si>
  <si>
    <t>NU2217 -E-XL-M1-QP</t>
  </si>
  <si>
    <t>7313 BEP -XL TVP</t>
  </si>
  <si>
    <t>NU307</t>
  </si>
  <si>
    <t>3307 -BD-XL</t>
  </si>
  <si>
    <t>NU309-XL -C3</t>
  </si>
  <si>
    <t>6212-C3</t>
  </si>
  <si>
    <t>UCFC-208 -J7</t>
  </si>
  <si>
    <t>UCP 206- J7 -NTN</t>
  </si>
  <si>
    <t>UC206</t>
  </si>
  <si>
    <t>UCF-206</t>
  </si>
  <si>
    <t>UCP 207</t>
  </si>
  <si>
    <t>UC208</t>
  </si>
  <si>
    <t>UCFL 208</t>
  </si>
  <si>
    <t>6208-2Z- C3</t>
  </si>
  <si>
    <t>2312 TVH C3</t>
  </si>
  <si>
    <t>NU 2320 INNER</t>
  </si>
  <si>
    <t>UCP 209</t>
  </si>
  <si>
    <t>HB 209</t>
  </si>
  <si>
    <t>UCF 209 -J7</t>
  </si>
  <si>
    <t>UC 211 -23</t>
  </si>
  <si>
    <t>UC 211 -32</t>
  </si>
  <si>
    <t>UCF 211 D1</t>
  </si>
  <si>
    <t>UCF 211 J7-32</t>
  </si>
  <si>
    <t>UCP 211</t>
  </si>
  <si>
    <t>UCP 212 D1</t>
  </si>
  <si>
    <t>UCP 213</t>
  </si>
  <si>
    <t>UC 210</t>
  </si>
  <si>
    <t>22311 CW 33C3</t>
  </si>
  <si>
    <t>22312 MBW33 C3</t>
  </si>
  <si>
    <t>NU 2322 E1-XL</t>
  </si>
  <si>
    <t>3210 -BD-XL</t>
  </si>
  <si>
    <t>6213 -2Z -L140 -C3</t>
  </si>
  <si>
    <t>6313-2Z -L140- C3</t>
  </si>
  <si>
    <t>6313-c3</t>
  </si>
  <si>
    <t>GEM 020</t>
  </si>
  <si>
    <t>N 407 EM</t>
  </si>
  <si>
    <t>32305 J2 /Q</t>
  </si>
  <si>
    <t>7206-B-XL -TVP</t>
  </si>
  <si>
    <t>SYJ 513</t>
  </si>
  <si>
    <t>SYJ 517</t>
  </si>
  <si>
    <t>NU2220 E1 -AM-C3</t>
  </si>
  <si>
    <t>22316 E1-XL</t>
  </si>
  <si>
    <t>32216- A-AM</t>
  </si>
  <si>
    <t>22215-E-XL-C3</t>
  </si>
  <si>
    <t>22216 E1-XL</t>
  </si>
  <si>
    <t>22314 -E1-XL</t>
  </si>
  <si>
    <t>22314 KW33 M</t>
  </si>
  <si>
    <t>22218 E1-XL-C3</t>
  </si>
  <si>
    <t>6314-H-SN /6314-C3</t>
  </si>
  <si>
    <t>22320 E1-XL-K</t>
  </si>
  <si>
    <t>22320- E1-XL-C3</t>
  </si>
  <si>
    <t>NU 2320 E-XL -M1QP-C3</t>
  </si>
  <si>
    <t>NU319 E-XL -M1-QP -C3</t>
  </si>
  <si>
    <t>NU320 E-XL-M1-QP-C3 -2 old side</t>
  </si>
  <si>
    <t>24032-C3</t>
  </si>
  <si>
    <t>22324-E1-XL</t>
  </si>
  <si>
    <t>F-573288.24032 -S-K30-C3</t>
  </si>
  <si>
    <t>F-573288.24032 -S-</t>
  </si>
  <si>
    <t>NU 317 -M1QP -C3</t>
  </si>
  <si>
    <t>QJ 317 -N2-MPA-C3</t>
  </si>
  <si>
    <t>22228 E1-C3</t>
  </si>
  <si>
    <t>6316-C3</t>
  </si>
  <si>
    <t>NU 315 E-XL -M1QP-C3</t>
  </si>
  <si>
    <t>22315-E1-XL-K-C3</t>
  </si>
  <si>
    <t>23124 E1AM</t>
  </si>
  <si>
    <t>22220 E1-XL</t>
  </si>
  <si>
    <t>22224 E1-XL</t>
  </si>
  <si>
    <t>23222 E1 A-XL-K-M-C3</t>
  </si>
  <si>
    <t>22222 E1-XL-K</t>
  </si>
  <si>
    <t>22222 e1 AM C3</t>
  </si>
  <si>
    <t>NU 322 E1-XL M1QP -C3</t>
  </si>
  <si>
    <t>22322 E1-XL - K C3</t>
  </si>
  <si>
    <t>7319 B-XL-MP</t>
  </si>
  <si>
    <t>6319-C3</t>
  </si>
  <si>
    <t>6321-C3</t>
  </si>
  <si>
    <t>6322-C3</t>
  </si>
  <si>
    <t>22219 -E1-XL</t>
  </si>
  <si>
    <t>23220 E1 AM</t>
  </si>
  <si>
    <t>23226 E1 AM</t>
  </si>
  <si>
    <t>22222 E1 XL</t>
  </si>
  <si>
    <t>32313-H</t>
  </si>
  <si>
    <t>32310-H</t>
  </si>
  <si>
    <t>NU 2322 EM ZVL</t>
  </si>
  <si>
    <t>29420 E1-XL</t>
  </si>
  <si>
    <t>22322 E1-XL --C3</t>
  </si>
  <si>
    <t>ZVL 23044 KW33MC3</t>
  </si>
  <si>
    <t>23044 BE-XL-K</t>
  </si>
  <si>
    <t>23244 -BE-XL-K</t>
  </si>
  <si>
    <t>23234 BS-K -MB-C3</t>
  </si>
  <si>
    <t>23234 E1 A-K-M</t>
  </si>
  <si>
    <t>29240 E MB</t>
  </si>
  <si>
    <t>6315-C3</t>
  </si>
  <si>
    <t>6318-C3</t>
  </si>
  <si>
    <t>23264 -BEA-XL-K- MB1-C3</t>
  </si>
  <si>
    <t>22318-E1-XL-K-C3</t>
  </si>
  <si>
    <t>24184 cck/w33</t>
  </si>
  <si>
    <t>10-22-7</t>
  </si>
  <si>
    <t>20-32-7</t>
  </si>
  <si>
    <t>20-35-7</t>
  </si>
  <si>
    <t>20-52-7</t>
  </si>
  <si>
    <t>25-40-8</t>
  </si>
  <si>
    <t>25-42-7</t>
  </si>
  <si>
    <t>25-42-10</t>
  </si>
  <si>
    <t>25-45-10</t>
  </si>
  <si>
    <t>25-52-7</t>
  </si>
  <si>
    <t>25-62-7</t>
  </si>
  <si>
    <t>28-38-7/2</t>
  </si>
  <si>
    <t>30-47-7/10</t>
  </si>
  <si>
    <t>30-62-10</t>
  </si>
  <si>
    <t>32-45-7</t>
  </si>
  <si>
    <t>32-52-10</t>
  </si>
  <si>
    <t>32-60-10</t>
  </si>
  <si>
    <t>35-47-7</t>
  </si>
  <si>
    <t>35-52-10</t>
  </si>
  <si>
    <t>35-55-10</t>
  </si>
  <si>
    <t>40-55-8</t>
  </si>
  <si>
    <t>40-60-10</t>
  </si>
  <si>
    <t>42-55-10</t>
  </si>
  <si>
    <t>45-55-8</t>
  </si>
  <si>
    <t>45-60-10</t>
  </si>
  <si>
    <t>45-65-10/12</t>
  </si>
  <si>
    <t>45-75-10</t>
  </si>
  <si>
    <t>48-62-10</t>
  </si>
  <si>
    <t>50-65-8</t>
  </si>
  <si>
    <t>50-70-10</t>
  </si>
  <si>
    <t>50-72-8/10</t>
  </si>
  <si>
    <t>50-75-12/10</t>
  </si>
  <si>
    <t>50-80-10</t>
  </si>
  <si>
    <t>55-70-10</t>
  </si>
  <si>
    <t>55-72-10/8</t>
  </si>
  <si>
    <t>55-75-10</t>
  </si>
  <si>
    <t>55-80-10</t>
  </si>
  <si>
    <t>60-80-10</t>
  </si>
  <si>
    <t>60-90-10</t>
  </si>
  <si>
    <t>65-75-10</t>
  </si>
  <si>
    <t>65-80-10</t>
  </si>
  <si>
    <t>65-85-10</t>
  </si>
  <si>
    <t>65-90-10/12</t>
  </si>
  <si>
    <t>65-95-10</t>
  </si>
  <si>
    <t>70-80-10</t>
  </si>
  <si>
    <t>70-90-10</t>
  </si>
  <si>
    <t>75-95-10</t>
  </si>
  <si>
    <t>75-100-10</t>
  </si>
  <si>
    <t>80-100-10</t>
  </si>
  <si>
    <t>80-105-10/12</t>
  </si>
  <si>
    <t>85-100-10/12</t>
  </si>
  <si>
    <t>85-105-10</t>
  </si>
  <si>
    <t>85-110-10</t>
  </si>
  <si>
    <t>85-115-10</t>
  </si>
  <si>
    <t>90-110-10/12</t>
  </si>
  <si>
    <t>90-115-10</t>
  </si>
  <si>
    <t>90-120-12</t>
  </si>
  <si>
    <t>95-120-10</t>
  </si>
  <si>
    <t>107-135.5-10</t>
  </si>
  <si>
    <t>110-130-12</t>
  </si>
  <si>
    <t>115-140-15</t>
  </si>
  <si>
    <t>140-170-15</t>
  </si>
  <si>
    <t>145-165-13</t>
  </si>
  <si>
    <t>155-180-15</t>
  </si>
  <si>
    <t>185*215*15</t>
  </si>
  <si>
    <t xml:space="preserve"> OIL SEAL</t>
  </si>
  <si>
    <t>6304-2Z /2RS1</t>
  </si>
  <si>
    <t>6306-2z /L207-C3</t>
  </si>
  <si>
    <t>55-72-12</t>
  </si>
  <si>
    <t>1B</t>
  </si>
  <si>
    <t>RECIVED</t>
  </si>
  <si>
    <t>BALANCE</t>
  </si>
  <si>
    <t>OS0020</t>
  </si>
  <si>
    <t>OS0028</t>
  </si>
  <si>
    <t>OS0029</t>
  </si>
  <si>
    <t>OS0030</t>
  </si>
  <si>
    <t>OS0031</t>
  </si>
  <si>
    <t>OS0033</t>
  </si>
  <si>
    <t>OS0034</t>
  </si>
  <si>
    <t>OS0035</t>
  </si>
  <si>
    <t>OS0036</t>
  </si>
  <si>
    <t>OS0041</t>
  </si>
  <si>
    <t>OS0045</t>
  </si>
  <si>
    <t>OS0065</t>
  </si>
  <si>
    <t>ITEM CODE</t>
  </si>
  <si>
    <t>PHY STOCK</t>
  </si>
  <si>
    <t>55-60-8</t>
  </si>
  <si>
    <t>22-40-10</t>
  </si>
  <si>
    <t>20-52-8</t>
  </si>
  <si>
    <t>2B</t>
  </si>
  <si>
    <t>OS0005</t>
  </si>
  <si>
    <t>OS0001</t>
  </si>
  <si>
    <t>OS0002</t>
  </si>
  <si>
    <t>OS0004</t>
  </si>
  <si>
    <t>OS0007</t>
  </si>
  <si>
    <t>OS0008</t>
  </si>
  <si>
    <t>OS0010</t>
  </si>
  <si>
    <t>OS0011</t>
  </si>
  <si>
    <t>OS0012</t>
  </si>
  <si>
    <t>OS0013</t>
  </si>
  <si>
    <t>OS0015</t>
  </si>
  <si>
    <t>OS0016</t>
  </si>
  <si>
    <t>OS0017</t>
  </si>
  <si>
    <t>OS0018</t>
  </si>
  <si>
    <t>OS0022</t>
  </si>
  <si>
    <t>OS0024</t>
  </si>
  <si>
    <t>OS0026</t>
  </si>
  <si>
    <t>OS0066</t>
  </si>
  <si>
    <t>OS0067</t>
  </si>
  <si>
    <t>OS0068</t>
  </si>
  <si>
    <t>SRI M.K. PAPER MILLS PVT LTD</t>
  </si>
  <si>
    <t>S.NO</t>
  </si>
  <si>
    <t>MODAL NO</t>
  </si>
  <si>
    <t>CAPACITY</t>
  </si>
  <si>
    <t>LOCATION</t>
  </si>
  <si>
    <t>CHEMICAL NAME</t>
  </si>
  <si>
    <t>202505090783</t>
  </si>
  <si>
    <t>202611100172</t>
  </si>
  <si>
    <t>202604150197</t>
  </si>
  <si>
    <t>202604150181</t>
  </si>
  <si>
    <t>202604150251</t>
  </si>
  <si>
    <t>202611100105</t>
  </si>
  <si>
    <t>202505090808</t>
  </si>
  <si>
    <t>202311020261</t>
  </si>
  <si>
    <t>202511100165</t>
  </si>
  <si>
    <t>202511100166</t>
  </si>
  <si>
    <t>202102030555</t>
  </si>
  <si>
    <t>202102030554</t>
  </si>
  <si>
    <t>UC-11 PP</t>
  </si>
  <si>
    <t>ED 010604</t>
  </si>
  <si>
    <t>GB-404SS316</t>
  </si>
  <si>
    <t>B145-4PP</t>
  </si>
  <si>
    <t>4.0/5.5</t>
  </si>
  <si>
    <t>0-6 LPH</t>
  </si>
  <si>
    <t>400LPH</t>
  </si>
  <si>
    <t>1050LPH</t>
  </si>
  <si>
    <t>SIZE KITCHEN</t>
  </si>
  <si>
    <t>SIOL AREA</t>
  </si>
  <si>
    <t>PRESS SECTION</t>
  </si>
  <si>
    <t>BIOLER SECTION</t>
  </si>
  <si>
    <t>ETP SECTION</t>
  </si>
  <si>
    <t>PRO MASK-192</t>
  </si>
  <si>
    <t xml:space="preserve">ADVANCE </t>
  </si>
  <si>
    <t>DEFORMAR</t>
  </si>
  <si>
    <t>PRO SOLVE 126</t>
  </si>
  <si>
    <t>PULPER SECTION</t>
  </si>
  <si>
    <t>HCL 3210</t>
  </si>
  <si>
    <t>HCL 3230</t>
  </si>
  <si>
    <t>HCL 11</t>
  </si>
  <si>
    <t>SUCHEM 638</t>
  </si>
  <si>
    <t>SIGMA EXOR 303</t>
  </si>
  <si>
    <t>COCAGULANDNT 200</t>
  </si>
  <si>
    <t>PUMP DETAILS</t>
  </si>
  <si>
    <t xml:space="preserve"> NEW PUMPS</t>
  </si>
  <si>
    <t>ED010604</t>
  </si>
  <si>
    <t>0-6LPH</t>
  </si>
  <si>
    <t>SR.NO</t>
  </si>
  <si>
    <t>40-65-10</t>
  </si>
  <si>
    <t>45-55-10</t>
  </si>
  <si>
    <t>3B</t>
  </si>
  <si>
    <t>OS0014</t>
  </si>
  <si>
    <t>OS0019</t>
  </si>
  <si>
    <t>OS0023</t>
  </si>
  <si>
    <t>OS0025</t>
  </si>
  <si>
    <t>OS0027</t>
  </si>
  <si>
    <t>OS0057</t>
  </si>
  <si>
    <t>OS0069</t>
  </si>
  <si>
    <t>OS0070</t>
  </si>
  <si>
    <t>4B</t>
  </si>
  <si>
    <t>OS0044</t>
  </si>
  <si>
    <t>OS0047</t>
  </si>
  <si>
    <t>OS0059</t>
  </si>
  <si>
    <t>OS0060</t>
  </si>
  <si>
    <t>BOX NO:04</t>
  </si>
  <si>
    <t>BOX NO:03</t>
  </si>
  <si>
    <t>BOX NO:02</t>
  </si>
  <si>
    <t>BOX NO:01</t>
  </si>
  <si>
    <t>5B</t>
  </si>
  <si>
    <t>BOX NO:05</t>
  </si>
  <si>
    <t>OS0037</t>
  </si>
  <si>
    <t>OS0039</t>
  </si>
  <si>
    <t>OS0040</t>
  </si>
  <si>
    <t>OS0042</t>
  </si>
  <si>
    <t>OS0043</t>
  </si>
  <si>
    <t>6B</t>
  </si>
  <si>
    <t>OS0048</t>
  </si>
  <si>
    <t>OS0049</t>
  </si>
  <si>
    <t>OS0050</t>
  </si>
  <si>
    <t>OS0051</t>
  </si>
  <si>
    <t>OS0052</t>
  </si>
  <si>
    <t>BOX NO:06</t>
  </si>
  <si>
    <t>78-100-10</t>
  </si>
  <si>
    <t>60-85-10</t>
  </si>
  <si>
    <t>OS0071</t>
  </si>
  <si>
    <t>OS0072</t>
  </si>
  <si>
    <t>8B</t>
  </si>
  <si>
    <t>7B</t>
  </si>
  <si>
    <t>150-180-15</t>
  </si>
  <si>
    <t>65-100-1</t>
  </si>
  <si>
    <t>OS0021</t>
  </si>
  <si>
    <t>OS0053</t>
  </si>
  <si>
    <t>OS0054</t>
  </si>
  <si>
    <t>OS0055</t>
  </si>
  <si>
    <t>OS0056</t>
  </si>
  <si>
    <t>OS0058</t>
  </si>
  <si>
    <t>OS0074</t>
  </si>
  <si>
    <t>BOX NO:07</t>
  </si>
  <si>
    <t>BOX NO:08</t>
  </si>
  <si>
    <t>OS0061</t>
  </si>
  <si>
    <t>OS0062</t>
  </si>
  <si>
    <t>OS0063</t>
  </si>
  <si>
    <t>OS0064</t>
  </si>
  <si>
    <t>OS0073</t>
  </si>
  <si>
    <t>HSN CODE</t>
  </si>
  <si>
    <t>4016 9330</t>
  </si>
  <si>
    <t>RACK / BOX NO</t>
  </si>
  <si>
    <t>OS0009</t>
  </si>
  <si>
    <t>OS0075</t>
  </si>
  <si>
    <t>OS0076</t>
  </si>
  <si>
    <t>OS0077</t>
  </si>
  <si>
    <t>OS0078</t>
  </si>
  <si>
    <t>5911-2000</t>
  </si>
  <si>
    <t>S.No</t>
  </si>
  <si>
    <t>ITEM NAME</t>
  </si>
  <si>
    <t>PHY QTY</t>
  </si>
  <si>
    <t>5911-9010</t>
  </si>
  <si>
    <t>RATE</t>
  </si>
  <si>
    <t>TOTAL AMOUNT</t>
  </si>
  <si>
    <t>IGST 5%</t>
  </si>
  <si>
    <t>TW0001</t>
  </si>
  <si>
    <t>PF0003</t>
  </si>
  <si>
    <t>PF0004</t>
  </si>
  <si>
    <t>PF0001</t>
  </si>
  <si>
    <t>URG001</t>
  </si>
  <si>
    <t>DS0001</t>
  </si>
  <si>
    <t>DS0002</t>
  </si>
  <si>
    <t>BW0001</t>
  </si>
  <si>
    <t>6307 -zz/ 2Z C3</t>
  </si>
  <si>
    <t>TYRE PH-140</t>
  </si>
  <si>
    <t>TYRE PH-160</t>
  </si>
  <si>
    <t>TYRE PH-178</t>
  </si>
  <si>
    <t>TYRE PH-190</t>
  </si>
  <si>
    <t>TYRE PH-250</t>
  </si>
  <si>
    <t>TYRE F-70</t>
  </si>
  <si>
    <t>TYRE F-160</t>
  </si>
  <si>
    <t>TYRE PH-126</t>
  </si>
  <si>
    <t>TF0001</t>
  </si>
  <si>
    <t>TF0002</t>
  </si>
  <si>
    <t>TF0003</t>
  </si>
  <si>
    <t>TF0004</t>
  </si>
  <si>
    <t>TP0001</t>
  </si>
  <si>
    <t>TP0002</t>
  </si>
  <si>
    <t>TP0003</t>
  </si>
  <si>
    <t>TP0004</t>
  </si>
  <si>
    <t>TP0005</t>
  </si>
  <si>
    <t>TP0006</t>
  </si>
  <si>
    <t>S NO</t>
  </si>
  <si>
    <t>TYRE F-45</t>
  </si>
  <si>
    <t>TYRE F-90</t>
  </si>
  <si>
    <t>4012-9010</t>
  </si>
  <si>
    <t>2213-K-TVH-C3</t>
  </si>
  <si>
    <t>NA 4905</t>
  </si>
  <si>
    <t>22316-E1-XL</t>
  </si>
  <si>
    <t>6001-c-2hrs /2z/C3</t>
  </si>
  <si>
    <t>6212-2z-L140</t>
  </si>
  <si>
    <t>UCP 208-J5</t>
  </si>
  <si>
    <t>22322 E1-XL - C3</t>
  </si>
  <si>
    <t>6204 -C HRS</t>
  </si>
  <si>
    <t>6008- 2Z</t>
  </si>
  <si>
    <t>BE0001</t>
  </si>
  <si>
    <t>BE0002</t>
  </si>
  <si>
    <t>BE0003</t>
  </si>
  <si>
    <t>BE0004</t>
  </si>
  <si>
    <t>BE0005</t>
  </si>
  <si>
    <t>BE0006</t>
  </si>
  <si>
    <t>BE0007</t>
  </si>
  <si>
    <t>BE0008</t>
  </si>
  <si>
    <t>BE0009</t>
  </si>
  <si>
    <t>BE0010</t>
  </si>
  <si>
    <t>BE0011</t>
  </si>
  <si>
    <t>BE0012</t>
  </si>
  <si>
    <t>BE0013</t>
  </si>
  <si>
    <t>BE0014</t>
  </si>
  <si>
    <t>BE0015</t>
  </si>
  <si>
    <t>BE0016</t>
  </si>
  <si>
    <t>BE0017</t>
  </si>
  <si>
    <t>BE0018</t>
  </si>
  <si>
    <t>BE0019</t>
  </si>
  <si>
    <t>BE0020</t>
  </si>
  <si>
    <t>BE0021</t>
  </si>
  <si>
    <t>BE0022</t>
  </si>
  <si>
    <t>BE0023</t>
  </si>
  <si>
    <t>BE0024</t>
  </si>
  <si>
    <t>BE0025</t>
  </si>
  <si>
    <t>BE0026</t>
  </si>
  <si>
    <t>BE0027</t>
  </si>
  <si>
    <t>BE0028</t>
  </si>
  <si>
    <t>BE0029</t>
  </si>
  <si>
    <t>BE0030</t>
  </si>
  <si>
    <t>BE0031</t>
  </si>
  <si>
    <t>BE0032</t>
  </si>
  <si>
    <t>BE0033</t>
  </si>
  <si>
    <t>BE0034</t>
  </si>
  <si>
    <t>BE0035</t>
  </si>
  <si>
    <t>BE0036</t>
  </si>
  <si>
    <t>BE0037</t>
  </si>
  <si>
    <t>BE0038</t>
  </si>
  <si>
    <t>BE0039</t>
  </si>
  <si>
    <t>BE0040</t>
  </si>
  <si>
    <t>BE0041</t>
  </si>
  <si>
    <t>BE0042</t>
  </si>
  <si>
    <t>BE0043</t>
  </si>
  <si>
    <t>BE0044</t>
  </si>
  <si>
    <t>BE0045</t>
  </si>
  <si>
    <t>BE0046</t>
  </si>
  <si>
    <t>BE0047</t>
  </si>
  <si>
    <t>BE0048</t>
  </si>
  <si>
    <t>BE0049</t>
  </si>
  <si>
    <t>BE0050</t>
  </si>
  <si>
    <t>BE0051</t>
  </si>
  <si>
    <t>BE0052</t>
  </si>
  <si>
    <t>BE0053</t>
  </si>
  <si>
    <t>BE0054</t>
  </si>
  <si>
    <t>BE0055</t>
  </si>
  <si>
    <t>BE0056</t>
  </si>
  <si>
    <t>BE0057</t>
  </si>
  <si>
    <t>BE0058</t>
  </si>
  <si>
    <t>BE0059</t>
  </si>
  <si>
    <t>BE0060</t>
  </si>
  <si>
    <t>BE0061</t>
  </si>
  <si>
    <t>BE0062</t>
  </si>
  <si>
    <t>BE0063</t>
  </si>
  <si>
    <t>BE0064</t>
  </si>
  <si>
    <t>BE0065</t>
  </si>
  <si>
    <t>BE0066</t>
  </si>
  <si>
    <t>BE0067</t>
  </si>
  <si>
    <t>BE0068</t>
  </si>
  <si>
    <t>BE0069</t>
  </si>
  <si>
    <t>BE0070</t>
  </si>
  <si>
    <t>BE0071</t>
  </si>
  <si>
    <t>BE0072</t>
  </si>
  <si>
    <t>BE0073</t>
  </si>
  <si>
    <t>BE0074</t>
  </si>
  <si>
    <t>BE0075</t>
  </si>
  <si>
    <t>BE0076</t>
  </si>
  <si>
    <t>BE0077</t>
  </si>
  <si>
    <t>BE0078</t>
  </si>
  <si>
    <t>BE0079</t>
  </si>
  <si>
    <t>BE0080</t>
  </si>
  <si>
    <t>BE0081</t>
  </si>
  <si>
    <t>BE0082</t>
  </si>
  <si>
    <t>BE0083</t>
  </si>
  <si>
    <t>BE0084</t>
  </si>
  <si>
    <t>BE0085</t>
  </si>
  <si>
    <t>BE0086</t>
  </si>
  <si>
    <t>BE0087</t>
  </si>
  <si>
    <t>BE0088</t>
  </si>
  <si>
    <t>BE0089</t>
  </si>
  <si>
    <t>BE0090</t>
  </si>
  <si>
    <t>BE0091</t>
  </si>
  <si>
    <t>BE0092</t>
  </si>
  <si>
    <t>BE0093</t>
  </si>
  <si>
    <t>BE0094</t>
  </si>
  <si>
    <t>BE0095</t>
  </si>
  <si>
    <t>BE0096</t>
  </si>
  <si>
    <t>BE0097</t>
  </si>
  <si>
    <t>BE0098</t>
  </si>
  <si>
    <t>BE0099</t>
  </si>
  <si>
    <t>BE0100</t>
  </si>
  <si>
    <t>BE0101</t>
  </si>
  <si>
    <t>BE0102</t>
  </si>
  <si>
    <t>BE0103</t>
  </si>
  <si>
    <t>BE0104</t>
  </si>
  <si>
    <t>BE0105</t>
  </si>
  <si>
    <t>BE0106</t>
  </si>
  <si>
    <t>BE0107</t>
  </si>
  <si>
    <t>BE0108</t>
  </si>
  <si>
    <t>BE0109</t>
  </si>
  <si>
    <t>BE0110</t>
  </si>
  <si>
    <t>BE0111</t>
  </si>
  <si>
    <t>BE0112</t>
  </si>
  <si>
    <t>BE0113</t>
  </si>
  <si>
    <t>BE0114</t>
  </si>
  <si>
    <t>BE0115</t>
  </si>
  <si>
    <t>BE0116</t>
  </si>
  <si>
    <t>BE0117</t>
  </si>
  <si>
    <t>BE0118</t>
  </si>
  <si>
    <t>BE0119</t>
  </si>
  <si>
    <t>BE0120</t>
  </si>
  <si>
    <t>BE0121</t>
  </si>
  <si>
    <t>BE0122</t>
  </si>
  <si>
    <t>BE0123</t>
  </si>
  <si>
    <t>BE0124</t>
  </si>
  <si>
    <t>BE0125</t>
  </si>
  <si>
    <t>BE0126</t>
  </si>
  <si>
    <t>BE0127</t>
  </si>
  <si>
    <t>BE0128</t>
  </si>
  <si>
    <t>BE0129</t>
  </si>
  <si>
    <t>BE0130</t>
  </si>
  <si>
    <t>BE0131</t>
  </si>
  <si>
    <t>BE0132</t>
  </si>
  <si>
    <t>BE0133</t>
  </si>
  <si>
    <t>BE0134</t>
  </si>
  <si>
    <t>BE0135</t>
  </si>
  <si>
    <t>BE0136</t>
  </si>
  <si>
    <t>BE0137</t>
  </si>
  <si>
    <t>BE0138</t>
  </si>
  <si>
    <t>BE0139</t>
  </si>
  <si>
    <t>BE0140</t>
  </si>
  <si>
    <t>BE0141</t>
  </si>
  <si>
    <t>BE0142</t>
  </si>
  <si>
    <t>BE0143</t>
  </si>
  <si>
    <t>BE0144</t>
  </si>
  <si>
    <t>BE0145</t>
  </si>
  <si>
    <t>BE0146</t>
  </si>
  <si>
    <t>BE0147</t>
  </si>
  <si>
    <t>BE0148</t>
  </si>
  <si>
    <t>BE0149</t>
  </si>
  <si>
    <t>BE0150</t>
  </si>
  <si>
    <t>BE0151</t>
  </si>
  <si>
    <t>BE0152</t>
  </si>
  <si>
    <t>BE0153</t>
  </si>
  <si>
    <t>BE0154</t>
  </si>
  <si>
    <t>BE0155</t>
  </si>
  <si>
    <t>BE0156</t>
  </si>
  <si>
    <t>BE0157</t>
  </si>
  <si>
    <t>BE0158</t>
  </si>
  <si>
    <t>BE0159</t>
  </si>
  <si>
    <t>BE0160</t>
  </si>
  <si>
    <t>BE0161</t>
  </si>
  <si>
    <t>BE0162</t>
  </si>
  <si>
    <t>BE0163</t>
  </si>
  <si>
    <t>BE0164</t>
  </si>
  <si>
    <t>BE0165</t>
  </si>
  <si>
    <t>BE0166</t>
  </si>
  <si>
    <t>BE0167</t>
  </si>
  <si>
    <t>BE0168</t>
  </si>
  <si>
    <t>BE0169</t>
  </si>
  <si>
    <t>BE0170</t>
  </si>
  <si>
    <t>TYRE COUPLING F-70</t>
  </si>
  <si>
    <t>TYRE COUPLING PH-106</t>
  </si>
  <si>
    <t>TYRE COUPLING PH-140</t>
  </si>
  <si>
    <t>TYRE COUPLING PH-160</t>
  </si>
  <si>
    <t>TYRE COUPLING PH-178</t>
  </si>
  <si>
    <t>TYRE COUPLING PH-190</t>
  </si>
  <si>
    <t>TCF0001</t>
  </si>
  <si>
    <t>TCP0002</t>
  </si>
  <si>
    <t>TCP0003</t>
  </si>
  <si>
    <t>TCP0004</t>
  </si>
  <si>
    <t>TCP0005</t>
  </si>
  <si>
    <t>TCP0006</t>
  </si>
  <si>
    <t>TCP0007</t>
  </si>
  <si>
    <t>TYRE COUPLING PH-250</t>
  </si>
  <si>
    <t xml:space="preserve"> MECHANICAL TYRE COUPLING STOCK AS ON 14/07/2026</t>
  </si>
  <si>
    <t>MECHANICAL COUPLING ( PIN BUSH)</t>
  </si>
  <si>
    <t>MECHANICAL COUPLING RUBBER TYRES</t>
  </si>
  <si>
    <t>CPB0001</t>
  </si>
  <si>
    <t>CPB0002</t>
  </si>
  <si>
    <t>CPB0003</t>
  </si>
  <si>
    <t>FBC-5L (6 HOLES)</t>
  </si>
  <si>
    <t>FBC-6A4 (OD-254, 10 HPLES)</t>
  </si>
  <si>
    <t>CPB0004</t>
  </si>
  <si>
    <t>FGC2-0.5L GARE COUPALING PART(OD-185, 6 HOLES)</t>
  </si>
  <si>
    <t xml:space="preserve">S.NO </t>
  </si>
  <si>
    <t>ITEM DETAILS</t>
  </si>
  <si>
    <t>SWP 80/260</t>
  </si>
  <si>
    <t>MEGA A 40</t>
  </si>
  <si>
    <t>CPC 65/260</t>
  </si>
  <si>
    <t>CPC 150/320</t>
  </si>
  <si>
    <t>ETP SLEEVE</t>
  </si>
  <si>
    <t>VSL 04 SLEEVE</t>
  </si>
  <si>
    <t>TURBO 900 SLEEVE</t>
  </si>
  <si>
    <t>TPR 125/400+C (3VO)</t>
  </si>
  <si>
    <t>TPR 80 /320</t>
  </si>
  <si>
    <t>TPR 250+400+C</t>
  </si>
  <si>
    <t>AAPGC 42/150</t>
  </si>
  <si>
    <t>TURBO SLEEVE 400</t>
  </si>
  <si>
    <t>TPR 150/320</t>
  </si>
  <si>
    <t>SPR + T125/260</t>
  </si>
  <si>
    <t>SPR + T125 /330</t>
  </si>
  <si>
    <t>CPC 50 /320</t>
  </si>
  <si>
    <t>VSL -08 SLEEVE</t>
  </si>
  <si>
    <t>AGITATOR SLEEVES</t>
  </si>
  <si>
    <t>PULPER SLEEVE</t>
  </si>
  <si>
    <t>MECHANICAL PUMP SLEEVE STOCKS AS ON 14/07/2026</t>
  </si>
  <si>
    <t>MPS0001</t>
  </si>
  <si>
    <t>MPS0002</t>
  </si>
  <si>
    <t>MPS0003</t>
  </si>
  <si>
    <t>MPS0004</t>
  </si>
  <si>
    <t>MPS0005</t>
  </si>
  <si>
    <t>MPS0006</t>
  </si>
  <si>
    <t>MPS0007</t>
  </si>
  <si>
    <t>MPS0008</t>
  </si>
  <si>
    <t>MPS0009</t>
  </si>
  <si>
    <t>MPS0010</t>
  </si>
  <si>
    <t>MPS0011</t>
  </si>
  <si>
    <t>MPS0012</t>
  </si>
  <si>
    <t>MPS0013</t>
  </si>
  <si>
    <t>MPS0014</t>
  </si>
  <si>
    <t>MPS0015</t>
  </si>
  <si>
    <t>MPS0016</t>
  </si>
  <si>
    <t>MPS0017</t>
  </si>
  <si>
    <t>MPS0018</t>
  </si>
  <si>
    <t>MPS0019</t>
  </si>
  <si>
    <t>MPS0020</t>
  </si>
  <si>
    <t>MPS0021</t>
  </si>
  <si>
    <t>MPS0022</t>
  </si>
  <si>
    <t>MPS0023</t>
  </si>
  <si>
    <t>MPS0024</t>
  </si>
  <si>
    <t>MPS0025</t>
  </si>
  <si>
    <t>MPS0026</t>
  </si>
  <si>
    <t>MPS0027</t>
  </si>
  <si>
    <t>BOTTOM FAN PUMP SLEEVE</t>
  </si>
  <si>
    <t>HOLY ROLL SLEEVE</t>
  </si>
  <si>
    <t>OD-38 mm -108 LENGTH</t>
  </si>
  <si>
    <t>FGC1-0.5L GEAR COUPALING PART(OD-170, 6 HOLES)</t>
  </si>
  <si>
    <t>AFT PRESSURE SCREEN SLEEVE (OD90XID70XLE229/230)</t>
  </si>
  <si>
    <t>MECHINICAL V-BELT STOCK AS ON 15/07/2026</t>
  </si>
  <si>
    <t>GREEN SPC -PT 4500</t>
  </si>
  <si>
    <t>GREEN SPC 5300</t>
  </si>
  <si>
    <t>GREEN SPC -PT 6000 /BLACK SPC-PT 6000</t>
  </si>
  <si>
    <t>BLACK SPC 8500/ GREEN SPC -8500</t>
  </si>
  <si>
    <t>BLACK XPA 1120</t>
  </si>
  <si>
    <t>BLACK XPA 1450</t>
  </si>
  <si>
    <t>BLACK B 47</t>
  </si>
  <si>
    <t>BLACK C48</t>
  </si>
  <si>
    <t>BLACK A 49</t>
  </si>
  <si>
    <t>BLACK B50</t>
  </si>
  <si>
    <t>BLACK B 58</t>
  </si>
  <si>
    <t>BLACK B 62</t>
  </si>
  <si>
    <t>BLACK C 73</t>
  </si>
  <si>
    <t>GREEN SPA -PT 1220</t>
  </si>
  <si>
    <t>BLACK SPB 1600</t>
  </si>
  <si>
    <t>BLACK B 68</t>
  </si>
  <si>
    <t>BLACK C 103</t>
  </si>
  <si>
    <t>MVB0001</t>
  </si>
  <si>
    <t>MVB0002</t>
  </si>
  <si>
    <t>MVB0003</t>
  </si>
  <si>
    <t>MVB0004</t>
  </si>
  <si>
    <t>MVB0005</t>
  </si>
  <si>
    <t>MVB0006</t>
  </si>
  <si>
    <t>MVB0007</t>
  </si>
  <si>
    <t>MVB0008</t>
  </si>
  <si>
    <t>MVB0009</t>
  </si>
  <si>
    <t>MVB0010</t>
  </si>
  <si>
    <t>MVB0011</t>
  </si>
  <si>
    <t>MVB0012</t>
  </si>
  <si>
    <t>MVB0013</t>
  </si>
  <si>
    <t>MVB0014</t>
  </si>
  <si>
    <t>MVB0015</t>
  </si>
  <si>
    <t>MVB0016</t>
  </si>
  <si>
    <t>MVB0017</t>
  </si>
  <si>
    <t>MVB0018</t>
  </si>
  <si>
    <t>MVB0019</t>
  </si>
  <si>
    <t>MVB0020</t>
  </si>
  <si>
    <t>MVB0021</t>
  </si>
  <si>
    <t>MVB0022</t>
  </si>
  <si>
    <t>MVB0023</t>
  </si>
  <si>
    <t>MVB0024</t>
  </si>
  <si>
    <t>MVB0025</t>
  </si>
  <si>
    <t>MVB0026</t>
  </si>
  <si>
    <t>BLACK C 114/C2952</t>
  </si>
  <si>
    <t>BLACK C 107/C 2774</t>
  </si>
  <si>
    <t>Spare penumatics Air max seal kit (200mm -214 mm) SHAFT SIZE :38MM</t>
  </si>
  <si>
    <t>PCK0001</t>
  </si>
  <si>
    <t>PCK0002</t>
  </si>
  <si>
    <t>PCK0003</t>
  </si>
  <si>
    <t>PCK0004</t>
  </si>
  <si>
    <t>PCK0005</t>
  </si>
  <si>
    <t>PCK0006</t>
  </si>
  <si>
    <t>PCK0007</t>
  </si>
  <si>
    <t>PCK0008</t>
  </si>
  <si>
    <t>MATERIAL DETAILS</t>
  </si>
  <si>
    <t>WELDING RODS STOCKS AS ON 15/07/2026</t>
  </si>
  <si>
    <t>SSR0001</t>
  </si>
  <si>
    <t>SSR0002</t>
  </si>
  <si>
    <t>MSR0001</t>
  </si>
  <si>
    <t>MSR0002</t>
  </si>
  <si>
    <t>MSR0003</t>
  </si>
  <si>
    <t>DB0001</t>
  </si>
  <si>
    <t>DB0002</t>
  </si>
  <si>
    <t>DB0003</t>
  </si>
  <si>
    <t>4" BUFFIN WHEEL</t>
  </si>
  <si>
    <t>4" GRINDING WHEEL</t>
  </si>
  <si>
    <t>4" CUTT OFF WHEEL</t>
  </si>
  <si>
    <t>7" CUTT OFF WHEEL</t>
  </si>
  <si>
    <t>7" GRINDING WHEEL</t>
  </si>
  <si>
    <t>14 "CUTT OFF WHEEL</t>
  </si>
  <si>
    <t>EMERY PAPER 36 GRIT -75 MM</t>
  </si>
  <si>
    <t>REWINDER KNIVES</t>
  </si>
  <si>
    <t>REWINDER CUTTER</t>
  </si>
  <si>
    <t>STARCH</t>
  </si>
  <si>
    <t>PROSOLVE 126</t>
  </si>
  <si>
    <t>SPR +T 125/320 SLEEVE/SWP</t>
  </si>
  <si>
    <t>V-BELT SPB 1850</t>
  </si>
  <si>
    <t>V-BELT BLACK SP 3300</t>
  </si>
  <si>
    <t>V-BELT GREEN SPB -PT 3150</t>
  </si>
  <si>
    <t>V- BELT GREEN SPC-PT 3750 /BLACK SPC 3750</t>
  </si>
  <si>
    <t>V-BELTBLACK SPB 4250 /GREEN SPB-PT 4250</t>
  </si>
  <si>
    <t>V-BELTBLACK SPC 4300</t>
  </si>
  <si>
    <t>MVB0027</t>
  </si>
  <si>
    <t>BLACK C 104</t>
  </si>
  <si>
    <t>EMERY PAPER 60 GRIT -75 MM</t>
  </si>
  <si>
    <t>PENUMATICS &amp; HYDRAULICS STOCK AS ON 15/07/2026</t>
  </si>
  <si>
    <t>PFRL001</t>
  </si>
  <si>
    <t xml:space="preserve">3 /8" FR+L (JHFRCLM-14B) AIRMAX </t>
  </si>
  <si>
    <t>PFRL002</t>
  </si>
  <si>
    <t xml:space="preserve">1/2 "FR+L (JHFRCLM-15) AIRMAX </t>
  </si>
  <si>
    <t>PREG001</t>
  </si>
  <si>
    <t>PREG002</t>
  </si>
  <si>
    <t>1/2" REGULATOR ( R15634) AIRMAX</t>
  </si>
  <si>
    <t>PNCV001</t>
  </si>
  <si>
    <t xml:space="preserve">1/4" COMPACT VALVE  (DS265SC61-W)-JANATICS </t>
  </si>
  <si>
    <t>LIFT SLING BELT 3TON X 3 MTR</t>
  </si>
  <si>
    <t>GECR002</t>
  </si>
  <si>
    <t>LIFT SLING BELT 3TON X 4 MTR</t>
  </si>
  <si>
    <t>GECR003</t>
  </si>
  <si>
    <t>GECR001</t>
  </si>
  <si>
    <t>LIFT SLING BELT 3TON X 5 MTR</t>
  </si>
  <si>
    <t>GECR004</t>
  </si>
  <si>
    <t>CRANE REMOTE</t>
  </si>
  <si>
    <t>TOTAL</t>
  </si>
  <si>
    <t>ISSUE</t>
  </si>
  <si>
    <t xml:space="preserve">OIL MECHANICAL SEAL STOCK REPORT </t>
  </si>
  <si>
    <t xml:space="preserve">MECHANICAL BEARING STOCK </t>
  </si>
  <si>
    <t>SUPERON S.S (2.5X350 MM) PKT</t>
  </si>
  <si>
    <t>MANGLAM M.S (2.50X350 MM) PKT</t>
  </si>
  <si>
    <t>MANGLAM M.S (3.15X350 MM) PKT</t>
  </si>
  <si>
    <t>MANDLAM M.S (4.00X450 MM) PKT</t>
  </si>
  <si>
    <t>S.S BALL VALVE 15MM</t>
  </si>
  <si>
    <t>S.S BALL VALVE 20MM (3/4)</t>
  </si>
  <si>
    <t>S.S BALL VALVE 25MM / C.I BALL VALVE</t>
  </si>
  <si>
    <t>S.S BALL VALVE 32MM</t>
  </si>
  <si>
    <t>S.S BALL VALVE 40MM</t>
  </si>
  <si>
    <t>2 1/2" PISTON VALVE</t>
  </si>
  <si>
    <t>S.S DISC CHECK VALVE 1 1/2"</t>
  </si>
  <si>
    <t>C.I WAFER CHECK VALVE -4"</t>
  </si>
  <si>
    <t>4" FOOT VALVE</t>
  </si>
  <si>
    <t>MV0001</t>
  </si>
  <si>
    <t>MV0002</t>
  </si>
  <si>
    <t>MV0003</t>
  </si>
  <si>
    <t>MV0004</t>
  </si>
  <si>
    <t>MV0005</t>
  </si>
  <si>
    <t>MV0006</t>
  </si>
  <si>
    <t>MV0007</t>
  </si>
  <si>
    <t>MV0008</t>
  </si>
  <si>
    <t>MV0009</t>
  </si>
  <si>
    <t>MV0010</t>
  </si>
  <si>
    <t>MV0011</t>
  </si>
  <si>
    <t>MV0012</t>
  </si>
  <si>
    <t>MV0013</t>
  </si>
  <si>
    <t>MV0014</t>
  </si>
  <si>
    <t>MV0015</t>
  </si>
  <si>
    <t>MV0016</t>
  </si>
  <si>
    <t>MV0017</t>
  </si>
  <si>
    <t>MV0018</t>
  </si>
  <si>
    <t>MV0019</t>
  </si>
  <si>
    <t>MV0020</t>
  </si>
  <si>
    <t>MV0021</t>
  </si>
  <si>
    <t>MV0022</t>
  </si>
  <si>
    <t>MV0023</t>
  </si>
  <si>
    <t>MV0024</t>
  </si>
  <si>
    <t>MV0025</t>
  </si>
  <si>
    <t>MV0026</t>
  </si>
  <si>
    <t>MV0027</t>
  </si>
  <si>
    <t>MV0028</t>
  </si>
  <si>
    <t>MV0029</t>
  </si>
  <si>
    <t>MV0030</t>
  </si>
  <si>
    <t>MV0031</t>
  </si>
  <si>
    <t>MV0032</t>
  </si>
  <si>
    <t>MV0033</t>
  </si>
  <si>
    <t>MV0034</t>
  </si>
  <si>
    <t>MV0035</t>
  </si>
  <si>
    <t>1.5 " GLOBE VALVE</t>
  </si>
  <si>
    <t>C.I BODY S.S DISC BUTTERFLY VALVE 2"</t>
  </si>
  <si>
    <t>C.I BODY S.S DISC BUTTERFLY VALVE 2.5"</t>
  </si>
  <si>
    <t>C.I BODY S.S DISC BUTTERFLY VALVE 3"</t>
  </si>
  <si>
    <t>C.I BODY S.S DISC BUTTERFLY VALVE 4"</t>
  </si>
  <si>
    <t>C.I BODY S.S DISC BUTTERFLY VALVE 6"</t>
  </si>
  <si>
    <t>C.I BODY S.S DISC BUTTERFLY VALVE 8"</t>
  </si>
  <si>
    <t>S.S BALL VALVE WITH 4" (100MM)</t>
  </si>
  <si>
    <t>1" BLOW DOWN VALVE</t>
  </si>
  <si>
    <t>1.5" BLOW DOWN VALVE</t>
  </si>
  <si>
    <t>PLATE VALVE 3" (KNIFE GATE VALVE)</t>
  </si>
  <si>
    <t>PLATE VALVE 4" (KNIFE GATE VALVE)</t>
  </si>
  <si>
    <t>PLATE VALVE 5" (KNIFE GATE VALVE)</t>
  </si>
  <si>
    <t>PLATE VALVE 6" (KNIFE GATE VALVE)</t>
  </si>
  <si>
    <t>PLATE VALVE 8" (KNIFE GATE VALVE)</t>
  </si>
  <si>
    <t>S.S 304 BALL VALVE WITH FLANGE 1' 1/2" (40 MM)</t>
  </si>
  <si>
    <t>S.S BALL VALVE 3/8"</t>
  </si>
  <si>
    <t>S.S BALL VALVE 50MM</t>
  </si>
  <si>
    <t>CPC 100/320</t>
  </si>
  <si>
    <t>MECIHINCAL PENUMATIC CONNECTOR AS ON 18/07/2026</t>
  </si>
  <si>
    <t>8X8X8 PU T CONNECTOR</t>
  </si>
  <si>
    <t>8X8 PU COUPLER</t>
  </si>
  <si>
    <t>10X10X10 PU T CONNECTOR</t>
  </si>
  <si>
    <t>PUT0001</t>
  </si>
  <si>
    <t>PUC0001</t>
  </si>
  <si>
    <t>PUE0001</t>
  </si>
  <si>
    <t>PUT0002</t>
  </si>
  <si>
    <t>PUC0002</t>
  </si>
  <si>
    <t>10X10 PU COUPLER</t>
  </si>
  <si>
    <t>PUT0003</t>
  </si>
  <si>
    <t>PUC0003</t>
  </si>
  <si>
    <t>10X12 PU COUPLER</t>
  </si>
  <si>
    <t>PUT0004</t>
  </si>
  <si>
    <t>12X12X12 PU T CONNECTOR</t>
  </si>
  <si>
    <t>PUM0001</t>
  </si>
  <si>
    <t>10X1/4" PU MAIL CONNECTOR</t>
  </si>
  <si>
    <t>PUM0002</t>
  </si>
  <si>
    <t>6X1/2" PU MAIL CONNECTOR</t>
  </si>
  <si>
    <t>6X1/4" PU MAIL CONNECTOR</t>
  </si>
  <si>
    <t>PUM0003</t>
  </si>
  <si>
    <t>PUE0002</t>
  </si>
  <si>
    <t>8X3/8" PU ELBOW CONNECTOR</t>
  </si>
  <si>
    <t>6X1/2" PU ELBOW CONNECTOR</t>
  </si>
  <si>
    <t>PUM0004</t>
  </si>
  <si>
    <t>6X3/8" PU MAIL CONNECTOR</t>
  </si>
  <si>
    <t>PUM0005</t>
  </si>
  <si>
    <t>10X1/2" PU MAIL CONNECTOR</t>
  </si>
  <si>
    <t>PUC0004</t>
  </si>
  <si>
    <t>6X8 PU COUPLER</t>
  </si>
  <si>
    <t>PUM0006</t>
  </si>
  <si>
    <t>8X1/4" PU MAIL CONNECTOR</t>
  </si>
  <si>
    <t>PUC0005</t>
  </si>
  <si>
    <t>8X12 PU COUPLER</t>
  </si>
  <si>
    <t>PUM0007</t>
  </si>
  <si>
    <t>8X3/8" PU MAIL CONNECTOR</t>
  </si>
  <si>
    <t>PUE0003</t>
  </si>
  <si>
    <t>6X1/8" PU ELBOW CONNECTOR</t>
  </si>
  <si>
    <t>PUE0004</t>
  </si>
  <si>
    <t>8X1/8" PU ELBOW CONNECTOR</t>
  </si>
  <si>
    <t>PUE0005</t>
  </si>
  <si>
    <t>8X1/4" PU ELBOW CONNECTOR</t>
  </si>
  <si>
    <t>12X12 PU COUPLER</t>
  </si>
  <si>
    <t>PUC0006</t>
  </si>
  <si>
    <t>PUE0006</t>
  </si>
  <si>
    <t>10X1/8" PU ELBOW CONNECTOR</t>
  </si>
  <si>
    <t>PUC0007</t>
  </si>
  <si>
    <t>6X6 PU COUPLER</t>
  </si>
  <si>
    <t>PUE0007</t>
  </si>
  <si>
    <t>6X1/4" PU ELBOW CONNECTOR</t>
  </si>
  <si>
    <t>PUC0008</t>
  </si>
  <si>
    <t>8X10 PU COUPLER</t>
  </si>
  <si>
    <t>PUM0008</t>
  </si>
  <si>
    <t>8X1/2" PU MAIL CONNECTOR</t>
  </si>
  <si>
    <t>PUM0009</t>
  </si>
  <si>
    <t>PUM0010</t>
  </si>
  <si>
    <t>8X1/8" PU MAIL CONNECTOR</t>
  </si>
  <si>
    <t>6X3/8" PU ELBOW CONNECTOR</t>
  </si>
  <si>
    <t>PUM0011</t>
  </si>
  <si>
    <t>PUE0008</t>
  </si>
  <si>
    <t>10X1/2" PU ELBOW CONNECTOR</t>
  </si>
  <si>
    <t>PUE0009</t>
  </si>
  <si>
    <t>10X3/8" PU MAIL CONNECTOR</t>
  </si>
  <si>
    <t>PUM0012</t>
  </si>
  <si>
    <t>4X3/8" PU MAIL CONNECTOR</t>
  </si>
  <si>
    <t>PUM0013</t>
  </si>
  <si>
    <t>10X1/8" PU MAIL CONNECTOR</t>
  </si>
  <si>
    <t>PUM0014</t>
  </si>
  <si>
    <t>12X1/2" PU MAIL CONNECTOR</t>
  </si>
  <si>
    <t>6X6X6 PU T CONNECTOR</t>
  </si>
  <si>
    <t>PENUMATIC CYLINDER KITS STOCK AS ON 15/07/2026</t>
  </si>
  <si>
    <t>GUN METAL(OD50XID75XLE210 MM)/S.S 316 (ID63XID70XLE130 MM)</t>
  </si>
  <si>
    <t>SEPRATOR SLEEVE 25X32X75 MM</t>
  </si>
  <si>
    <t>50mm CYLINDER KITS</t>
  </si>
  <si>
    <t>80mm CYLINDER KITS</t>
  </si>
  <si>
    <t>100mm CYLINDER KITS</t>
  </si>
  <si>
    <t>125mm CYLINDER KITS</t>
  </si>
  <si>
    <t>150mm CYLINDER KITS</t>
  </si>
  <si>
    <t>200mm CYLINDER KITS</t>
  </si>
  <si>
    <t>250mm CYLINDER KITS</t>
  </si>
  <si>
    <t>MV0036</t>
  </si>
  <si>
    <t>22220 E1-XL-K</t>
  </si>
  <si>
    <t>22222 E1 AM C3</t>
  </si>
  <si>
    <t>CHECKNUT WASHER MB 09</t>
  </si>
  <si>
    <t>CHECKNUT WASHER MB 12</t>
  </si>
  <si>
    <t>CHECKNUT WASHER MB 13</t>
  </si>
  <si>
    <t>CHECKNUT WASHER MB 14</t>
  </si>
  <si>
    <t>CHECKNUT WASHER MB 18</t>
  </si>
  <si>
    <t>CHECKNUT WASHER MB 19</t>
  </si>
  <si>
    <t>CHECKNUT WASHER MB 20</t>
  </si>
  <si>
    <t>CHECKNUT WASHER MB 21</t>
  </si>
  <si>
    <t>CHECKNUT WASHER MB 22</t>
  </si>
  <si>
    <t>CHECKNUT WASHER MB 24</t>
  </si>
  <si>
    <t>CHECKNUT WASHER MB 40</t>
  </si>
  <si>
    <t>CHECKNUT LOCK KM -09</t>
  </si>
  <si>
    <t>CHECKNUT LOCK KM -12</t>
  </si>
  <si>
    <t>CHECKNUT LOCK KM -13</t>
  </si>
  <si>
    <t>CHECKNUT LOCK KM -14</t>
  </si>
  <si>
    <t>CHECKNUT LOCK KM -16</t>
  </si>
  <si>
    <t>CHECKNUT LOCK KM -18</t>
  </si>
  <si>
    <t>CHECKNUT LOCK KM -19</t>
  </si>
  <si>
    <t>CHECKNUT LOCK KM -20</t>
  </si>
  <si>
    <t>CHECKNUT LOCK KM -21</t>
  </si>
  <si>
    <t>CHECKNUT LOCK KM -22</t>
  </si>
  <si>
    <t>CHECKNUT LOCK KM -24</t>
  </si>
  <si>
    <t>MCNW0001</t>
  </si>
  <si>
    <t>MCNW0002</t>
  </si>
  <si>
    <t>MCNW0003</t>
  </si>
  <si>
    <t>MCNW0004</t>
  </si>
  <si>
    <t>MCNW0005</t>
  </si>
  <si>
    <t>MCNW0006</t>
  </si>
  <si>
    <t>MCNW0007</t>
  </si>
  <si>
    <t>MCNW0008</t>
  </si>
  <si>
    <t>MCNW0009</t>
  </si>
  <si>
    <t>MCNW0010</t>
  </si>
  <si>
    <t>MCNW0011</t>
  </si>
  <si>
    <t>MCNW0012</t>
  </si>
  <si>
    <t>MCNW0013</t>
  </si>
  <si>
    <t>MCNW0014</t>
  </si>
  <si>
    <t>MCNW0015</t>
  </si>
  <si>
    <t>MCNW0016</t>
  </si>
  <si>
    <t>MCNW0017</t>
  </si>
  <si>
    <t>MCNW0018</t>
  </si>
  <si>
    <t>MCNW0019</t>
  </si>
  <si>
    <t>MCNW0020</t>
  </si>
  <si>
    <t>MCNW0021</t>
  </si>
  <si>
    <t>MCNW0022</t>
  </si>
  <si>
    <t>CHECK NUT &amp; WASHER AS ON 19/7/2026</t>
  </si>
  <si>
    <t>MCNW0023</t>
  </si>
  <si>
    <t>CHECKNUT LOCK KM -32</t>
  </si>
  <si>
    <t>CHECKNUT LOCK KM -315</t>
  </si>
  <si>
    <t>CHECKNUT WASHER MB 16</t>
  </si>
  <si>
    <t>CHECKNUT WASHER MB 44</t>
  </si>
  <si>
    <t>MCNW0024</t>
  </si>
  <si>
    <t>MCNW0025</t>
  </si>
  <si>
    <t>MCNW0026</t>
  </si>
  <si>
    <t>GEGR004</t>
  </si>
  <si>
    <t>GEGR002</t>
  </si>
  <si>
    <t>GEGR001</t>
  </si>
  <si>
    <t>GEGR003</t>
  </si>
  <si>
    <t>GEGR005</t>
  </si>
  <si>
    <t>GEGR006</t>
  </si>
  <si>
    <t>GEGR007</t>
  </si>
  <si>
    <t>GLAND ROPE 6MM (KGS)</t>
  </si>
  <si>
    <t>GLAND ROPE 8MM (KGS)</t>
  </si>
  <si>
    <t>GLAND ROPE 10MM (KGS)</t>
  </si>
  <si>
    <t>GLAND ROPE 12MM (KGS)</t>
  </si>
  <si>
    <t>GLAND ROPE 16MM (KGS)</t>
  </si>
  <si>
    <t>GLAND ROPE 18MM (KGS)</t>
  </si>
  <si>
    <t>GLAND ROPE 20MM (KGS)</t>
  </si>
  <si>
    <t xml:space="preserve">S.S 304 BALL VALVE WITH FLANGE 1' </t>
  </si>
  <si>
    <t>C.I BODY S.S DISC BUTTERFLY VALVE 12"</t>
  </si>
  <si>
    <t>S.S 304 BALL VALVE WITH FLANGE 2'</t>
  </si>
  <si>
    <t>S.S 304 BALL VALVE WITH FLANGE 2' 1/2"</t>
  </si>
  <si>
    <t>S.S BALL VALVE 8/10MM</t>
  </si>
  <si>
    <t xml:space="preserve">S.S BALL VALVE 6MM </t>
  </si>
  <si>
    <t>S.S NEEDLE VALVE 1/2"</t>
  </si>
  <si>
    <t>MV0037</t>
  </si>
  <si>
    <t>3' GLOBE VALVE / NRV (BOILER)</t>
  </si>
  <si>
    <t>1/8-3/2" NC VALVE &amp; SWITCH (JANATICS) MOUNTING VALVE</t>
  </si>
  <si>
    <t>3/8" REGULATOR (MO NO:R14624)</t>
  </si>
  <si>
    <t>PCV0001</t>
  </si>
  <si>
    <t>PRV0001</t>
  </si>
  <si>
    <t>PDV0001</t>
  </si>
  <si>
    <t xml:space="preserve">1/2" ROTARY VALVE  </t>
  </si>
  <si>
    <t xml:space="preserve">1/2" DISC ROTARY VALVE  </t>
  </si>
  <si>
    <t>PDV0002</t>
  </si>
  <si>
    <t xml:space="preserve">1/4" DISC ROTARY VALVE  </t>
  </si>
  <si>
    <t>GBFP001</t>
  </si>
  <si>
    <t>GBFP002</t>
  </si>
  <si>
    <t>GBFP003</t>
  </si>
  <si>
    <t>GBFP004</t>
  </si>
  <si>
    <t>GBFP005</t>
  </si>
  <si>
    <t>GBFP006</t>
  </si>
  <si>
    <t>SS 304 Q BELLOW HOSE PIPE (FLEXIBLE PIPE) 40X400 mm</t>
  </si>
  <si>
    <t>SS 304 Q BELLOW HOSE PIPE (FLEXIBLE PIPE) 50X400 mm</t>
  </si>
  <si>
    <t>SS 304 Q BELLOW HOSE PIPE (FLEXIBLE PIPE) 65X400 mm</t>
  </si>
  <si>
    <t>SS 304 Q BELLOW HOSE PIPE (FLEXIBLE PIPE) 80X420 mm</t>
  </si>
  <si>
    <t>SS 304 Q BELLOW HOSE PIPE (FLEXIBLE PIPE) 200X370 mm</t>
  </si>
  <si>
    <t>6309-zz / L140</t>
  </si>
  <si>
    <t xml:space="preserve">22322 E1-XL </t>
  </si>
  <si>
    <t>SS 304 Q BELLOW HOSE PIPE (FLEXIBLE PIPE) 80X250 mm</t>
  </si>
  <si>
    <t>MNRV001</t>
  </si>
  <si>
    <t>MNRV002</t>
  </si>
  <si>
    <t>MNRV003</t>
  </si>
  <si>
    <t>SS PLATE NRV 50 MM</t>
  </si>
  <si>
    <t>SS PLATE NRV 25 MM</t>
  </si>
  <si>
    <t>SS PLATE NRV 40 MM</t>
  </si>
  <si>
    <t>MNRV004</t>
  </si>
  <si>
    <t>SS PLATE NRV 80 MM</t>
  </si>
  <si>
    <t>MNRV005</t>
  </si>
  <si>
    <t>SS PLATE NRV 100 MM</t>
  </si>
  <si>
    <t>MNRV006</t>
  </si>
  <si>
    <t>SS PLATE NRV 150 MM</t>
  </si>
  <si>
    <t>MNRV007</t>
  </si>
  <si>
    <t>CI PLATE NRV 65 MM</t>
  </si>
  <si>
    <t>MNRV008</t>
  </si>
  <si>
    <t>CI PLATE NRV 80 MM</t>
  </si>
  <si>
    <t>MNRV009</t>
  </si>
  <si>
    <t>CI PLATE NRV 100 MM</t>
  </si>
  <si>
    <t>MV0038</t>
  </si>
  <si>
    <t>S.S DISC CHECK VALVE 25 MM</t>
  </si>
  <si>
    <t>MV0039</t>
  </si>
  <si>
    <t>S.S DISC CHECK VALVE 40 MM</t>
  </si>
  <si>
    <t>MV0040</t>
  </si>
  <si>
    <t>S.S DISC CHECK VALVE 50 MM</t>
  </si>
  <si>
    <t>MV0041</t>
  </si>
  <si>
    <t>S.S DISC CHECK VALVE 80 MM</t>
  </si>
  <si>
    <t>MV0042</t>
  </si>
  <si>
    <t>S.S DISC CHECK VALVE 100 MM</t>
  </si>
  <si>
    <t>MV0043</t>
  </si>
  <si>
    <t>3" PLATE VALVE</t>
  </si>
  <si>
    <t>VALVE STOCKS AS ON 21/07/2026</t>
  </si>
  <si>
    <t>24184 CCK/W33/K M HD</t>
  </si>
  <si>
    <t>Messuring Guage 150mmx1/2" mm bar/mm wc -100/1000</t>
  </si>
  <si>
    <r>
      <t>Messuring Guage 0 to 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BSP)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</si>
  <si>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NPT)</t>
    </r>
  </si>
  <si>
    <r>
      <t>Messuring Guage 0 to 7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(80mmx3/8" BSP)</t>
    </r>
  </si>
  <si>
    <t>3309B-TVH-C3</t>
  </si>
  <si>
    <t>10X1/2" PU MALE CONNECTOR</t>
  </si>
  <si>
    <r>
      <t>Messuring Guage 0 to 140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</si>
  <si>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</si>
  <si>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OXYGEN REGULATER DOUBLE GUAGE</t>
  </si>
  <si>
    <r>
      <t>Messuring Guage 0 to 6 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FM (150MMX1/2" BSP</t>
    </r>
  </si>
  <si>
    <r>
      <t>Pressue Guage 0 to 16 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(150mmX1/2" BSP)</t>
    </r>
  </si>
  <si>
    <t>Temperature Guage 0 to 300 C (P163.59-00160)-150MM-1/2" BSP</t>
  </si>
  <si>
    <t>Temperature Guage 0 to 200 C  (BAUMER MAKE)</t>
  </si>
  <si>
    <t>Messureing Guage 0 to 28 kg cm /2, 0 to 400  (12"X 1/2" BSP)</t>
  </si>
  <si>
    <r>
      <t>Messuring Guage 0 to 7 (lb/in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/(kg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)FM 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</si>
  <si>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MGU0001</t>
  </si>
  <si>
    <t>MGU0002</t>
  </si>
  <si>
    <t>MGU0003</t>
  </si>
  <si>
    <t>MGU0004</t>
  </si>
  <si>
    <t>MGU0005</t>
  </si>
  <si>
    <t>MGU0006</t>
  </si>
  <si>
    <t>MGU0007</t>
  </si>
  <si>
    <t>MGU0008</t>
  </si>
  <si>
    <t>MGU0009</t>
  </si>
  <si>
    <t>MGU0010</t>
  </si>
  <si>
    <t>MGU0011</t>
  </si>
  <si>
    <t>MGU0012</t>
  </si>
  <si>
    <t>MGU0013</t>
  </si>
  <si>
    <t>MGU0014</t>
  </si>
  <si>
    <t>SPR+T 125/260</t>
  </si>
  <si>
    <t>SPR+T 125/330</t>
  </si>
  <si>
    <t>WP 80/260</t>
  </si>
  <si>
    <t>APPC 42 /150</t>
  </si>
  <si>
    <t>TPR 125/400 (3VO)</t>
  </si>
  <si>
    <t>SEPRATOR</t>
  </si>
  <si>
    <t>BOTTOM FAN PUMP SHAFT</t>
  </si>
  <si>
    <t>VSL-08 PRESSURE SCREEN SHAFT</t>
  </si>
  <si>
    <t>GREEN &amp; BLACK SPC-PT 4750</t>
  </si>
  <si>
    <t>S.S 1/2" COLLER</t>
  </si>
  <si>
    <t>S.S 1" COLLER</t>
  </si>
  <si>
    <t>S.S 1.5" COLLER</t>
  </si>
  <si>
    <t>S.S 2" COLLER</t>
  </si>
  <si>
    <t>S.S 2.5 " COLLER</t>
  </si>
  <si>
    <t>S.S 3 " COLLER</t>
  </si>
  <si>
    <t>S.S 4 " COLLER</t>
  </si>
  <si>
    <t>S.S 5" COLLER</t>
  </si>
  <si>
    <t>S.S 6" COLLER</t>
  </si>
  <si>
    <t>S.S 8 " COLLER</t>
  </si>
  <si>
    <t>S.S 10" COLLER</t>
  </si>
  <si>
    <t>S.S 12" COLLER</t>
  </si>
  <si>
    <t>S.S 14 " COLLER</t>
  </si>
  <si>
    <t>S.S 16" COLLER</t>
  </si>
  <si>
    <t>S.S BEND 1/2"</t>
  </si>
  <si>
    <t>S.S 1" BEND</t>
  </si>
  <si>
    <t>S.S 1.25" BEND</t>
  </si>
  <si>
    <t>S.S 1 1/2 " BEND</t>
  </si>
  <si>
    <t>S.S 2" BEND</t>
  </si>
  <si>
    <t>S.S 2.5" BEND</t>
  </si>
  <si>
    <t>S.S 3" BEND</t>
  </si>
  <si>
    <t>S.S 4" BEND</t>
  </si>
  <si>
    <t>S.S 5" BEND</t>
  </si>
  <si>
    <t>S.S 6" BEND</t>
  </si>
  <si>
    <t>S.S 8" BEND</t>
  </si>
  <si>
    <t>M.S FLANGE 1/2"</t>
  </si>
  <si>
    <t>M.S FLANGE 1 "</t>
  </si>
  <si>
    <t>M.S FLANGE 1 1/2 " or 1.5 "</t>
  </si>
  <si>
    <t>M.S FLANGE 2"</t>
  </si>
  <si>
    <t>M.S FLANGE 2.5"</t>
  </si>
  <si>
    <t>M.S FLANGE 3 "</t>
  </si>
  <si>
    <t>M.S FLANGE 4"</t>
  </si>
  <si>
    <t>M.S FLANGE 5"</t>
  </si>
  <si>
    <t>M.S FLANGE 6"</t>
  </si>
  <si>
    <t>M.S FLANGE 8"</t>
  </si>
  <si>
    <t>STEAMLINE 3" FLANGES</t>
  </si>
  <si>
    <t>CPC 100/320 WITH CHECKNUT</t>
  </si>
  <si>
    <t>SPR +T 125/400</t>
  </si>
  <si>
    <t>CPC 150 -320</t>
  </si>
  <si>
    <t>CPC 65-260</t>
  </si>
  <si>
    <t>SPR+T 125/260 GLAND COVER (5VO)</t>
  </si>
  <si>
    <t>SPR+ T125/260 STUFFING BOX</t>
  </si>
  <si>
    <t>SPR+ T125/330 STUFFING BOX</t>
  </si>
  <si>
    <t>SWP 125/320</t>
  </si>
  <si>
    <t>SPR+T 125/260 CASING COVER</t>
  </si>
  <si>
    <t>CPC 125/320 IMPELLER</t>
  </si>
  <si>
    <t>TURBO 400 IMPELLER</t>
  </si>
  <si>
    <t>TURBO 400 SCREEN PLATE</t>
  </si>
  <si>
    <t xml:space="preserve">MECIHINCAL PENUMATIC PIPE AS ON </t>
  </si>
  <si>
    <t>PUTU001</t>
  </si>
  <si>
    <t>PUTU002</t>
  </si>
  <si>
    <t>PUTU003</t>
  </si>
  <si>
    <t>PUTU004</t>
  </si>
  <si>
    <t>PUTU005</t>
  </si>
  <si>
    <t>PUTU006</t>
  </si>
  <si>
    <t>PUTU007</t>
  </si>
  <si>
    <t>PUTU008</t>
  </si>
  <si>
    <t>PUTU009</t>
  </si>
  <si>
    <t>PUTU010</t>
  </si>
  <si>
    <t>PUTU011</t>
  </si>
  <si>
    <t>Polyurethane Tubes 4 x 2 mm 100 mts</t>
  </si>
  <si>
    <t>Polyurethane Tubes 6 x 4 mm 100 mts</t>
  </si>
  <si>
    <t>Polyurethane Tubes 8 x 5 mm 100 mts</t>
  </si>
  <si>
    <t>Polyurethane Tubes 10 x 6.5 mm 100 mts</t>
  </si>
  <si>
    <t>Polyurethane Tubes 8 x 6 mm 100 mts</t>
  </si>
  <si>
    <t>Polyurethane Tubes 10 x 8 mm 100 mts</t>
  </si>
  <si>
    <t>Polyurethane Tubes 12 x 8 mm 100 mts</t>
  </si>
  <si>
    <t>Polyurethane Tubes 14 x 11 mm 100 mts</t>
  </si>
  <si>
    <t>Polyurethane Tubes 16 x 12 mm 50 mts</t>
  </si>
  <si>
    <t>Polyurethane Tubes 4 x 2.5 mm 100 mts</t>
  </si>
  <si>
    <t>MIMP001</t>
  </si>
  <si>
    <t>MIMP002</t>
  </si>
  <si>
    <t>MIMP003</t>
  </si>
  <si>
    <t>MIMP004</t>
  </si>
  <si>
    <t>MIMP005</t>
  </si>
  <si>
    <t>MIMP006</t>
  </si>
  <si>
    <t>MIMP007</t>
  </si>
  <si>
    <t>MIMP008</t>
  </si>
  <si>
    <t>MIMP009</t>
  </si>
  <si>
    <t>MIMP010</t>
  </si>
  <si>
    <t>MIMP011</t>
  </si>
  <si>
    <t>MIMP012</t>
  </si>
  <si>
    <t>MIMP013</t>
  </si>
  <si>
    <t>MIMP014</t>
  </si>
  <si>
    <t>MIMP015</t>
  </si>
  <si>
    <t>MIMP016</t>
  </si>
  <si>
    <t>MIMP017</t>
  </si>
  <si>
    <t>MIMP018</t>
  </si>
  <si>
    <t>MIMP019</t>
  </si>
  <si>
    <t>MIMP020</t>
  </si>
  <si>
    <t>MIMP021</t>
  </si>
  <si>
    <t>IMPELLERS STOCKS AS ON</t>
  </si>
  <si>
    <t>TPR 80/320 (OPEN IMPELLER)</t>
  </si>
  <si>
    <t>SPR+T 125/260 WEAR PLATE /SIDE PLATE</t>
  </si>
  <si>
    <t>APPC 42 /150 WEAR PLATE -1SET</t>
  </si>
  <si>
    <t>MIMP022</t>
  </si>
  <si>
    <t>CPC 100/320 BEARING BED /HOUSING</t>
  </si>
  <si>
    <t>MIMP023</t>
  </si>
  <si>
    <t>CPC 100/320 CAP OUTER ,</t>
  </si>
  <si>
    <t>MIMP024</t>
  </si>
  <si>
    <t>CPC 100/320 CAP INNER</t>
  </si>
  <si>
    <t>MIMP025</t>
  </si>
  <si>
    <t>SPR +T 125/330 CAP OUTER SAM TURB ( PART NO: 37.21 )</t>
  </si>
  <si>
    <t>MIMP026</t>
  </si>
  <si>
    <t>SPR +T 125/330 CAP INNER</t>
  </si>
  <si>
    <t>Polyurethane Tubes 12 x 10 mm 100 mts</t>
  </si>
  <si>
    <t xml:space="preserve">CRANE SPARES STOCK AS ON </t>
  </si>
  <si>
    <t>GMSB0001</t>
  </si>
  <si>
    <t>1/2"X2" MS BOLT &amp; NUT, WASHER</t>
  </si>
  <si>
    <t>7318-1500</t>
  </si>
  <si>
    <t>GMSB0002</t>
  </si>
  <si>
    <t>1/2"X4" MS BOLT &amp; NUT, WASHER</t>
  </si>
  <si>
    <t>GMSB0003</t>
  </si>
  <si>
    <t>1/2"X3" MS BOLT &amp; NUT, WASHER</t>
  </si>
  <si>
    <t>GMSB0004</t>
  </si>
  <si>
    <t>1/2"X6" MS BOLT &amp; NUT, WASHER</t>
  </si>
  <si>
    <t>GMSB0005</t>
  </si>
  <si>
    <t>3/8"X2" MS BOLT &amp; NUT, WASHER</t>
  </si>
  <si>
    <t>GMSB0006</t>
  </si>
  <si>
    <t>3/8"X2 1/2" MS BOLT &amp; NUT, WASHER</t>
  </si>
  <si>
    <t>GMSB0007</t>
  </si>
  <si>
    <t>3/8"X3" MS BOLT &amp; NUT, WASHER</t>
  </si>
  <si>
    <t>GMSB0008</t>
  </si>
  <si>
    <t>3/4"X2" MS BOLT &amp; NUT, WASHER</t>
  </si>
  <si>
    <t>GMSB0009</t>
  </si>
  <si>
    <t>3/4"X5" MS BOLT &amp; NUT, WASHER</t>
  </si>
  <si>
    <t>GMSB0010</t>
  </si>
  <si>
    <t>5/8"X2" MS BOLT &amp; NUT, WASHER</t>
  </si>
  <si>
    <t>GMSB0011</t>
  </si>
  <si>
    <t>5/8"X3" MS BOLT &amp; NUT, WASHER</t>
  </si>
  <si>
    <t>GMSB0012</t>
  </si>
  <si>
    <t>5/8"X4" MS BOLT &amp; NUT, WASHER</t>
  </si>
  <si>
    <t>GMSB0013</t>
  </si>
  <si>
    <t>5/8"X5" MS BOLT &amp; NUT, WASHER</t>
  </si>
  <si>
    <t>GMSB0014</t>
  </si>
  <si>
    <t>5/8"X6" MS BOLT &amp; NUT, WASHER</t>
  </si>
  <si>
    <t>GMSB0015</t>
  </si>
  <si>
    <t>5/8"X7" MS BOLT &amp; NUT, WASHER</t>
  </si>
  <si>
    <t>GMSB0016</t>
  </si>
  <si>
    <t>12mmX75mm MS BOLT &amp; NUT, WASHER</t>
  </si>
  <si>
    <t>GHTBN0001</t>
  </si>
  <si>
    <t xml:space="preserve">10mmX75mm HTAC </t>
  </si>
  <si>
    <t>GHTBN0002</t>
  </si>
  <si>
    <t xml:space="preserve">12mmX40/50mm HTAC </t>
  </si>
  <si>
    <t>GHTBN0003</t>
  </si>
  <si>
    <t xml:space="preserve">14mmX50/65mm HTAC </t>
  </si>
  <si>
    <t>GHTBN0004</t>
  </si>
  <si>
    <t xml:space="preserve">16mmX25/40/75mm HTAC </t>
  </si>
  <si>
    <t>GSSAB0001</t>
  </si>
  <si>
    <t>12mmX2 1/2" SS ALLEN BOLT</t>
  </si>
  <si>
    <t>GSSAB0002</t>
  </si>
  <si>
    <t>16mmX1 1/2" SS ALLEN BOLT</t>
  </si>
  <si>
    <t>GSSAB0003</t>
  </si>
  <si>
    <t>16mm X 2" SS ALLEN BOLT</t>
  </si>
  <si>
    <t>GSSAB0004</t>
  </si>
  <si>
    <t>16mm X 2 1/2" SS ALLEN BOLT</t>
  </si>
  <si>
    <t>GSSAB0005</t>
  </si>
  <si>
    <t>3/8" X 2" SS ALLEN BOLT</t>
  </si>
  <si>
    <t>GSSAB0006</t>
  </si>
  <si>
    <t>10mm X 2" SS ALLEN BOLT</t>
  </si>
  <si>
    <t>GSSAB0007</t>
  </si>
  <si>
    <t>10mm X 2 1/2" SS ALLEN BOLT</t>
  </si>
  <si>
    <t>GSSAB0008</t>
  </si>
  <si>
    <t>8mm X 2" SS ALLEN BOLT</t>
  </si>
  <si>
    <t>GSSAB0009</t>
  </si>
  <si>
    <t>8mm X 2 1/2" SS ALLEN BOLT</t>
  </si>
  <si>
    <t>GSSCAS0001</t>
  </si>
  <si>
    <t>12mm X 1" SS CSK ALLEN SCREW</t>
  </si>
  <si>
    <t>GSSCAS0002</t>
  </si>
  <si>
    <t>10mm X 1/2" SS CSK ALLEN SCREW</t>
  </si>
  <si>
    <t>GSSCAS0003</t>
  </si>
  <si>
    <t>12mm X 3/4" SS CSK ALLEN SCREW</t>
  </si>
  <si>
    <t>GSSCAS0004</t>
  </si>
  <si>
    <t>3/8" X 2 1/2" SS CSK ALLEN SCREW</t>
  </si>
  <si>
    <t>GSSCS0001</t>
  </si>
  <si>
    <t>5/16" X 2 1/2" SS CSK SCREW</t>
  </si>
  <si>
    <t>7317-1400</t>
  </si>
  <si>
    <t>GSSCS0002</t>
  </si>
  <si>
    <t>5/16" X 1 1/4" SS CSK SCREW</t>
  </si>
  <si>
    <t>GSSCS0003</t>
  </si>
  <si>
    <t>GSSBN0001</t>
  </si>
  <si>
    <t>8mm X 2" SS BOLT &amp; NUT</t>
  </si>
  <si>
    <t>GSSBN0002</t>
  </si>
  <si>
    <t>1/4" X 3" SS BOLT &amp; NUT</t>
  </si>
  <si>
    <t>GSSBN0003</t>
  </si>
  <si>
    <t>3/8" X 3" SS BOLT &amp; NUT</t>
  </si>
  <si>
    <t>GSSBN0004</t>
  </si>
  <si>
    <t>10mm X 3" SS BOLT &amp; NUT</t>
  </si>
  <si>
    <t>GSSBN0005</t>
  </si>
  <si>
    <t>14mm X 2" SS BOLT &amp; NUT</t>
  </si>
  <si>
    <t>GSSBN0006</t>
  </si>
  <si>
    <t>12mm X 2" SS BOLT &amp; NUT</t>
  </si>
  <si>
    <t>GSSBN0007</t>
  </si>
  <si>
    <t>1/2" X 2" SS BOLT &amp; NUT</t>
  </si>
  <si>
    <t>GSSBN0008</t>
  </si>
  <si>
    <t>16mm  X 1 1/2" SS BOLT &amp; NUT</t>
  </si>
  <si>
    <t>GSSBN0009</t>
  </si>
  <si>
    <t>1/2" X 4" SS BOLT &amp; NUT</t>
  </si>
  <si>
    <t>GSSBN0010</t>
  </si>
  <si>
    <t>5/8" X 5" SS BOLT &amp; NUT</t>
  </si>
  <si>
    <t>GSSBN0011</t>
  </si>
  <si>
    <t>3/4" X 4" SS BOLT &amp; NUT</t>
  </si>
  <si>
    <t>GSSBN0012</t>
  </si>
  <si>
    <t>1" X 1/2" SS BOLT &amp; NUT</t>
  </si>
  <si>
    <t>GSSBN0013</t>
  </si>
  <si>
    <t>1" X 2" SS BOLT &amp; NUT</t>
  </si>
  <si>
    <t>GSSBN0014</t>
  </si>
  <si>
    <t>3/8" X 4" SS BOLT &amp; NUT</t>
  </si>
  <si>
    <t>GSSBN0015</t>
  </si>
  <si>
    <t>5/8" X 4" SS BOLT &amp; NUT</t>
  </si>
  <si>
    <t>GSSBN0016</t>
  </si>
  <si>
    <t>16MM X 3" SS BOLT &amp; NUT</t>
  </si>
  <si>
    <t>GSSBN0017</t>
  </si>
  <si>
    <t>1" X 4" SS BOLT &amp; NUT</t>
  </si>
  <si>
    <t>GSSBN0018</t>
  </si>
  <si>
    <t>3/4" X 2" SS BOLT &amp; NUT</t>
  </si>
  <si>
    <t>GSSBN0019</t>
  </si>
  <si>
    <t>3/4" X 3" SS BOLT &amp; NUT</t>
  </si>
  <si>
    <t>GSSBN0020</t>
  </si>
  <si>
    <t>3/8" X 2 1/2" SS BOLT &amp; NUT</t>
  </si>
  <si>
    <t>GSSSB001</t>
  </si>
  <si>
    <t>12mmX2 1/2" STUD BOLT</t>
  </si>
  <si>
    <t>GSSSB002</t>
  </si>
  <si>
    <t>7/8" X 1 1/2" STUD BOLT</t>
  </si>
  <si>
    <t>GSSSB003</t>
  </si>
  <si>
    <t>3/4" X 7" STUD BOLT</t>
  </si>
  <si>
    <t>GSSSB004</t>
  </si>
  <si>
    <t>1" X 400mm STUD BOLT</t>
  </si>
  <si>
    <t>GSSSB005</t>
  </si>
  <si>
    <t>1 1/4" X 400mm STUD BOLT</t>
  </si>
  <si>
    <t>GSSFT001</t>
  </si>
  <si>
    <t>1 1/2" X 400mm FULL THRED BOLT</t>
  </si>
  <si>
    <t>7318-1900</t>
  </si>
  <si>
    <t>1 1/4" X 400mm FULL THRED BOLT</t>
  </si>
  <si>
    <t>3/8"X4" MS BOLT &amp; NUT, WASHER</t>
  </si>
  <si>
    <t>BOLT &amp; NUT STOCK AS ON</t>
  </si>
  <si>
    <t>M.S FLANGE 10"</t>
  </si>
  <si>
    <t>M.S FLANGE 12"</t>
  </si>
  <si>
    <t>M.S FLANGE 14"</t>
  </si>
  <si>
    <t>M.S FLANGE 16"</t>
  </si>
  <si>
    <t>MSSC0001</t>
  </si>
  <si>
    <t>MSSC0002</t>
  </si>
  <si>
    <t>MSSC0003</t>
  </si>
  <si>
    <t>MSSC0004</t>
  </si>
  <si>
    <t>MSSC0005</t>
  </si>
  <si>
    <t>MSSC0006</t>
  </si>
  <si>
    <t>MSSC0007</t>
  </si>
  <si>
    <t>MSSC0008</t>
  </si>
  <si>
    <t>MSSC0009</t>
  </si>
  <si>
    <t>MSSC0010</t>
  </si>
  <si>
    <t>MSSC0011</t>
  </si>
  <si>
    <t>MSSC0012</t>
  </si>
  <si>
    <t>MSSC0013</t>
  </si>
  <si>
    <t>MSSC0014</t>
  </si>
  <si>
    <t>MSSR0001</t>
  </si>
  <si>
    <t>MSSR0002</t>
  </si>
  <si>
    <t>MSSR0003</t>
  </si>
  <si>
    <t>MSSR0004</t>
  </si>
  <si>
    <t>MSSR0005</t>
  </si>
  <si>
    <t>MSSR0006</t>
  </si>
  <si>
    <t>MSSR0007</t>
  </si>
  <si>
    <t>MSSR0008</t>
  </si>
  <si>
    <t>MSSBE001</t>
  </si>
  <si>
    <t>MSSBE002</t>
  </si>
  <si>
    <t>MSSBE003</t>
  </si>
  <si>
    <t>MSSBE004</t>
  </si>
  <si>
    <t>MSSBE005</t>
  </si>
  <si>
    <t>MSSBE006</t>
  </si>
  <si>
    <t>MSSBE007</t>
  </si>
  <si>
    <t>MSSBE008</t>
  </si>
  <si>
    <t>MSSBE009</t>
  </si>
  <si>
    <t>MSSBE010</t>
  </si>
  <si>
    <t>MSSBE011</t>
  </si>
  <si>
    <t>MMSF0001</t>
  </si>
  <si>
    <t>MMSF0002</t>
  </si>
  <si>
    <t>MMSF0003</t>
  </si>
  <si>
    <t>MMSF0004</t>
  </si>
  <si>
    <t>MMSF0005</t>
  </si>
  <si>
    <t>MMSF0006</t>
  </si>
  <si>
    <t>MMSF0007</t>
  </si>
  <si>
    <t>MMSF0008</t>
  </si>
  <si>
    <t>MMSF0009</t>
  </si>
  <si>
    <t>MMSF0010</t>
  </si>
  <si>
    <t>MMSF0011</t>
  </si>
  <si>
    <t>MMSF0012</t>
  </si>
  <si>
    <t>MMSF0013</t>
  </si>
  <si>
    <t>MMSF0014</t>
  </si>
  <si>
    <t>MSTF0001</t>
  </si>
  <si>
    <t>MSTF0002</t>
  </si>
  <si>
    <t>MSSBE012</t>
  </si>
  <si>
    <t>S.S 10" BEND</t>
  </si>
  <si>
    <t>SS, MS PIPE FITTINS STOCK AS ON</t>
  </si>
  <si>
    <t>S.S 1.5" X 2 " REDUCER</t>
  </si>
  <si>
    <t>S.S 2 1/2 " X 3" REDUCER</t>
  </si>
  <si>
    <t>S.S 2" X 4" REDUCER</t>
  </si>
  <si>
    <t>S.S 2 1/2" X 4 REDUCER</t>
  </si>
  <si>
    <t>S.S 3 " X 4 " REDUCER</t>
  </si>
  <si>
    <t>S.S 5" X 6" REDUCER</t>
  </si>
  <si>
    <t>S.S 6 X 4 REDUCER</t>
  </si>
  <si>
    <t>Vaccum Gauge 0 to 760 mm Hg 1/2" Bspt Dial 6"</t>
  </si>
  <si>
    <t>GSSBN0021</t>
  </si>
  <si>
    <t>3/8" X 1 1/4 SS BOLT &amp; NUT</t>
  </si>
  <si>
    <t>GSSBN0022</t>
  </si>
  <si>
    <t>5/16" X 1 1/4 SS BOLT &amp; NUT</t>
  </si>
  <si>
    <t>GSSBN0023</t>
  </si>
  <si>
    <t>1/4" X 1" SS BOLT &amp; NUT</t>
  </si>
  <si>
    <t>GBW0001</t>
  </si>
  <si>
    <t>GGW0001</t>
  </si>
  <si>
    <t>GCW0001</t>
  </si>
  <si>
    <t>GCW0002</t>
  </si>
  <si>
    <t>GGW0002</t>
  </si>
  <si>
    <t>GEP0001</t>
  </si>
  <si>
    <t>GEP0002</t>
  </si>
  <si>
    <t>GRK0001</t>
  </si>
  <si>
    <t>GRC0001</t>
  </si>
  <si>
    <t>SUPERON S.S (3.15X350 MM) PKT</t>
  </si>
  <si>
    <t>GSSCS0004</t>
  </si>
  <si>
    <t>8MM X 50MM SS CSK SCREW</t>
  </si>
  <si>
    <t>GER0001</t>
  </si>
  <si>
    <t>2" WIRE BRUSH</t>
  </si>
  <si>
    <t>GER0002</t>
  </si>
  <si>
    <t>1" WIRE BRUSH</t>
  </si>
  <si>
    <t>6MM X 25MM SS CSK SCREW</t>
  </si>
  <si>
    <t>BE0171</t>
  </si>
  <si>
    <t>626 BEARING</t>
  </si>
  <si>
    <t>BE0172</t>
  </si>
  <si>
    <t>608 BEARING</t>
  </si>
  <si>
    <t>BE0173</t>
  </si>
  <si>
    <t>627 BEARING</t>
  </si>
  <si>
    <t>GER0003</t>
  </si>
  <si>
    <t>ANABOND RTV SILICON RED 25GR</t>
  </si>
  <si>
    <t>GER0004</t>
  </si>
  <si>
    <t>ANABOND RTV SILICON RED 80GR</t>
  </si>
  <si>
    <t>GER0005</t>
  </si>
  <si>
    <t>GREAS GUN PESTOL TYPE</t>
  </si>
  <si>
    <t>GER0006</t>
  </si>
  <si>
    <t>HOSE CLAMPS 1"</t>
  </si>
  <si>
    <t>GER0007</t>
  </si>
  <si>
    <t>HOSE CLAMPS 3/4"</t>
  </si>
  <si>
    <t>GER0008</t>
  </si>
  <si>
    <t>FEVIQUICK PKTS</t>
  </si>
  <si>
    <t>GER0009</t>
  </si>
  <si>
    <t>HOLE SAW DRILL BIT (1902) 6PC SET</t>
  </si>
  <si>
    <t>1" SHAVER BRUSH</t>
  </si>
  <si>
    <t>GER0010</t>
  </si>
  <si>
    <t>GER0011</t>
  </si>
  <si>
    <t>2" SHAVER BRUSH</t>
  </si>
  <si>
    <t>MSPN001</t>
  </si>
  <si>
    <t>1" S.S NIPPLE</t>
  </si>
  <si>
    <t>MSPN003</t>
  </si>
  <si>
    <t>1.5" S.S NIPPLE</t>
  </si>
  <si>
    <t>MSPN004</t>
  </si>
  <si>
    <t>2" S.S NIPPLE</t>
  </si>
  <si>
    <t>MSPN005</t>
  </si>
  <si>
    <t>2.5" S.S NIPPLE</t>
  </si>
  <si>
    <t>MSPN006</t>
  </si>
  <si>
    <t>3" S.S NIPPLE</t>
  </si>
  <si>
    <t>1/2" S.S NIPPLE</t>
  </si>
  <si>
    <t>MSPN007</t>
  </si>
  <si>
    <t>MSPN008</t>
  </si>
  <si>
    <t>3/64 GAS CUTTER NOZZLE</t>
  </si>
  <si>
    <t>1/16 GAS CUTTER NOZZLE</t>
  </si>
  <si>
    <t xml:space="preserve">SHAFT  STOCKS AS ON </t>
  </si>
  <si>
    <t>TPR 125/400 (3VO) SHAFT</t>
  </si>
  <si>
    <t>CPC 100/320 SHAFT</t>
  </si>
  <si>
    <t>SPR+T 125/260 SHAFT</t>
  </si>
  <si>
    <t>SPR+T 125/330 SHAFT</t>
  </si>
  <si>
    <t>SPR + T 125 /400 (4 VO) SHAFT</t>
  </si>
  <si>
    <t>WP 80/260 SHAFT</t>
  </si>
  <si>
    <t>CPC 150 -320 -SHAFT</t>
  </si>
  <si>
    <t>CPC 65-260 (EN19) -SHAFT</t>
  </si>
  <si>
    <t>TPR 80/320 SHAFT</t>
  </si>
  <si>
    <t>APPC 42 /150 SHAFT</t>
  </si>
  <si>
    <t>SEPRATOR SHAFT</t>
  </si>
  <si>
    <t>TURBO SHAFT -SHAFT</t>
  </si>
  <si>
    <t>SWP +125/320 SHAFT</t>
  </si>
  <si>
    <t>KSB PUMP SHAFT (EN 19) SHAFT</t>
  </si>
  <si>
    <t>PULP MILLL AFT PRESSURE SCREEN SHAFT</t>
  </si>
  <si>
    <t>MIMS001</t>
  </si>
  <si>
    <t>MIMS002</t>
  </si>
  <si>
    <t>MIMS003</t>
  </si>
  <si>
    <t>MIMS004</t>
  </si>
  <si>
    <t>MIMS005</t>
  </si>
  <si>
    <t>MIMS006</t>
  </si>
  <si>
    <t>MIMS007</t>
  </si>
  <si>
    <t>MIMS008</t>
  </si>
  <si>
    <t>MIMS009</t>
  </si>
  <si>
    <t>MIMS010</t>
  </si>
  <si>
    <t>MIMS011</t>
  </si>
  <si>
    <t>MIMS012</t>
  </si>
  <si>
    <t>MIMS013</t>
  </si>
  <si>
    <t>MIMS014</t>
  </si>
  <si>
    <t>MIMS015</t>
  </si>
  <si>
    <t>MIMS016</t>
  </si>
  <si>
    <t>MIMS017</t>
  </si>
  <si>
    <t>10-22-7 OIL SEAL</t>
  </si>
  <si>
    <t>20-32-7 OIL SEAL</t>
  </si>
  <si>
    <t>20-52-7 OIL SEAL</t>
  </si>
  <si>
    <t>25-40-8 OIL SEAL</t>
  </si>
  <si>
    <t>25-42-10 OIL SEAL</t>
  </si>
  <si>
    <t>25-45-10 OIL SEAL</t>
  </si>
  <si>
    <t>25-52-7 OIL SEAL</t>
  </si>
  <si>
    <t>25-62-7 OIL SEAL</t>
  </si>
  <si>
    <t>28-38-7/2 OIL SEAL</t>
  </si>
  <si>
    <t>30-47-7/10 OIL SEAL</t>
  </si>
  <si>
    <t>30-62-10 OIL SEAL</t>
  </si>
  <si>
    <t>32-45-7 OIL SEAL</t>
  </si>
  <si>
    <t>32-52-10 OIL SEAL</t>
  </si>
  <si>
    <t>32-60-10 OIL SEAL</t>
  </si>
  <si>
    <t>35-47-7 OIL SEAL</t>
  </si>
  <si>
    <t>35-52-10 OIL SEAL</t>
  </si>
  <si>
    <t>35-55-10 OIL SEAL</t>
  </si>
  <si>
    <t>40-55-8 OIL SEAL</t>
  </si>
  <si>
    <t>40-60-10 OIL SEAL</t>
  </si>
  <si>
    <t>42-55-10 OIL SEAL</t>
  </si>
  <si>
    <t>45-55-8 OIL SEAL</t>
  </si>
  <si>
    <t>45-60-10 OIL SEAL</t>
  </si>
  <si>
    <t>45-65-10/12 OIL SEAL</t>
  </si>
  <si>
    <t>45-75-10 OIL SEAL</t>
  </si>
  <si>
    <t>48-62-10 OIL SEAL</t>
  </si>
  <si>
    <t>50-65-8 OIL SEAL</t>
  </si>
  <si>
    <t>50-70-10 OIL SEAL</t>
  </si>
  <si>
    <t>50-72-8/10 OIL SEAL</t>
  </si>
  <si>
    <t>50-75-12/10 OIL SEAL</t>
  </si>
  <si>
    <t>55-70-10 OIL SEAL</t>
  </si>
  <si>
    <t>55-72-10/8 OIL SEAL</t>
  </si>
  <si>
    <t>55-75-10 OIL SEAL</t>
  </si>
  <si>
    <t>55-80-10 OIL SEAL</t>
  </si>
  <si>
    <t>60-80-10 OIL SEAL</t>
  </si>
  <si>
    <t>65-75-10 OIL SEAL</t>
  </si>
  <si>
    <t>65-80-10 OIL SEAL</t>
  </si>
  <si>
    <t>65-85-10 OIL SEAL</t>
  </si>
  <si>
    <t>65-90-10/12 OIL SEAL</t>
  </si>
  <si>
    <t>65-95-10 OIL SEAL</t>
  </si>
  <si>
    <t>70-80-10 OIL SEAL</t>
  </si>
  <si>
    <t>70-90-10 OIL SEAL</t>
  </si>
  <si>
    <t>75-95-10 OIL SEAL</t>
  </si>
  <si>
    <t>75-100-10 OIL SEAL</t>
  </si>
  <si>
    <t>80-100-10 OIL SEAL</t>
  </si>
  <si>
    <t>80-105-10/12 OIL SEAL</t>
  </si>
  <si>
    <t>85-100-10/12 OIL SEAL</t>
  </si>
  <si>
    <t>85-105-10 OIL SEAL</t>
  </si>
  <si>
    <t>85-110-10 OIL SEAL</t>
  </si>
  <si>
    <t>85-115-10 OIL SEAL</t>
  </si>
  <si>
    <t>90-110-10/12 OIL SEAL</t>
  </si>
  <si>
    <t>90-115-10 OIL SEAL</t>
  </si>
  <si>
    <t>90-120-12 OIL SEAL</t>
  </si>
  <si>
    <t>95-120-10 OIL SEAL</t>
  </si>
  <si>
    <t>107-135.5-10 OIL SEAL</t>
  </si>
  <si>
    <t>110-130-12 OIL SEAL</t>
  </si>
  <si>
    <t>115-140-15 OIL SEAL</t>
  </si>
  <si>
    <t>140-170-15 OIL SEAL</t>
  </si>
  <si>
    <t>145-165-13 OIL SEAL</t>
  </si>
  <si>
    <t>155-180-15 OIL SEAL</t>
  </si>
  <si>
    <t>185-215-15 OIL SEAL</t>
  </si>
  <si>
    <t>55-72-12 OIL SEAL</t>
  </si>
  <si>
    <t>55-60-8 OIL SEAL</t>
  </si>
  <si>
    <t>22-40-10 OIL SEAL</t>
  </si>
  <si>
    <t>20-52-8 OIL SEAL</t>
  </si>
  <si>
    <t>40-65-10 OIL SEAL</t>
  </si>
  <si>
    <t>45-55-10 OIL SEAL</t>
  </si>
  <si>
    <t>78-100-10 OIL SEAL</t>
  </si>
  <si>
    <t>60-85-10 OIL SEAL</t>
  </si>
  <si>
    <t>150-180-15 OIL SEAL</t>
  </si>
  <si>
    <t>65-100-1 OIL SEAL</t>
  </si>
  <si>
    <t>20-35-7 OIL SEAL</t>
  </si>
  <si>
    <t>50-80-10 OIL SEAL</t>
  </si>
  <si>
    <t>60-90-10 OIL SEAL</t>
  </si>
  <si>
    <t>PCV0002</t>
  </si>
  <si>
    <t xml:space="preserve">1/4" COMPACT VALVE  (DS255ER61)-JANATICS </t>
  </si>
  <si>
    <t>GER0012</t>
  </si>
  <si>
    <t>5 Mtr MEASURING TAPE</t>
  </si>
  <si>
    <t>MNO001</t>
  </si>
  <si>
    <t>MNO002</t>
  </si>
  <si>
    <t>MNO003</t>
  </si>
  <si>
    <t>MNO004</t>
  </si>
  <si>
    <t>MNO005</t>
  </si>
  <si>
    <t>ROBO NOZZLE 0.4MM</t>
  </si>
  <si>
    <t>ROBO NOZZLE 0.7MM</t>
  </si>
  <si>
    <t>TUNGSTEN WELDING ELECTRODES 2.44MM</t>
  </si>
  <si>
    <t>TWE0001</t>
  </si>
  <si>
    <t>TWE0002</t>
  </si>
  <si>
    <t>TUNGSTEN WELDING ELECTRODES 3MM</t>
  </si>
  <si>
    <t>GER0013</t>
  </si>
  <si>
    <t>RUST RELEASE SPRAY (480ML)</t>
  </si>
  <si>
    <t>PNEUMATIC PP &amp; PET STRAPPING MACHINE MODEL: XQD-19</t>
  </si>
  <si>
    <t>PNEUMATIC PP &amp; PET STRAPPING MACHINE MODEL: AQD-19</t>
  </si>
  <si>
    <t>PSM001</t>
  </si>
  <si>
    <t>PSM002</t>
  </si>
  <si>
    <t>LUBRICANTS</t>
  </si>
  <si>
    <t>HYDRULIC OIL No: 68</t>
  </si>
  <si>
    <t xml:space="preserve">SERVO GEAR OIL 320 </t>
  </si>
  <si>
    <t>LGO0001</t>
  </si>
  <si>
    <t>SERVO GREASE MP3</t>
  </si>
  <si>
    <t>LGR0001</t>
  </si>
  <si>
    <t>LGR0002</t>
  </si>
  <si>
    <t>DOCTOR BLADE 2X75X3350 MM PLASTIC</t>
  </si>
  <si>
    <t>DOCTOR BLADE 6.0X75X4000 MM PLASTIC GREEN</t>
  </si>
  <si>
    <t>DOCTOR BLADE 1.2X75X3600 MM RSE -BRONZE</t>
  </si>
  <si>
    <t>GER0014</t>
  </si>
  <si>
    <t>1/2" PVC TAP'S</t>
  </si>
  <si>
    <t>GER0015</t>
  </si>
  <si>
    <t>1/2" TEFLON TAPE</t>
  </si>
  <si>
    <t>GER0016</t>
  </si>
  <si>
    <t>1" TEFLON TAPE</t>
  </si>
  <si>
    <t>PNEUMATIC SHAFT 100 X 50 MM</t>
  </si>
  <si>
    <t>PNEUMATIC BAREL 100 X 50 MM</t>
  </si>
  <si>
    <t>PSH001</t>
  </si>
  <si>
    <t>PBR001</t>
  </si>
  <si>
    <t>PNEUMATIC CYLENDER 100 X 850 MM</t>
  </si>
  <si>
    <t>PCY001</t>
  </si>
  <si>
    <t>PCY002</t>
  </si>
  <si>
    <t>PNEUMATIC CYLENDER 80 X 1050 MM</t>
  </si>
  <si>
    <t>MSSBE013</t>
  </si>
  <si>
    <t>S.S 14" BEND</t>
  </si>
  <si>
    <t>MSSR0009</t>
  </si>
  <si>
    <t>MSSR0010</t>
  </si>
  <si>
    <t>MSSR0011</t>
  </si>
  <si>
    <t>S.S 10" X 4" REDUCER</t>
  </si>
  <si>
    <t>S.S 12" X 3" REDUCER</t>
  </si>
  <si>
    <t>S.S 14" X 4" REDUCER</t>
  </si>
  <si>
    <t>SG 350 E.P MOLY GREASE HIGH TEMP</t>
  </si>
  <si>
    <t>LUBRICANTING OIL CAN (REUSE)</t>
  </si>
  <si>
    <t>0.5" PISTON VALVES/ BELLOW SEAL GLOBE VALVE</t>
  </si>
  <si>
    <t>1" PISTION VALVES/BELLOW SEAL GLOBE VALVE</t>
  </si>
  <si>
    <t>S.S 2" X 1" REDUCER</t>
  </si>
  <si>
    <t>1" S.S SOCKET</t>
  </si>
  <si>
    <t>1/2" S.S SOCKET</t>
  </si>
  <si>
    <t>1 1/2" S.S SOCKET</t>
  </si>
  <si>
    <t>MSSS001</t>
  </si>
  <si>
    <t>MSSS002</t>
  </si>
  <si>
    <t>MSSS003</t>
  </si>
  <si>
    <t>MSSS004</t>
  </si>
  <si>
    <t>MSSHX001</t>
  </si>
  <si>
    <t>1" SS HEX NIPPLE</t>
  </si>
  <si>
    <t>MSSHX002</t>
  </si>
  <si>
    <t>1/2" SS HEX NIPPLE</t>
  </si>
  <si>
    <t>MSSHX003</t>
  </si>
  <si>
    <t>1 1/2" SS HEX NIPPLE</t>
  </si>
  <si>
    <t>MSSHX004</t>
  </si>
  <si>
    <t>MSSS005</t>
  </si>
  <si>
    <t>2" S.S SOCKET</t>
  </si>
  <si>
    <t>3/4" S.S SOCKET</t>
  </si>
  <si>
    <t>1/4" S.S SOCKET</t>
  </si>
  <si>
    <t>MSSS006</t>
  </si>
  <si>
    <t>3/8" S.S SOCKET</t>
  </si>
  <si>
    <t>MSPN002</t>
  </si>
  <si>
    <t>1/4" S.S NIPPLE</t>
  </si>
  <si>
    <t>3/8" S.S NIPPLE</t>
  </si>
  <si>
    <t>MSSHX005</t>
  </si>
  <si>
    <t>1/4" SS HEX NIPPLE</t>
  </si>
  <si>
    <t>3/4" SS HEX NIPPLE</t>
  </si>
  <si>
    <t xml:space="preserve">BLADE STOCK AS ON </t>
  </si>
  <si>
    <t xml:space="preserve">CHEMICAL STOCK AS ON </t>
  </si>
  <si>
    <t xml:space="preserve">GUAGES STOCK AS ON </t>
  </si>
  <si>
    <t>1/32 GAS CUTTER NOZZLE</t>
  </si>
  <si>
    <t>SR.</t>
  </si>
  <si>
    <t>PARTUCULERS</t>
  </si>
  <si>
    <t>RATE PER KG</t>
  </si>
  <si>
    <t>OPENING STOCK (KGS)</t>
  </si>
  <si>
    <t>CHSTP001</t>
  </si>
  <si>
    <t>CHPAS003</t>
  </si>
  <si>
    <t>POLY ALUMINIUM CHLORIDE ( SOLID)</t>
  </si>
  <si>
    <t>CHSFS002</t>
  </si>
  <si>
    <t>SURFACE SIZE (700C)</t>
  </si>
  <si>
    <t>CHENL004</t>
  </si>
  <si>
    <t>ENZYME (L)</t>
  </si>
  <si>
    <t>CHSRA005</t>
  </si>
  <si>
    <t>RETENTION AID (2024)</t>
  </si>
  <si>
    <t>CHDEL007</t>
  </si>
  <si>
    <t>DEFOAMER (SE 100)</t>
  </si>
  <si>
    <t>CHCOA004</t>
  </si>
  <si>
    <t>COAGULANT (CL 200)</t>
  </si>
  <si>
    <t>CHSKR006</t>
  </si>
  <si>
    <t>KROFTA (303)</t>
  </si>
  <si>
    <t>CHBSU012</t>
  </si>
  <si>
    <t>BELT PRESS (SUCHEM - 638 )</t>
  </si>
  <si>
    <t>CHGYD008</t>
  </si>
  <si>
    <t>GOLDEN YELLOW DYE</t>
  </si>
  <si>
    <t>CHSBC013</t>
  </si>
  <si>
    <t>SE-BOND 102(CRACKING AGENT)</t>
  </si>
  <si>
    <t>3809 92 00</t>
  </si>
  <si>
    <t>CHPML010</t>
  </si>
  <si>
    <t>PROMASK 192</t>
  </si>
  <si>
    <t>CHPSL011</t>
  </si>
  <si>
    <t>CHPDL009</t>
  </si>
  <si>
    <t>PROSOLVE ADVANCE</t>
  </si>
  <si>
    <t>CHBPS014</t>
  </si>
  <si>
    <t>BLEACHING POWDER (S)</t>
  </si>
  <si>
    <t>CHHYP015</t>
  </si>
  <si>
    <t>SODIUM HYPO CHLORIDE [HYPO] (L)</t>
  </si>
  <si>
    <t>CHHCA016</t>
  </si>
  <si>
    <t>HCL [PULP MILL]</t>
  </si>
  <si>
    <t>HCL [BOILER]</t>
  </si>
  <si>
    <t>CHPHB017</t>
  </si>
  <si>
    <t>PH BOOSTER [3230] (L)</t>
  </si>
  <si>
    <t>CHASL018</t>
  </si>
  <si>
    <t>ANTI SCALEN [3220] (L)</t>
  </si>
  <si>
    <t>CHOXL019</t>
  </si>
  <si>
    <t>OXYGEN SCAVANGER [3210] (L)</t>
  </si>
  <si>
    <t>CHROL020</t>
  </si>
  <si>
    <t>RO ANTI SCALEN [3291 (L)</t>
  </si>
  <si>
    <t>CHCSF021</t>
  </si>
  <si>
    <t>CAUSTIC SODA FLAKES</t>
  </si>
  <si>
    <t>CHDEL022</t>
  </si>
  <si>
    <t>DESCALING [3250] (L)</t>
  </si>
  <si>
    <t>LHO0001</t>
  </si>
  <si>
    <t>LLOC001</t>
  </si>
  <si>
    <t xml:space="preserve">CLOTHING STOCKS AS ON </t>
  </si>
  <si>
    <t xml:space="preserve">TOP WIRE (20.250 X 3.65 M) SHALIMAR -48497, W&amp;F - </t>
  </si>
  <si>
    <t>BOTTOM WIRE (44.953 X 3.65)- (1.5 LAYER),W&amp;F -60216</t>
  </si>
  <si>
    <t>PRESS FELTS (14.1 X 3.5 M) 1650 GSM V3 (81.43 KGS) ,12579028</t>
  </si>
  <si>
    <t>DRYER SCREEN (29 X 3.5 M) -SHALIMAR-18164</t>
  </si>
  <si>
    <t>DRYER SCREEN (32 X 3.5 M) SHALIMAR-18163 ,18165</t>
  </si>
  <si>
    <t>1 ST UNIRUN GROUP VOITH  41 X 3.5 (12595227)</t>
  </si>
  <si>
    <t>NEW PRESS FELTS TOP ( 15.1 X 3.5 M) 1450 , WT: 79.28 (12559803, 9026)</t>
  </si>
  <si>
    <t>NEW PRESS FELTS BOTTOM( 15.1 X 3.5 M) 1650 ,voith 12507946, (89.55) 12759027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</si>
</sst>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26"/>
      <color rgb="FF000000"/>
      <name val="Segoe UI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7"/>
      <color indexed="81"/>
      <name val="Tahoma"/>
      <family val="2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1" fillId="0" borderId="0" xfId="0" applyFont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9" fillId="0" borderId="1" xfId="0" applyFont="1" applyBorder="1" applyAlignment="1"/>
    <xf numFmtId="0" fontId="17" fillId="0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26" fillId="0" borderId="1" xfId="0" applyFont="1" applyBorder="1" applyAlignment="1">
      <alignment vertical="center"/>
    </xf>
    <xf numFmtId="0" fontId="26" fillId="0" borderId="0" xfId="0" applyFont="1" applyAlignment="1"/>
    <xf numFmtId="0" fontId="26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wrapText="1"/>
    </xf>
    <xf numFmtId="43" fontId="26" fillId="0" borderId="1" xfId="1" applyFont="1" applyBorder="1" applyAlignment="1">
      <alignment vertical="center"/>
    </xf>
    <xf numFmtId="0" fontId="26" fillId="0" borderId="0" xfId="0" applyFont="1" applyAlignment="1">
      <alignment vertical="center"/>
    </xf>
    <xf numFmtId="2" fontId="26" fillId="0" borderId="1" xfId="0" applyNumberFormat="1" applyFont="1" applyBorder="1" applyAlignment="1">
      <alignment vertical="center"/>
    </xf>
    <xf numFmtId="0" fontId="15" fillId="0" borderId="5" xfId="0" applyFont="1" applyBorder="1" applyAlignment="1"/>
    <xf numFmtId="0" fontId="1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/>
    <xf numFmtId="0" fontId="19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26" fillId="0" borderId="0" xfId="0" applyFont="1"/>
    <xf numFmtId="0" fontId="25" fillId="0" borderId="1" xfId="2" applyFont="1" applyFill="1" applyBorder="1" applyAlignment="1" applyProtection="1">
      <alignment horizontal="center" vertical="center"/>
    </xf>
    <xf numFmtId="0" fontId="25" fillId="0" borderId="1" xfId="2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 wrapText="1"/>
    </xf>
    <xf numFmtId="0" fontId="26" fillId="0" borderId="1" xfId="0" applyFont="1" applyBorder="1"/>
    <xf numFmtId="0" fontId="18" fillId="0" borderId="5" xfId="0" applyFont="1" applyBorder="1" applyAlignment="1">
      <alignment vertical="center"/>
    </xf>
    <xf numFmtId="0" fontId="19" fillId="2" borderId="1" xfId="0" applyFont="1" applyFill="1" applyBorder="1" applyAlignment="1">
      <alignment horizontal="left" vertical="center"/>
    </xf>
    <xf numFmtId="0" fontId="19" fillId="0" borderId="0" xfId="0" applyFont="1"/>
    <xf numFmtId="0" fontId="0" fillId="0" borderId="0" xfId="0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0" fontId="13" fillId="0" borderId="1" xfId="0" applyFont="1" applyBorder="1"/>
    <xf numFmtId="14" fontId="19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8" fillId="0" borderId="0" xfId="0" applyFont="1" applyAlignment="1"/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/>
    <xf numFmtId="0" fontId="29" fillId="0" borderId="1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3" fillId="0" borderId="0" xfId="0" applyFont="1"/>
    <xf numFmtId="0" fontId="31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center" vertical="center"/>
    </xf>
    <xf numFmtId="0" fontId="32" fillId="0" borderId="1" xfId="0" applyFont="1" applyBorder="1"/>
    <xf numFmtId="0" fontId="34" fillId="0" borderId="1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6" fillId="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7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39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3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40" fillId="0" borderId="1" xfId="0" applyFont="1" applyFill="1" applyBorder="1" applyAlignment="1">
      <alignment horizontal="center"/>
    </xf>
    <xf numFmtId="0" fontId="4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1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29" fillId="0" borderId="6" xfId="0" applyFont="1" applyFill="1" applyBorder="1" applyAlignment="1">
      <alignment horizontal="center"/>
    </xf>
    <xf numFmtId="0" fontId="28" fillId="0" borderId="6" xfId="0" applyFont="1" applyBorder="1" applyAlignment="1"/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2" xfId="0" applyFont="1" applyFill="1" applyBorder="1" applyAlignment="1">
      <alignment horizontal="center" vertical="center"/>
    </xf>
    <xf numFmtId="0" fontId="42" fillId="0" borderId="1" xfId="0" applyFont="1" applyFill="1" applyBorder="1" applyAlignment="1"/>
    <xf numFmtId="0" fontId="40" fillId="0" borderId="1" xfId="0" applyFont="1" applyFill="1" applyBorder="1" applyAlignment="1"/>
    <xf numFmtId="0" fontId="28" fillId="0" borderId="1" xfId="0" applyFont="1" applyBorder="1" applyAlignment="1">
      <alignment vertical="center"/>
    </xf>
    <xf numFmtId="0" fontId="0" fillId="0" borderId="1" xfId="0" applyFont="1" applyFill="1" applyBorder="1"/>
    <xf numFmtId="0" fontId="38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44" fillId="0" borderId="6" xfId="0" applyFont="1" applyFill="1" applyBorder="1" applyAlignment="1">
      <alignment horizontal="center" vertical="center"/>
    </xf>
    <xf numFmtId="0" fontId="45" fillId="0" borderId="6" xfId="0" applyFont="1" applyFill="1" applyBorder="1" applyAlignment="1"/>
    <xf numFmtId="0" fontId="45" fillId="0" borderId="6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7" fillId="0" borderId="1" xfId="0" applyFont="1" applyBorder="1"/>
    <xf numFmtId="0" fontId="47" fillId="0" borderId="1" xfId="0" applyFont="1" applyBorder="1" applyAlignment="1">
      <alignment horizontal="center"/>
    </xf>
    <xf numFmtId="0" fontId="48" fillId="0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/>
    <xf numFmtId="0" fontId="0" fillId="0" borderId="1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1" fillId="0" borderId="1" xfId="0" applyFont="1" applyBorder="1" applyAlignment="1">
      <alignment horizontal="left" vertical="top" indent="2"/>
    </xf>
    <xf numFmtId="0" fontId="51" fillId="0" borderId="0" xfId="0" applyFont="1" applyBorder="1" applyAlignment="1">
      <alignment horizontal="left" vertical="top" indent="2"/>
    </xf>
    <xf numFmtId="0" fontId="13" fillId="0" borderId="0" xfId="0" applyFont="1"/>
    <xf numFmtId="0" fontId="13" fillId="0" borderId="1" xfId="0" applyFont="1" applyBorder="1" applyAlignment="1">
      <alignment vertical="top"/>
    </xf>
    <xf numFmtId="0" fontId="52" fillId="0" borderId="1" xfId="0" applyFont="1" applyFill="1" applyBorder="1" applyAlignment="1">
      <alignment horizontal="center" vertical="center"/>
    </xf>
    <xf numFmtId="0" fontId="52" fillId="0" borderId="1" xfId="0" applyFont="1" applyFill="1" applyBorder="1" applyAlignment="1"/>
    <xf numFmtId="0" fontId="53" fillId="0" borderId="1" xfId="0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ont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wrapText="1"/>
    </xf>
    <xf numFmtId="0" fontId="25" fillId="2" borderId="12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7" fillId="0" borderId="0" xfId="0" applyFont="1"/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30" fillId="0" borderId="5" xfId="0" applyFont="1" applyBorder="1" applyAlignment="1">
      <alignment horizontal="center" vertical="center"/>
    </xf>
    <xf numFmtId="14" fontId="30" fillId="0" borderId="5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center"/>
    </xf>
    <xf numFmtId="14" fontId="28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14" fontId="23" fillId="0" borderId="5" xfId="0" applyNumberFormat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14" fontId="33" fillId="0" borderId="5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14" fontId="38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8" fillId="0" borderId="0" xfId="0" applyFont="1" applyFill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38" fillId="0" borderId="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1"/>
  <sheetViews>
    <sheetView topLeftCell="A52" workbookViewId="0">
      <selection activeCell="E52" sqref="E52:G75"/>
    </sheetView>
  </sheetViews>
  <sheetFormatPr defaultColWidth="14.7109375" defaultRowHeight="15"/>
  <cols>
    <col min="1" max="1" width="7.42578125" style="1" bestFit="1" customWidth="1"/>
    <col min="2" max="2" width="28.140625" style="1" customWidth="1"/>
    <col min="3" max="3" width="12.42578125" style="1" bestFit="1" customWidth="1"/>
    <col min="4" max="4" width="0.7109375" style="1" customWidth="1"/>
    <col min="5" max="5" width="6.140625" style="1" customWidth="1"/>
    <col min="6" max="6" width="30" style="1" bestFit="1" customWidth="1"/>
    <col min="7" max="7" width="12.42578125" style="1" bestFit="1" customWidth="1"/>
    <col min="8" max="16384" width="14.7109375" style="1"/>
  </cols>
  <sheetData>
    <row r="1" spans="1:7" ht="15.7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>
      <c r="A2" s="6">
        <v>1</v>
      </c>
      <c r="B2" s="4" t="s">
        <v>411</v>
      </c>
      <c r="C2" s="5">
        <v>4</v>
      </c>
      <c r="E2" s="6">
        <v>50</v>
      </c>
      <c r="F2" s="4" t="s">
        <v>41</v>
      </c>
      <c r="G2" s="5">
        <v>1</v>
      </c>
    </row>
    <row r="3" spans="1:7">
      <c r="A3" s="6">
        <v>2</v>
      </c>
      <c r="B3" s="4" t="s">
        <v>3</v>
      </c>
      <c r="C3" s="5">
        <v>4</v>
      </c>
      <c r="E3" s="6">
        <v>51</v>
      </c>
      <c r="F3" s="4" t="s">
        <v>42</v>
      </c>
      <c r="G3" s="5">
        <v>1</v>
      </c>
    </row>
    <row r="4" spans="1:7">
      <c r="A4" s="6">
        <v>3</v>
      </c>
      <c r="B4" s="4" t="s">
        <v>4</v>
      </c>
      <c r="C4" s="5">
        <v>11</v>
      </c>
      <c r="E4" s="6">
        <v>52</v>
      </c>
      <c r="F4" s="4" t="s">
        <v>43</v>
      </c>
      <c r="G4" s="5">
        <v>5</v>
      </c>
    </row>
    <row r="5" spans="1:7">
      <c r="A5" s="6">
        <v>4</v>
      </c>
      <c r="B5" s="4" t="s">
        <v>5</v>
      </c>
      <c r="C5" s="5">
        <v>1</v>
      </c>
      <c r="E5" s="6">
        <v>53</v>
      </c>
      <c r="F5" s="4" t="s">
        <v>44</v>
      </c>
      <c r="G5" s="5">
        <v>1</v>
      </c>
    </row>
    <row r="6" spans="1:7">
      <c r="A6" s="6">
        <v>5</v>
      </c>
      <c r="B6" s="4">
        <v>6012</v>
      </c>
      <c r="C6" s="5">
        <v>4</v>
      </c>
      <c r="E6" s="6">
        <v>54</v>
      </c>
      <c r="F6" s="4" t="s">
        <v>45</v>
      </c>
      <c r="G6" s="5">
        <v>1</v>
      </c>
    </row>
    <row r="7" spans="1:7">
      <c r="A7" s="6">
        <v>6</v>
      </c>
      <c r="B7" s="4" t="s">
        <v>6</v>
      </c>
      <c r="C7" s="5">
        <v>2</v>
      </c>
      <c r="E7" s="6">
        <v>55</v>
      </c>
      <c r="F7" s="4" t="s">
        <v>46</v>
      </c>
      <c r="G7" s="5">
        <v>3</v>
      </c>
    </row>
    <row r="8" spans="1:7">
      <c r="A8" s="6">
        <v>7</v>
      </c>
      <c r="B8" s="4" t="s">
        <v>7</v>
      </c>
      <c r="C8" s="5">
        <v>1</v>
      </c>
      <c r="E8" s="6">
        <v>56</v>
      </c>
      <c r="F8" s="4" t="s">
        <v>47</v>
      </c>
      <c r="G8" s="5">
        <v>4</v>
      </c>
    </row>
    <row r="9" spans="1:7">
      <c r="A9" s="6">
        <v>8</v>
      </c>
      <c r="B9" s="4" t="s">
        <v>8</v>
      </c>
      <c r="C9" s="5">
        <v>7</v>
      </c>
      <c r="E9" s="6">
        <v>57</v>
      </c>
      <c r="F9" s="4" t="s">
        <v>48</v>
      </c>
      <c r="G9" s="5">
        <v>1</v>
      </c>
    </row>
    <row r="10" spans="1:7">
      <c r="A10" s="6">
        <v>9</v>
      </c>
      <c r="B10" s="4" t="s">
        <v>9</v>
      </c>
      <c r="C10" s="5">
        <v>1</v>
      </c>
      <c r="E10" s="6">
        <v>58</v>
      </c>
      <c r="F10" s="4" t="s">
        <v>49</v>
      </c>
      <c r="G10" s="5">
        <v>9</v>
      </c>
    </row>
    <row r="11" spans="1:7">
      <c r="A11" s="6">
        <v>10</v>
      </c>
      <c r="B11" s="4" t="s">
        <v>10</v>
      </c>
      <c r="C11" s="5">
        <v>0</v>
      </c>
      <c r="E11" s="6">
        <v>59</v>
      </c>
      <c r="F11" s="4" t="s">
        <v>50</v>
      </c>
      <c r="G11" s="5">
        <v>4</v>
      </c>
    </row>
    <row r="12" spans="1:7">
      <c r="A12" s="6">
        <v>11</v>
      </c>
      <c r="B12" s="4" t="s">
        <v>11</v>
      </c>
      <c r="C12" s="5">
        <v>8</v>
      </c>
      <c r="E12" s="6">
        <v>60</v>
      </c>
      <c r="F12" s="4" t="s">
        <v>51</v>
      </c>
      <c r="G12" s="5">
        <v>0</v>
      </c>
    </row>
    <row r="13" spans="1:7">
      <c r="A13" s="6">
        <v>12</v>
      </c>
      <c r="B13" s="4" t="s">
        <v>12</v>
      </c>
      <c r="C13" s="5">
        <v>6</v>
      </c>
      <c r="E13" s="6">
        <v>61</v>
      </c>
      <c r="F13" s="4" t="s">
        <v>52</v>
      </c>
      <c r="G13" s="5">
        <v>0</v>
      </c>
    </row>
    <row r="14" spans="1:7">
      <c r="A14" s="6">
        <v>13</v>
      </c>
      <c r="B14" s="4">
        <v>6210</v>
      </c>
      <c r="C14" s="5">
        <v>5</v>
      </c>
      <c r="E14" s="6">
        <v>62</v>
      </c>
      <c r="F14" s="4" t="s">
        <v>53</v>
      </c>
      <c r="G14" s="5">
        <v>0</v>
      </c>
    </row>
    <row r="15" spans="1:7">
      <c r="A15" s="6">
        <v>14</v>
      </c>
      <c r="B15" s="4" t="s">
        <v>13</v>
      </c>
      <c r="C15" s="5">
        <v>2</v>
      </c>
      <c r="E15" s="6">
        <v>63</v>
      </c>
      <c r="F15" s="4" t="s">
        <v>54</v>
      </c>
      <c r="G15" s="5">
        <v>8</v>
      </c>
    </row>
    <row r="16" spans="1:7">
      <c r="A16" s="6">
        <v>15</v>
      </c>
      <c r="B16" s="4" t="s">
        <v>14</v>
      </c>
      <c r="C16" s="5">
        <v>2</v>
      </c>
      <c r="E16" s="6">
        <v>64</v>
      </c>
      <c r="F16" s="4" t="s">
        <v>55</v>
      </c>
      <c r="G16" s="5">
        <v>3</v>
      </c>
    </row>
    <row r="17" spans="1:7">
      <c r="A17" s="6">
        <v>16</v>
      </c>
      <c r="B17" s="4" t="s">
        <v>15</v>
      </c>
      <c r="C17" s="5">
        <v>2</v>
      </c>
      <c r="E17" s="6">
        <v>65</v>
      </c>
      <c r="F17" s="4" t="s">
        <v>56</v>
      </c>
      <c r="G17" s="5">
        <v>3</v>
      </c>
    </row>
    <row r="18" spans="1:7">
      <c r="A18" s="6">
        <v>17</v>
      </c>
      <c r="B18" s="4" t="s">
        <v>16</v>
      </c>
      <c r="C18" s="5">
        <v>3</v>
      </c>
      <c r="E18" s="6">
        <v>66</v>
      </c>
      <c r="F18" s="4" t="s">
        <v>57</v>
      </c>
      <c r="G18" s="5">
        <v>6</v>
      </c>
    </row>
    <row r="19" spans="1:7">
      <c r="A19" s="6">
        <v>18</v>
      </c>
      <c r="B19" s="4" t="s">
        <v>17</v>
      </c>
      <c r="C19" s="5">
        <v>6</v>
      </c>
      <c r="E19" s="6">
        <v>67</v>
      </c>
      <c r="F19" s="4">
        <v>3309</v>
      </c>
      <c r="G19" s="5">
        <v>4</v>
      </c>
    </row>
    <row r="20" spans="1:7">
      <c r="A20" s="6">
        <v>19</v>
      </c>
      <c r="B20" s="4" t="s">
        <v>214</v>
      </c>
      <c r="C20" s="5">
        <v>11</v>
      </c>
      <c r="E20" s="6">
        <v>68</v>
      </c>
      <c r="F20" s="4" t="s">
        <v>412</v>
      </c>
      <c r="G20" s="5">
        <v>6</v>
      </c>
    </row>
    <row r="21" spans="1:7">
      <c r="A21" s="6">
        <v>20</v>
      </c>
      <c r="B21" s="4" t="s">
        <v>18</v>
      </c>
      <c r="C21" s="5">
        <v>7</v>
      </c>
      <c r="E21" s="6">
        <v>69</v>
      </c>
      <c r="F21" s="4" t="s">
        <v>58</v>
      </c>
      <c r="G21" s="5">
        <v>2</v>
      </c>
    </row>
    <row r="22" spans="1:7">
      <c r="A22" s="6">
        <v>21</v>
      </c>
      <c r="B22" s="4" t="s">
        <v>215</v>
      </c>
      <c r="C22" s="5">
        <v>7</v>
      </c>
      <c r="E22" s="6">
        <v>70</v>
      </c>
      <c r="F22" s="4" t="s">
        <v>59</v>
      </c>
      <c r="G22" s="5">
        <v>4</v>
      </c>
    </row>
    <row r="23" spans="1:7">
      <c r="A23" s="6">
        <v>22</v>
      </c>
      <c r="B23" s="4" t="s">
        <v>385</v>
      </c>
      <c r="C23" s="5">
        <v>9</v>
      </c>
      <c r="E23" s="6"/>
      <c r="F23" s="4"/>
      <c r="G23" s="5"/>
    </row>
    <row r="24" spans="1:7">
      <c r="A24" s="6">
        <v>23</v>
      </c>
      <c r="B24" s="4" t="s">
        <v>19</v>
      </c>
      <c r="C24" s="5">
        <v>6</v>
      </c>
      <c r="E24" s="6">
        <v>72</v>
      </c>
      <c r="F24" s="4" t="s">
        <v>60</v>
      </c>
      <c r="G24" s="5">
        <v>10</v>
      </c>
    </row>
    <row r="25" spans="1:7">
      <c r="A25" s="6">
        <v>24</v>
      </c>
      <c r="B25" s="4" t="s">
        <v>20</v>
      </c>
      <c r="C25" s="5">
        <v>1</v>
      </c>
      <c r="E25" s="6"/>
      <c r="F25" s="4" t="s">
        <v>61</v>
      </c>
      <c r="G25" s="5">
        <v>3</v>
      </c>
    </row>
    <row r="26" spans="1:7">
      <c r="A26" s="6">
        <v>25</v>
      </c>
      <c r="B26" s="4" t="s">
        <v>21</v>
      </c>
      <c r="C26" s="5">
        <v>0</v>
      </c>
      <c r="E26" s="6">
        <v>74</v>
      </c>
      <c r="F26" s="4" t="s">
        <v>62</v>
      </c>
      <c r="G26" s="5">
        <v>1</v>
      </c>
    </row>
    <row r="27" spans="1:7">
      <c r="A27" s="6"/>
      <c r="B27" s="8"/>
      <c r="C27" s="5"/>
      <c r="E27" s="6">
        <v>75</v>
      </c>
      <c r="F27" s="4" t="s">
        <v>63</v>
      </c>
      <c r="G27" s="5">
        <v>1</v>
      </c>
    </row>
    <row r="28" spans="1:7">
      <c r="A28" s="6">
        <v>27</v>
      </c>
      <c r="B28" s="8" t="s">
        <v>22</v>
      </c>
      <c r="C28" s="5">
        <v>6</v>
      </c>
      <c r="E28" s="6">
        <v>76</v>
      </c>
      <c r="F28" s="4" t="s">
        <v>64</v>
      </c>
      <c r="G28" s="5">
        <v>7</v>
      </c>
    </row>
    <row r="29" spans="1:7">
      <c r="A29" s="6">
        <v>28</v>
      </c>
      <c r="B29" s="8" t="s">
        <v>23</v>
      </c>
      <c r="C29" s="5">
        <v>2</v>
      </c>
      <c r="E29" s="6">
        <v>77</v>
      </c>
      <c r="F29" s="4" t="s">
        <v>65</v>
      </c>
      <c r="G29" s="5">
        <v>10</v>
      </c>
    </row>
    <row r="30" spans="1:7">
      <c r="A30" s="6">
        <v>29</v>
      </c>
      <c r="B30" s="8" t="s">
        <v>24</v>
      </c>
      <c r="C30" s="5">
        <v>3</v>
      </c>
      <c r="E30" s="6">
        <v>78</v>
      </c>
      <c r="F30" s="4" t="s">
        <v>413</v>
      </c>
      <c r="G30" s="5">
        <v>1</v>
      </c>
    </row>
    <row r="31" spans="1:7">
      <c r="A31" s="6">
        <v>30</v>
      </c>
      <c r="B31" s="8" t="s">
        <v>25</v>
      </c>
      <c r="C31" s="5">
        <v>8</v>
      </c>
      <c r="E31" s="6">
        <v>79</v>
      </c>
      <c r="F31" s="4">
        <v>6208</v>
      </c>
      <c r="G31" s="5">
        <v>6</v>
      </c>
    </row>
    <row r="32" spans="1:7">
      <c r="A32" s="6">
        <v>31</v>
      </c>
      <c r="B32" s="4" t="s">
        <v>26</v>
      </c>
      <c r="C32" s="5">
        <v>3</v>
      </c>
      <c r="E32" s="6">
        <v>80</v>
      </c>
      <c r="F32" s="4" t="s">
        <v>66</v>
      </c>
      <c r="G32" s="5">
        <v>3</v>
      </c>
    </row>
    <row r="33" spans="1:7">
      <c r="A33" s="6">
        <v>32</v>
      </c>
      <c r="B33" s="4">
        <v>6405</v>
      </c>
      <c r="C33" s="5">
        <v>1</v>
      </c>
      <c r="E33" s="6">
        <v>81</v>
      </c>
      <c r="F33" s="4" t="s">
        <v>67</v>
      </c>
      <c r="G33" s="5">
        <v>1</v>
      </c>
    </row>
    <row r="34" spans="1:7">
      <c r="A34" s="6">
        <v>33</v>
      </c>
      <c r="B34" s="4">
        <v>6406</v>
      </c>
      <c r="C34" s="5">
        <v>2</v>
      </c>
      <c r="E34" s="6">
        <v>82</v>
      </c>
      <c r="F34" s="4" t="s">
        <v>68</v>
      </c>
      <c r="G34" s="5">
        <v>0</v>
      </c>
    </row>
    <row r="35" spans="1:7">
      <c r="A35" s="6">
        <v>34</v>
      </c>
      <c r="B35" s="4">
        <v>6407</v>
      </c>
      <c r="C35" s="5">
        <v>1</v>
      </c>
      <c r="E35" s="6">
        <v>83</v>
      </c>
      <c r="F35" s="4" t="s">
        <v>69</v>
      </c>
      <c r="G35" s="5">
        <v>6</v>
      </c>
    </row>
    <row r="36" spans="1:7">
      <c r="A36" s="6">
        <v>35</v>
      </c>
      <c r="B36" s="4" t="s">
        <v>27</v>
      </c>
      <c r="C36" s="5">
        <v>0</v>
      </c>
      <c r="E36" s="6">
        <v>84</v>
      </c>
      <c r="F36" s="4" t="s">
        <v>70</v>
      </c>
      <c r="G36" s="5">
        <v>0</v>
      </c>
    </row>
    <row r="37" spans="1:7">
      <c r="A37" s="6">
        <v>36</v>
      </c>
      <c r="B37" s="4" t="s">
        <v>28</v>
      </c>
      <c r="C37" s="5">
        <v>3</v>
      </c>
      <c r="E37" s="6">
        <v>85</v>
      </c>
      <c r="F37" s="4" t="s">
        <v>71</v>
      </c>
      <c r="G37" s="5">
        <v>3</v>
      </c>
    </row>
    <row r="38" spans="1:7">
      <c r="A38" s="6">
        <v>37</v>
      </c>
      <c r="B38" s="4" t="s">
        <v>29</v>
      </c>
      <c r="C38" s="5">
        <v>0</v>
      </c>
      <c r="E38" s="6">
        <v>86</v>
      </c>
      <c r="F38" s="4" t="s">
        <v>72</v>
      </c>
      <c r="G38" s="5">
        <v>2</v>
      </c>
    </row>
    <row r="39" spans="1:7">
      <c r="A39" s="6">
        <v>38</v>
      </c>
      <c r="B39" s="4" t="s">
        <v>30</v>
      </c>
      <c r="C39" s="5">
        <v>2</v>
      </c>
      <c r="E39" s="6">
        <v>87</v>
      </c>
      <c r="F39" s="4" t="s">
        <v>73</v>
      </c>
      <c r="G39" s="5">
        <v>3</v>
      </c>
    </row>
    <row r="40" spans="1:7">
      <c r="A40" s="6">
        <v>39</v>
      </c>
      <c r="B40" s="8" t="s">
        <v>31</v>
      </c>
      <c r="C40" s="5">
        <v>7</v>
      </c>
      <c r="E40" s="6">
        <v>88</v>
      </c>
      <c r="F40" s="4" t="s">
        <v>74</v>
      </c>
      <c r="G40" s="5">
        <v>2</v>
      </c>
    </row>
    <row r="41" spans="1:7">
      <c r="A41" s="6">
        <v>40</v>
      </c>
      <c r="B41" s="4" t="s">
        <v>32</v>
      </c>
      <c r="C41" s="5">
        <v>2</v>
      </c>
      <c r="E41" s="6">
        <v>89</v>
      </c>
      <c r="F41" s="4" t="s">
        <v>75</v>
      </c>
      <c r="G41" s="5">
        <v>2</v>
      </c>
    </row>
    <row r="42" spans="1:7">
      <c r="A42" s="6">
        <v>41</v>
      </c>
      <c r="B42" s="4" t="s">
        <v>33</v>
      </c>
      <c r="C42" s="5">
        <v>6</v>
      </c>
      <c r="E42" s="6">
        <v>90</v>
      </c>
      <c r="F42" s="4" t="s">
        <v>76</v>
      </c>
      <c r="G42" s="5">
        <v>2</v>
      </c>
    </row>
    <row r="43" spans="1:7">
      <c r="A43" s="6">
        <v>42</v>
      </c>
      <c r="B43" s="4" t="s">
        <v>34</v>
      </c>
      <c r="C43" s="5">
        <v>2</v>
      </c>
      <c r="E43" s="6">
        <v>91</v>
      </c>
      <c r="F43" s="4" t="s">
        <v>77</v>
      </c>
      <c r="G43" s="5">
        <v>4</v>
      </c>
    </row>
    <row r="44" spans="1:7">
      <c r="A44" s="6">
        <v>43</v>
      </c>
      <c r="B44" s="4" t="s">
        <v>35</v>
      </c>
      <c r="C44" s="5">
        <v>3</v>
      </c>
      <c r="E44" s="6">
        <v>92</v>
      </c>
      <c r="F44" s="4" t="s">
        <v>78</v>
      </c>
      <c r="G44" s="5">
        <v>2</v>
      </c>
    </row>
    <row r="45" spans="1:7">
      <c r="A45" s="6">
        <v>44</v>
      </c>
      <c r="B45" s="4" t="s">
        <v>36</v>
      </c>
      <c r="C45" s="5">
        <v>4</v>
      </c>
      <c r="E45" s="6">
        <v>93</v>
      </c>
      <c r="F45" s="4" t="s">
        <v>79</v>
      </c>
      <c r="G45" s="5">
        <v>1</v>
      </c>
    </row>
    <row r="46" spans="1:7">
      <c r="A46" s="6">
        <v>45</v>
      </c>
      <c r="B46" s="4" t="s">
        <v>37</v>
      </c>
      <c r="C46" s="5">
        <v>12</v>
      </c>
      <c r="E46" s="6">
        <v>94</v>
      </c>
      <c r="F46" s="4" t="s">
        <v>80</v>
      </c>
      <c r="G46" s="5">
        <v>1</v>
      </c>
    </row>
    <row r="47" spans="1:7">
      <c r="A47" s="6">
        <v>46</v>
      </c>
      <c r="B47" s="4">
        <v>31316</v>
      </c>
      <c r="C47" s="5">
        <v>3</v>
      </c>
      <c r="E47" s="6">
        <v>95</v>
      </c>
      <c r="F47" s="4" t="s">
        <v>81</v>
      </c>
      <c r="G47" s="5">
        <v>3</v>
      </c>
    </row>
    <row r="48" spans="1:7">
      <c r="A48" s="6">
        <v>47</v>
      </c>
      <c r="B48" s="4" t="s">
        <v>38</v>
      </c>
      <c r="C48" s="5">
        <v>7</v>
      </c>
      <c r="E48" s="6">
        <v>96</v>
      </c>
      <c r="F48" s="4" t="s">
        <v>82</v>
      </c>
      <c r="G48" s="5">
        <v>1</v>
      </c>
    </row>
    <row r="49" spans="1:7">
      <c r="A49" s="6">
        <v>48</v>
      </c>
      <c r="B49" s="4" t="s">
        <v>39</v>
      </c>
      <c r="C49" s="5">
        <v>0</v>
      </c>
      <c r="E49" s="6">
        <v>97</v>
      </c>
      <c r="F49" s="4" t="s">
        <v>83</v>
      </c>
      <c r="G49" s="5">
        <v>3</v>
      </c>
    </row>
    <row r="50" spans="1:7">
      <c r="A50" s="6">
        <v>49</v>
      </c>
      <c r="B50" s="4" t="s">
        <v>40</v>
      </c>
      <c r="C50" s="5">
        <v>4</v>
      </c>
      <c r="E50" s="6">
        <v>98</v>
      </c>
      <c r="F50" s="4" t="s">
        <v>84</v>
      </c>
      <c r="G50" s="5">
        <v>3</v>
      </c>
    </row>
    <row r="51" spans="1:7" ht="15.75">
      <c r="A51" s="2" t="s">
        <v>0</v>
      </c>
      <c r="B51" s="2" t="s">
        <v>1</v>
      </c>
      <c r="C51" s="2" t="s">
        <v>2</v>
      </c>
      <c r="E51" s="2" t="s">
        <v>0</v>
      </c>
      <c r="F51" s="2" t="s">
        <v>1</v>
      </c>
      <c r="G51" s="2" t="s">
        <v>2</v>
      </c>
    </row>
    <row r="52" spans="1:7">
      <c r="A52" s="6">
        <v>99</v>
      </c>
      <c r="B52" s="4" t="s">
        <v>85</v>
      </c>
      <c r="C52" s="5">
        <v>1</v>
      </c>
      <c r="E52" s="6">
        <v>149</v>
      </c>
      <c r="F52" s="4" t="s">
        <v>130</v>
      </c>
      <c r="G52" s="5">
        <v>1</v>
      </c>
    </row>
    <row r="53" spans="1:7">
      <c r="A53" s="6">
        <v>100</v>
      </c>
      <c r="B53" s="4" t="s">
        <v>86</v>
      </c>
      <c r="C53" s="5">
        <v>3</v>
      </c>
      <c r="E53" s="6">
        <v>150</v>
      </c>
      <c r="F53" s="4" t="s">
        <v>131</v>
      </c>
      <c r="G53" s="5">
        <v>1</v>
      </c>
    </row>
    <row r="54" spans="1:7">
      <c r="A54" s="6">
        <v>101</v>
      </c>
      <c r="B54" s="4">
        <v>51105</v>
      </c>
      <c r="C54" s="5">
        <v>5</v>
      </c>
      <c r="E54" s="6">
        <v>151</v>
      </c>
      <c r="F54" s="4" t="s">
        <v>132</v>
      </c>
      <c r="G54" s="5">
        <v>2</v>
      </c>
    </row>
    <row r="55" spans="1:7">
      <c r="A55" s="6">
        <v>102</v>
      </c>
      <c r="B55" s="4">
        <v>51211</v>
      </c>
      <c r="C55" s="5">
        <v>1</v>
      </c>
      <c r="E55" s="6">
        <v>152</v>
      </c>
      <c r="F55" s="4" t="s">
        <v>133</v>
      </c>
      <c r="G55" s="5">
        <v>2</v>
      </c>
    </row>
    <row r="56" spans="1:7">
      <c r="A56" s="6">
        <v>103</v>
      </c>
      <c r="B56" s="4">
        <v>51212</v>
      </c>
      <c r="C56" s="5">
        <v>8</v>
      </c>
      <c r="E56" s="6">
        <v>153</v>
      </c>
      <c r="F56" s="4" t="s">
        <v>134</v>
      </c>
      <c r="G56" s="5">
        <v>2</v>
      </c>
    </row>
    <row r="57" spans="1:7">
      <c r="A57" s="6">
        <v>104</v>
      </c>
      <c r="B57" s="4" t="s">
        <v>87</v>
      </c>
      <c r="C57" s="5">
        <v>8</v>
      </c>
      <c r="E57" s="6">
        <v>154</v>
      </c>
      <c r="F57" s="4" t="s">
        <v>135</v>
      </c>
      <c r="G57" s="5">
        <v>0</v>
      </c>
    </row>
    <row r="58" spans="1:7">
      <c r="A58" s="6">
        <v>105</v>
      </c>
      <c r="B58" s="4" t="s">
        <v>88</v>
      </c>
      <c r="C58" s="5">
        <v>1</v>
      </c>
      <c r="E58" s="6">
        <v>155</v>
      </c>
      <c r="F58" s="4" t="s">
        <v>136</v>
      </c>
      <c r="G58" s="5">
        <v>2</v>
      </c>
    </row>
    <row r="59" spans="1:7">
      <c r="A59" s="6">
        <v>106</v>
      </c>
      <c r="B59" s="4" t="s">
        <v>89</v>
      </c>
      <c r="C59" s="5">
        <v>3</v>
      </c>
      <c r="E59" s="6">
        <v>156</v>
      </c>
      <c r="F59" s="4" t="s">
        <v>137</v>
      </c>
      <c r="G59" s="5">
        <v>0</v>
      </c>
    </row>
    <row r="60" spans="1:7">
      <c r="A60" s="6">
        <v>107</v>
      </c>
      <c r="B60" s="4" t="s">
        <v>90</v>
      </c>
      <c r="C60" s="5">
        <v>2</v>
      </c>
      <c r="E60" s="6">
        <v>157</v>
      </c>
      <c r="F60" s="4" t="s">
        <v>138</v>
      </c>
      <c r="G60" s="5">
        <v>0</v>
      </c>
    </row>
    <row r="61" spans="1:7">
      <c r="A61" s="6">
        <v>108</v>
      </c>
      <c r="B61" s="4" t="s">
        <v>91</v>
      </c>
      <c r="C61" s="5">
        <v>0</v>
      </c>
      <c r="E61" s="6">
        <v>158</v>
      </c>
      <c r="F61" s="4" t="s">
        <v>139</v>
      </c>
      <c r="G61" s="5">
        <v>11</v>
      </c>
    </row>
    <row r="62" spans="1:7">
      <c r="A62" s="6">
        <v>109</v>
      </c>
      <c r="B62" s="4" t="s">
        <v>92</v>
      </c>
      <c r="C62" s="5">
        <v>0</v>
      </c>
      <c r="E62" s="6">
        <v>159</v>
      </c>
      <c r="F62" s="4" t="s">
        <v>140</v>
      </c>
      <c r="G62" s="5">
        <v>3</v>
      </c>
    </row>
    <row r="63" spans="1:7">
      <c r="A63" s="6">
        <v>110</v>
      </c>
      <c r="B63" s="4" t="s">
        <v>93</v>
      </c>
      <c r="C63" s="5">
        <v>1</v>
      </c>
      <c r="E63" s="6">
        <v>160</v>
      </c>
      <c r="F63" s="4" t="s">
        <v>141</v>
      </c>
      <c r="G63" s="5">
        <v>5</v>
      </c>
    </row>
    <row r="64" spans="1:7">
      <c r="A64" s="6">
        <v>111</v>
      </c>
      <c r="B64" s="4" t="s">
        <v>94</v>
      </c>
      <c r="C64" s="5">
        <v>0</v>
      </c>
      <c r="E64" s="6">
        <v>161</v>
      </c>
      <c r="F64" s="4" t="s">
        <v>142</v>
      </c>
      <c r="G64" s="5">
        <v>2</v>
      </c>
    </row>
    <row r="65" spans="1:7">
      <c r="A65" s="6">
        <v>112</v>
      </c>
      <c r="B65" s="4" t="s">
        <v>95</v>
      </c>
      <c r="C65" s="5">
        <v>2</v>
      </c>
      <c r="E65" s="6">
        <v>162</v>
      </c>
      <c r="F65" s="4" t="s">
        <v>143</v>
      </c>
      <c r="G65" s="5">
        <v>0</v>
      </c>
    </row>
    <row r="66" spans="1:7">
      <c r="A66" s="6">
        <v>113</v>
      </c>
      <c r="B66" s="4" t="s">
        <v>96</v>
      </c>
      <c r="C66" s="5">
        <v>4</v>
      </c>
      <c r="E66" s="6">
        <v>163</v>
      </c>
      <c r="F66" s="4" t="s">
        <v>144</v>
      </c>
      <c r="G66" s="5">
        <v>2</v>
      </c>
    </row>
    <row r="67" spans="1:7">
      <c r="A67" s="6">
        <v>114</v>
      </c>
      <c r="B67" s="4" t="s">
        <v>97</v>
      </c>
      <c r="C67" s="5">
        <v>5</v>
      </c>
      <c r="E67" s="6">
        <v>164</v>
      </c>
      <c r="F67" s="4" t="s">
        <v>145</v>
      </c>
      <c r="G67" s="5">
        <v>2</v>
      </c>
    </row>
    <row r="68" spans="1:7">
      <c r="A68" s="6">
        <v>115</v>
      </c>
      <c r="B68" s="4" t="s">
        <v>98</v>
      </c>
      <c r="C68" s="5">
        <v>2</v>
      </c>
      <c r="E68" s="6">
        <v>165</v>
      </c>
      <c r="F68" s="4" t="s">
        <v>146</v>
      </c>
      <c r="G68" s="5">
        <v>1</v>
      </c>
    </row>
    <row r="69" spans="1:7">
      <c r="A69" s="6">
        <v>116</v>
      </c>
      <c r="B69" s="4" t="s">
        <v>99</v>
      </c>
      <c r="C69" s="5">
        <v>10</v>
      </c>
      <c r="E69" s="6">
        <v>166</v>
      </c>
      <c r="F69" s="4" t="s">
        <v>147</v>
      </c>
      <c r="G69" s="5">
        <v>2</v>
      </c>
    </row>
    <row r="70" spans="1:7">
      <c r="A70" s="6">
        <v>117</v>
      </c>
      <c r="B70" s="4" t="s">
        <v>100</v>
      </c>
      <c r="C70" s="5">
        <v>2</v>
      </c>
      <c r="E70" s="6">
        <v>167</v>
      </c>
      <c r="F70" s="4" t="s">
        <v>148</v>
      </c>
      <c r="G70" s="5">
        <v>0</v>
      </c>
    </row>
    <row r="71" spans="1:7">
      <c r="A71" s="6">
        <v>118</v>
      </c>
      <c r="B71" s="4" t="s">
        <v>101</v>
      </c>
      <c r="C71" s="5">
        <v>3</v>
      </c>
      <c r="E71" s="6">
        <v>168</v>
      </c>
      <c r="F71" s="4" t="s">
        <v>415</v>
      </c>
      <c r="G71" s="5">
        <v>1</v>
      </c>
    </row>
    <row r="72" spans="1:7">
      <c r="A72" s="6">
        <v>119</v>
      </c>
      <c r="B72" s="4" t="s">
        <v>102</v>
      </c>
      <c r="C72" s="5">
        <v>2</v>
      </c>
      <c r="E72" s="6">
        <v>169</v>
      </c>
      <c r="F72" s="4" t="s">
        <v>408</v>
      </c>
      <c r="G72" s="5">
        <v>1</v>
      </c>
    </row>
    <row r="73" spans="1:7">
      <c r="A73" s="6">
        <v>120</v>
      </c>
      <c r="B73" s="4" t="s">
        <v>103</v>
      </c>
      <c r="C73" s="5">
        <v>0</v>
      </c>
      <c r="E73" s="6">
        <v>170</v>
      </c>
      <c r="F73" s="4" t="s">
        <v>409</v>
      </c>
      <c r="G73" s="5">
        <v>3</v>
      </c>
    </row>
    <row r="74" spans="1:7">
      <c r="A74" s="6">
        <v>121</v>
      </c>
      <c r="B74" s="7" t="s">
        <v>104</v>
      </c>
      <c r="C74" s="5">
        <v>3</v>
      </c>
      <c r="E74" s="6">
        <v>171</v>
      </c>
      <c r="F74" s="4" t="s">
        <v>410</v>
      </c>
      <c r="G74" s="5">
        <v>1</v>
      </c>
    </row>
    <row r="75" spans="1:7">
      <c r="A75" s="6">
        <v>122</v>
      </c>
      <c r="B75" s="7" t="s">
        <v>105</v>
      </c>
      <c r="C75" s="5">
        <v>1</v>
      </c>
      <c r="E75" s="6">
        <v>172</v>
      </c>
      <c r="F75" s="4" t="s">
        <v>416</v>
      </c>
      <c r="G75" s="5">
        <v>1</v>
      </c>
    </row>
    <row r="76" spans="1:7">
      <c r="A76" s="6">
        <v>123</v>
      </c>
      <c r="B76" s="7" t="s">
        <v>106</v>
      </c>
      <c r="C76" s="5">
        <v>5</v>
      </c>
    </row>
    <row r="77" spans="1:7">
      <c r="A77" s="6">
        <v>124</v>
      </c>
      <c r="B77" s="7" t="s">
        <v>107</v>
      </c>
      <c r="C77" s="5">
        <v>3</v>
      </c>
    </row>
    <row r="78" spans="1:7">
      <c r="A78" s="6">
        <v>125</v>
      </c>
      <c r="B78" s="7" t="s">
        <v>108</v>
      </c>
      <c r="C78" s="5">
        <v>1</v>
      </c>
    </row>
    <row r="79" spans="1:7">
      <c r="A79" s="6">
        <v>126</v>
      </c>
      <c r="B79" s="7" t="s">
        <v>109</v>
      </c>
      <c r="C79" s="5">
        <v>1</v>
      </c>
    </row>
    <row r="80" spans="1:7">
      <c r="A80" s="6">
        <v>127</v>
      </c>
      <c r="B80" s="4" t="s">
        <v>110</v>
      </c>
      <c r="C80" s="5">
        <v>1</v>
      </c>
    </row>
    <row r="81" spans="1:3">
      <c r="A81" s="6">
        <v>128</v>
      </c>
      <c r="B81" s="4" t="s">
        <v>111</v>
      </c>
      <c r="C81" s="5">
        <v>0</v>
      </c>
    </row>
    <row r="82" spans="1:3">
      <c r="A82" s="6">
        <v>129</v>
      </c>
      <c r="B82" s="4" t="s">
        <v>112</v>
      </c>
      <c r="C82" s="5">
        <v>0</v>
      </c>
    </row>
    <row r="83" spans="1:3">
      <c r="A83" s="6">
        <v>130</v>
      </c>
      <c r="B83" s="4" t="s">
        <v>118</v>
      </c>
      <c r="C83" s="5">
        <v>1</v>
      </c>
    </row>
    <row r="84" spans="1:3">
      <c r="A84" s="6">
        <v>131</v>
      </c>
      <c r="B84" s="4" t="s">
        <v>113</v>
      </c>
      <c r="C84" s="5">
        <v>1</v>
      </c>
    </row>
    <row r="85" spans="1:3">
      <c r="A85" s="6">
        <v>132</v>
      </c>
      <c r="B85" s="4" t="s">
        <v>114</v>
      </c>
      <c r="C85" s="5">
        <v>5</v>
      </c>
    </row>
    <row r="86" spans="1:3">
      <c r="A86" s="6">
        <v>133</v>
      </c>
      <c r="B86" s="4" t="s">
        <v>115</v>
      </c>
      <c r="C86" s="5">
        <v>0</v>
      </c>
    </row>
    <row r="87" spans="1:3">
      <c r="A87" s="6">
        <v>134</v>
      </c>
      <c r="B87" s="4" t="s">
        <v>116</v>
      </c>
      <c r="C87" s="5">
        <v>3</v>
      </c>
    </row>
    <row r="88" spans="1:3">
      <c r="A88" s="6">
        <v>135</v>
      </c>
      <c r="B88" s="4" t="s">
        <v>117</v>
      </c>
      <c r="C88" s="5">
        <v>5</v>
      </c>
    </row>
    <row r="89" spans="1:3">
      <c r="A89" s="6">
        <v>136</v>
      </c>
      <c r="B89" s="4" t="s">
        <v>118</v>
      </c>
      <c r="C89" s="5">
        <v>0</v>
      </c>
    </row>
    <row r="90" spans="1:3">
      <c r="A90" s="6">
        <v>137</v>
      </c>
      <c r="B90" s="4" t="s">
        <v>119</v>
      </c>
      <c r="C90" s="5">
        <v>4</v>
      </c>
    </row>
    <row r="91" spans="1:3">
      <c r="A91" s="6">
        <v>138</v>
      </c>
      <c r="B91" s="4" t="s">
        <v>120</v>
      </c>
      <c r="C91" s="5">
        <v>2</v>
      </c>
    </row>
    <row r="92" spans="1:3">
      <c r="A92" s="6">
        <v>139</v>
      </c>
      <c r="B92" s="4" t="s">
        <v>121</v>
      </c>
      <c r="C92" s="5">
        <v>4</v>
      </c>
    </row>
    <row r="93" spans="1:3">
      <c r="A93" s="6">
        <v>140</v>
      </c>
      <c r="B93" s="4" t="s">
        <v>122</v>
      </c>
      <c r="C93" s="5">
        <v>2</v>
      </c>
    </row>
    <row r="94" spans="1:3">
      <c r="A94" s="6">
        <v>141</v>
      </c>
      <c r="B94" s="4" t="s">
        <v>123</v>
      </c>
      <c r="C94" s="5">
        <v>4</v>
      </c>
    </row>
    <row r="95" spans="1:3">
      <c r="A95" s="6">
        <v>142</v>
      </c>
      <c r="B95" s="4" t="s">
        <v>414</v>
      </c>
      <c r="C95" s="5">
        <v>2</v>
      </c>
    </row>
    <row r="96" spans="1:3">
      <c r="A96" s="6">
        <v>143</v>
      </c>
      <c r="B96" s="4" t="s">
        <v>124</v>
      </c>
      <c r="C96" s="5">
        <v>1</v>
      </c>
    </row>
    <row r="97" spans="1:3">
      <c r="A97" s="6">
        <v>144</v>
      </c>
      <c r="B97" s="4" t="s">
        <v>125</v>
      </c>
      <c r="C97" s="5">
        <v>2</v>
      </c>
    </row>
    <row r="98" spans="1:3">
      <c r="A98" s="6">
        <v>145</v>
      </c>
      <c r="B98" s="4" t="s">
        <v>126</v>
      </c>
      <c r="C98" s="5">
        <v>2</v>
      </c>
    </row>
    <row r="99" spans="1:3">
      <c r="A99" s="6">
        <v>146</v>
      </c>
      <c r="B99" s="4" t="s">
        <v>127</v>
      </c>
      <c r="C99" s="5">
        <v>2</v>
      </c>
    </row>
    <row r="100" spans="1:3">
      <c r="A100" s="6">
        <v>147</v>
      </c>
      <c r="B100" s="4" t="s">
        <v>128</v>
      </c>
      <c r="C100" s="5">
        <v>7</v>
      </c>
    </row>
    <row r="101" spans="1:3">
      <c r="A101" s="6">
        <v>148</v>
      </c>
      <c r="B101" s="4" t="s">
        <v>129</v>
      </c>
      <c r="C101" s="5">
        <v>2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A1:D75"/>
  <sheetViews>
    <sheetView workbookViewId="0">
      <selection activeCell="B76" sqref="B76"/>
    </sheetView>
  </sheetViews>
  <sheetFormatPr defaultRowHeight="15"/>
  <cols>
    <col min="1" max="1" width="7.42578125" bestFit="1" customWidth="1"/>
    <col min="2" max="2" width="24.140625" customWidth="1"/>
    <col min="3" max="3" width="13.42578125" customWidth="1"/>
    <col min="4" max="4" width="7.85546875" customWidth="1"/>
  </cols>
  <sheetData>
    <row r="1" spans="1:4" ht="15.75">
      <c r="A1" s="2" t="s">
        <v>0</v>
      </c>
      <c r="B1" s="2" t="s">
        <v>213</v>
      </c>
      <c r="C1" s="3" t="s">
        <v>2</v>
      </c>
    </row>
    <row r="2" spans="1:4" ht="15.75">
      <c r="A2" s="4">
        <v>1</v>
      </c>
      <c r="B2" s="4" t="s">
        <v>149</v>
      </c>
      <c r="C2" s="5">
        <v>4</v>
      </c>
      <c r="D2" t="s">
        <v>237</v>
      </c>
    </row>
    <row r="3" spans="1:4" ht="15.75">
      <c r="A3" s="4">
        <v>2</v>
      </c>
      <c r="B3" s="4" t="s">
        <v>150</v>
      </c>
      <c r="C3" s="5">
        <v>2</v>
      </c>
      <c r="D3" t="s">
        <v>237</v>
      </c>
    </row>
    <row r="4" spans="1:4" ht="15.75" hidden="1">
      <c r="A4" s="4">
        <v>3</v>
      </c>
      <c r="B4" s="4" t="s">
        <v>151</v>
      </c>
      <c r="C4" s="5">
        <v>0</v>
      </c>
    </row>
    <row r="5" spans="1:4" ht="15.75">
      <c r="A5" s="4">
        <v>4</v>
      </c>
      <c r="B5" s="4" t="s">
        <v>152</v>
      </c>
      <c r="C5" s="5">
        <v>2</v>
      </c>
      <c r="D5" t="s">
        <v>237</v>
      </c>
    </row>
    <row r="6" spans="1:4" ht="15.75">
      <c r="A6" s="4">
        <v>5</v>
      </c>
      <c r="B6" s="4" t="s">
        <v>153</v>
      </c>
      <c r="C6" s="5">
        <v>4</v>
      </c>
      <c r="D6" t="s">
        <v>237</v>
      </c>
    </row>
    <row r="7" spans="1:4" ht="15.75" hidden="1">
      <c r="A7" s="4">
        <v>6</v>
      </c>
      <c r="B7" s="4" t="s">
        <v>154</v>
      </c>
      <c r="C7" s="5">
        <v>0</v>
      </c>
    </row>
    <row r="8" spans="1:4" ht="15.75">
      <c r="A8" s="4">
        <v>7</v>
      </c>
      <c r="B8" s="4" t="s">
        <v>155</v>
      </c>
      <c r="C8" s="5">
        <v>1</v>
      </c>
      <c r="D8" t="s">
        <v>237</v>
      </c>
    </row>
    <row r="9" spans="1:4" ht="15.75">
      <c r="A9" s="4">
        <v>8</v>
      </c>
      <c r="B9" s="4" t="s">
        <v>156</v>
      </c>
      <c r="C9" s="5">
        <v>10</v>
      </c>
      <c r="D9" t="s">
        <v>237</v>
      </c>
    </row>
    <row r="10" spans="1:4" ht="15.75" hidden="1">
      <c r="A10" s="4">
        <v>9</v>
      </c>
      <c r="B10" s="4" t="s">
        <v>157</v>
      </c>
      <c r="C10" s="5">
        <v>1</v>
      </c>
      <c r="D10" t="s">
        <v>344</v>
      </c>
    </row>
    <row r="11" spans="1:4" ht="15.75">
      <c r="A11" s="4">
        <v>10</v>
      </c>
      <c r="B11" s="4" t="s">
        <v>158</v>
      </c>
      <c r="C11" s="5">
        <v>2</v>
      </c>
      <c r="D11" t="s">
        <v>237</v>
      </c>
    </row>
    <row r="12" spans="1:4" ht="15.75">
      <c r="A12" s="4">
        <v>11</v>
      </c>
      <c r="B12" s="4" t="s">
        <v>159</v>
      </c>
      <c r="C12" s="5">
        <v>4</v>
      </c>
      <c r="D12" t="s">
        <v>237</v>
      </c>
    </row>
    <row r="13" spans="1:4" ht="15.75">
      <c r="A13" s="4">
        <v>12</v>
      </c>
      <c r="B13" s="4" t="s">
        <v>160</v>
      </c>
      <c r="C13" s="5">
        <v>2</v>
      </c>
      <c r="D13" t="s">
        <v>237</v>
      </c>
    </row>
    <row r="14" spans="1:4" ht="15.75">
      <c r="A14" s="4">
        <v>13</v>
      </c>
      <c r="B14" s="4" t="s">
        <v>161</v>
      </c>
      <c r="C14" s="5">
        <v>5</v>
      </c>
      <c r="D14" t="s">
        <v>237</v>
      </c>
    </row>
    <row r="15" spans="1:4" ht="15.75" hidden="1">
      <c r="A15" s="4">
        <v>14</v>
      </c>
      <c r="B15" s="4" t="s">
        <v>162</v>
      </c>
      <c r="C15" s="5">
        <v>6</v>
      </c>
      <c r="D15" t="s">
        <v>307</v>
      </c>
    </row>
    <row r="16" spans="1:4" ht="15.75">
      <c r="A16" s="4">
        <v>15</v>
      </c>
      <c r="B16" s="4" t="s">
        <v>163</v>
      </c>
      <c r="C16" s="5">
        <v>3</v>
      </c>
      <c r="D16" t="s">
        <v>237</v>
      </c>
    </row>
    <row r="17" spans="1:4" ht="15.75">
      <c r="A17" s="4">
        <v>16</v>
      </c>
      <c r="B17" s="4" t="s">
        <v>164</v>
      </c>
      <c r="C17" s="5">
        <v>3</v>
      </c>
      <c r="D17" t="s">
        <v>237</v>
      </c>
    </row>
    <row r="18" spans="1:4" ht="15.75" hidden="1">
      <c r="A18" s="4">
        <v>17</v>
      </c>
      <c r="B18" s="4" t="s">
        <v>165</v>
      </c>
      <c r="C18" s="5">
        <v>25</v>
      </c>
      <c r="D18" t="s">
        <v>307</v>
      </c>
    </row>
    <row r="19" spans="1:4" ht="15.75">
      <c r="A19" s="4">
        <v>18</v>
      </c>
      <c r="B19" s="4" t="s">
        <v>166</v>
      </c>
      <c r="C19" s="5">
        <v>12</v>
      </c>
      <c r="D19" t="s">
        <v>237</v>
      </c>
    </row>
    <row r="20" spans="1:4" ht="15.75" hidden="1">
      <c r="A20" s="4">
        <v>19</v>
      </c>
      <c r="B20" s="4" t="s">
        <v>167</v>
      </c>
      <c r="C20" s="5">
        <v>10</v>
      </c>
      <c r="D20" t="s">
        <v>307</v>
      </c>
    </row>
    <row r="21" spans="1:4" ht="15.75" hidden="1">
      <c r="A21" s="4">
        <v>20</v>
      </c>
      <c r="B21" s="4" t="s">
        <v>168</v>
      </c>
      <c r="C21" s="5">
        <v>6</v>
      </c>
      <c r="D21" t="s">
        <v>217</v>
      </c>
    </row>
    <row r="22" spans="1:4" ht="15.75" hidden="1">
      <c r="A22" s="4">
        <v>21</v>
      </c>
      <c r="B22" s="4" t="s">
        <v>169</v>
      </c>
      <c r="C22" s="5">
        <v>1</v>
      </c>
      <c r="D22" t="s">
        <v>344</v>
      </c>
    </row>
    <row r="23" spans="1:4" ht="15.75">
      <c r="A23" s="4">
        <v>22</v>
      </c>
      <c r="B23" s="4" t="s">
        <v>170</v>
      </c>
      <c r="C23" s="5">
        <v>10</v>
      </c>
      <c r="D23" t="s">
        <v>237</v>
      </c>
    </row>
    <row r="24" spans="1:4" ht="15.75" hidden="1">
      <c r="A24" s="4">
        <v>23</v>
      </c>
      <c r="B24" s="4" t="s">
        <v>171</v>
      </c>
      <c r="C24" s="5">
        <v>10</v>
      </c>
      <c r="D24" t="s">
        <v>307</v>
      </c>
    </row>
    <row r="25" spans="1:4" ht="15.75">
      <c r="A25" s="4">
        <v>24</v>
      </c>
      <c r="B25" s="4" t="s">
        <v>172</v>
      </c>
      <c r="C25" s="5">
        <v>8</v>
      </c>
      <c r="D25" t="s">
        <v>237</v>
      </c>
    </row>
    <row r="26" spans="1:4" ht="15.75" hidden="1">
      <c r="A26" s="4">
        <v>25</v>
      </c>
      <c r="B26" s="4" t="s">
        <v>173</v>
      </c>
      <c r="C26" s="5">
        <v>2</v>
      </c>
      <c r="D26" t="s">
        <v>307</v>
      </c>
    </row>
    <row r="27" spans="1:4" ht="15.75">
      <c r="A27" s="4">
        <v>26</v>
      </c>
      <c r="B27" s="4" t="s">
        <v>174</v>
      </c>
      <c r="C27" s="5">
        <v>1</v>
      </c>
      <c r="D27" t="s">
        <v>237</v>
      </c>
    </row>
    <row r="28" spans="1:4" ht="15.75" hidden="1">
      <c r="A28" s="4">
        <v>27</v>
      </c>
      <c r="B28" s="4" t="s">
        <v>175</v>
      </c>
      <c r="C28" s="5">
        <v>4</v>
      </c>
      <c r="D28" t="s">
        <v>307</v>
      </c>
    </row>
    <row r="29" spans="1:4" ht="15.75" hidden="1">
      <c r="A29" s="4">
        <v>28</v>
      </c>
      <c r="B29" s="4" t="s">
        <v>176</v>
      </c>
      <c r="C29" s="5">
        <v>7</v>
      </c>
      <c r="D29" t="s">
        <v>217</v>
      </c>
    </row>
    <row r="30" spans="1:4" ht="15.75" hidden="1">
      <c r="A30" s="4">
        <v>29</v>
      </c>
      <c r="B30" s="4" t="s">
        <v>177</v>
      </c>
      <c r="C30" s="5">
        <v>4</v>
      </c>
      <c r="D30" t="s">
        <v>217</v>
      </c>
    </row>
    <row r="31" spans="1:4" ht="15.75" hidden="1">
      <c r="A31" s="4">
        <v>30</v>
      </c>
      <c r="B31" s="4" t="s">
        <v>178</v>
      </c>
      <c r="C31" s="5">
        <v>1</v>
      </c>
      <c r="D31" t="s">
        <v>217</v>
      </c>
    </row>
    <row r="32" spans="1:4" ht="15.75" hidden="1">
      <c r="A32" s="4">
        <v>31</v>
      </c>
      <c r="B32" s="4" t="s">
        <v>179</v>
      </c>
      <c r="C32" s="5">
        <v>8</v>
      </c>
      <c r="D32" t="s">
        <v>217</v>
      </c>
    </row>
    <row r="33" spans="1:4" ht="15.75" hidden="1">
      <c r="A33" s="4">
        <v>32</v>
      </c>
      <c r="B33" s="4" t="s">
        <v>180</v>
      </c>
      <c r="C33" s="5">
        <v>0</v>
      </c>
    </row>
    <row r="34" spans="1:4" ht="15.75" hidden="1">
      <c r="A34" s="4">
        <v>33</v>
      </c>
      <c r="B34" s="4" t="s">
        <v>181</v>
      </c>
      <c r="C34" s="5">
        <v>7</v>
      </c>
      <c r="D34" t="s">
        <v>217</v>
      </c>
    </row>
    <row r="35" spans="1:4" ht="15.75" hidden="1">
      <c r="A35" s="4">
        <v>34</v>
      </c>
      <c r="B35" s="4" t="s">
        <v>182</v>
      </c>
      <c r="C35" s="5">
        <v>11</v>
      </c>
      <c r="D35" t="s">
        <v>217</v>
      </c>
    </row>
    <row r="36" spans="1:4" ht="15.75" hidden="1">
      <c r="A36" s="4">
        <v>35</v>
      </c>
      <c r="B36" s="4" t="s">
        <v>183</v>
      </c>
      <c r="C36" s="5">
        <v>8</v>
      </c>
      <c r="D36" t="s">
        <v>217</v>
      </c>
    </row>
    <row r="37" spans="1:4" ht="15.75" hidden="1">
      <c r="A37" s="4">
        <v>36</v>
      </c>
      <c r="B37" s="4" t="s">
        <v>184</v>
      </c>
      <c r="C37" s="5">
        <v>8</v>
      </c>
      <c r="D37" t="s">
        <v>217</v>
      </c>
    </row>
    <row r="38" spans="1:4" ht="15.75" hidden="1">
      <c r="A38" s="4">
        <v>37</v>
      </c>
      <c r="B38" s="4" t="s">
        <v>185</v>
      </c>
      <c r="C38" s="5">
        <v>12</v>
      </c>
      <c r="D38" t="s">
        <v>325</v>
      </c>
    </row>
    <row r="39" spans="1:4" ht="15.75" hidden="1">
      <c r="A39" s="4">
        <v>38</v>
      </c>
      <c r="B39" s="4" t="s">
        <v>186</v>
      </c>
      <c r="C39" s="5">
        <v>0</v>
      </c>
    </row>
    <row r="40" spans="1:4" ht="15.75" hidden="1">
      <c r="A40" s="4">
        <v>39</v>
      </c>
      <c r="B40" s="4" t="s">
        <v>187</v>
      </c>
      <c r="C40" s="5">
        <v>10</v>
      </c>
      <c r="D40" t="s">
        <v>325</v>
      </c>
    </row>
    <row r="41" spans="1:4" ht="15.75" hidden="1">
      <c r="A41" s="4">
        <v>40</v>
      </c>
      <c r="B41" s="4" t="s">
        <v>188</v>
      </c>
      <c r="C41" s="5">
        <v>13</v>
      </c>
      <c r="D41" t="s">
        <v>325</v>
      </c>
    </row>
    <row r="42" spans="1:4" ht="15.75" hidden="1">
      <c r="A42" s="4">
        <v>41</v>
      </c>
      <c r="B42" s="4" t="s">
        <v>189</v>
      </c>
      <c r="C42" s="5">
        <v>7</v>
      </c>
      <c r="D42" t="s">
        <v>217</v>
      </c>
    </row>
    <row r="43" spans="1:4" ht="15.75" hidden="1">
      <c r="A43" s="4">
        <v>42</v>
      </c>
      <c r="B43" s="4" t="s">
        <v>190</v>
      </c>
      <c r="C43" s="5">
        <v>13</v>
      </c>
      <c r="D43" t="s">
        <v>325</v>
      </c>
    </row>
    <row r="44" spans="1:4" ht="15.75" hidden="1">
      <c r="A44" s="4">
        <v>43</v>
      </c>
      <c r="B44" s="4" t="s">
        <v>191</v>
      </c>
      <c r="C44" s="5">
        <v>16</v>
      </c>
      <c r="D44" t="s">
        <v>325</v>
      </c>
    </row>
    <row r="45" spans="1:4" ht="15.75" hidden="1">
      <c r="A45" s="4">
        <v>44</v>
      </c>
      <c r="B45" s="4" t="s">
        <v>192</v>
      </c>
      <c r="C45" s="5">
        <v>6</v>
      </c>
      <c r="D45" t="s">
        <v>316</v>
      </c>
    </row>
    <row r="46" spans="1:4" ht="15.75" hidden="1">
      <c r="A46" s="4">
        <v>45</v>
      </c>
      <c r="B46" s="4" t="s">
        <v>193</v>
      </c>
      <c r="C46" s="5">
        <v>19</v>
      </c>
      <c r="D46" t="s">
        <v>217</v>
      </c>
    </row>
    <row r="47" spans="1:4" ht="15.75" hidden="1">
      <c r="A47" s="4">
        <v>46</v>
      </c>
      <c r="B47" s="4" t="s">
        <v>194</v>
      </c>
      <c r="C47" s="5">
        <v>8</v>
      </c>
      <c r="D47" t="s">
        <v>316</v>
      </c>
    </row>
    <row r="48" spans="1:4" ht="15.75" hidden="1">
      <c r="A48" s="4">
        <v>47</v>
      </c>
      <c r="B48" s="4" t="s">
        <v>195</v>
      </c>
      <c r="C48" s="5">
        <v>6</v>
      </c>
      <c r="D48" t="s">
        <v>343</v>
      </c>
    </row>
    <row r="49" spans="1:4" ht="15.75" hidden="1">
      <c r="A49" s="4">
        <v>48</v>
      </c>
      <c r="B49" s="4" t="s">
        <v>196</v>
      </c>
      <c r="C49" s="5">
        <v>5</v>
      </c>
      <c r="D49" t="s">
        <v>332</v>
      </c>
    </row>
    <row r="50" spans="1:4" ht="15.75" hidden="1">
      <c r="A50" s="4">
        <v>49</v>
      </c>
      <c r="B50" s="4" t="s">
        <v>197</v>
      </c>
      <c r="C50" s="5">
        <v>14</v>
      </c>
      <c r="D50" t="s">
        <v>332</v>
      </c>
    </row>
    <row r="51" spans="1:4" ht="15.75" hidden="1">
      <c r="A51" s="4">
        <v>50</v>
      </c>
      <c r="B51" s="4" t="s">
        <v>198</v>
      </c>
      <c r="C51" s="5">
        <v>14</v>
      </c>
      <c r="D51" t="s">
        <v>332</v>
      </c>
    </row>
    <row r="52" spans="1:4" ht="15.75" hidden="1">
      <c r="A52" s="4">
        <v>51</v>
      </c>
      <c r="B52" s="4" t="s">
        <v>199</v>
      </c>
      <c r="C52" s="5">
        <v>7</v>
      </c>
      <c r="D52" t="s">
        <v>332</v>
      </c>
    </row>
    <row r="53" spans="1:4" ht="15.75" hidden="1">
      <c r="A53" s="4">
        <v>52</v>
      </c>
      <c r="B53" s="4" t="s">
        <v>200</v>
      </c>
      <c r="C53" s="5">
        <v>5</v>
      </c>
      <c r="D53" t="s">
        <v>332</v>
      </c>
    </row>
    <row r="54" spans="1:4" ht="15.75" hidden="1">
      <c r="A54" s="4">
        <v>53</v>
      </c>
      <c r="B54" s="4" t="s">
        <v>201</v>
      </c>
      <c r="C54" s="5">
        <v>18</v>
      </c>
      <c r="D54" t="s">
        <v>344</v>
      </c>
    </row>
    <row r="55" spans="1:4" ht="15.75" hidden="1">
      <c r="A55" s="4">
        <v>54</v>
      </c>
      <c r="B55" s="4" t="s">
        <v>202</v>
      </c>
      <c r="C55" s="5">
        <v>2</v>
      </c>
      <c r="D55" t="s">
        <v>344</v>
      </c>
    </row>
    <row r="56" spans="1:4" ht="15.75" hidden="1">
      <c r="A56" s="4">
        <v>55</v>
      </c>
      <c r="B56" s="4" t="s">
        <v>203</v>
      </c>
      <c r="C56" s="5">
        <v>11</v>
      </c>
      <c r="D56" t="s">
        <v>344</v>
      </c>
    </row>
    <row r="57" spans="1:4" ht="15.75" hidden="1">
      <c r="A57" s="4">
        <v>56</v>
      </c>
      <c r="B57" s="4" t="s">
        <v>204</v>
      </c>
      <c r="C57" s="5">
        <v>3</v>
      </c>
      <c r="D57" t="s">
        <v>344</v>
      </c>
    </row>
    <row r="58" spans="1:4" ht="15.75" hidden="1">
      <c r="A58" s="4">
        <v>57</v>
      </c>
      <c r="B58" s="4" t="s">
        <v>205</v>
      </c>
      <c r="C58" s="5">
        <v>14</v>
      </c>
      <c r="D58" t="s">
        <v>307</v>
      </c>
    </row>
    <row r="59" spans="1:4" ht="15.75" hidden="1">
      <c r="A59" s="4">
        <v>58</v>
      </c>
      <c r="B59" s="4" t="s">
        <v>206</v>
      </c>
      <c r="C59" s="5">
        <v>18</v>
      </c>
      <c r="D59" t="s">
        <v>344</v>
      </c>
    </row>
    <row r="60" spans="1:4" ht="15.75" hidden="1">
      <c r="A60" s="4">
        <v>59</v>
      </c>
      <c r="B60" s="4" t="s">
        <v>207</v>
      </c>
      <c r="C60" s="5">
        <v>7</v>
      </c>
      <c r="D60" t="s">
        <v>316</v>
      </c>
    </row>
    <row r="61" spans="1:4" ht="15.75" hidden="1">
      <c r="A61" s="4">
        <v>60</v>
      </c>
      <c r="B61" s="4" t="s">
        <v>208</v>
      </c>
      <c r="C61" s="5">
        <v>9</v>
      </c>
      <c r="D61" t="s">
        <v>316</v>
      </c>
    </row>
    <row r="62" spans="1:4" ht="15.75" hidden="1">
      <c r="A62" s="4">
        <v>61</v>
      </c>
      <c r="B62" s="4" t="s">
        <v>209</v>
      </c>
      <c r="C62" s="5">
        <v>6</v>
      </c>
      <c r="D62" t="s">
        <v>343</v>
      </c>
    </row>
    <row r="63" spans="1:4" ht="15.75" hidden="1">
      <c r="A63" s="4">
        <v>62</v>
      </c>
      <c r="B63" s="4" t="s">
        <v>210</v>
      </c>
      <c r="C63" s="5">
        <v>7</v>
      </c>
      <c r="D63" t="s">
        <v>343</v>
      </c>
    </row>
    <row r="64" spans="1:4" ht="15.75" hidden="1">
      <c r="A64" s="4">
        <v>63</v>
      </c>
      <c r="B64" s="4" t="s">
        <v>211</v>
      </c>
      <c r="C64" s="5">
        <v>9</v>
      </c>
      <c r="D64" t="s">
        <v>343</v>
      </c>
    </row>
    <row r="65" spans="1:4" ht="15.75" hidden="1">
      <c r="A65" s="4">
        <v>64</v>
      </c>
      <c r="B65" s="4" t="s">
        <v>212</v>
      </c>
      <c r="C65" s="5">
        <v>4</v>
      </c>
      <c r="D65" t="s">
        <v>343</v>
      </c>
    </row>
    <row r="66" spans="1:4" ht="15.75" hidden="1">
      <c r="A66" s="4">
        <v>65</v>
      </c>
      <c r="B66" s="4" t="s">
        <v>216</v>
      </c>
      <c r="C66" s="9">
        <v>5</v>
      </c>
      <c r="D66" t="s">
        <v>217</v>
      </c>
    </row>
    <row r="67" spans="1:4" ht="15.75">
      <c r="A67" s="4">
        <v>66</v>
      </c>
      <c r="B67" s="4" t="s">
        <v>234</v>
      </c>
      <c r="C67" s="9">
        <v>1</v>
      </c>
      <c r="D67" t="s">
        <v>237</v>
      </c>
    </row>
    <row r="68" spans="1:4" ht="15.75">
      <c r="A68" s="4">
        <v>67</v>
      </c>
      <c r="B68" s="4" t="s">
        <v>235</v>
      </c>
      <c r="C68" s="9">
        <v>3</v>
      </c>
      <c r="D68" t="s">
        <v>237</v>
      </c>
    </row>
    <row r="69" spans="1:4" ht="15.75">
      <c r="A69" s="4">
        <v>68</v>
      </c>
      <c r="B69" s="4" t="s">
        <v>236</v>
      </c>
      <c r="C69" s="9">
        <v>3</v>
      </c>
      <c r="D69" t="s">
        <v>237</v>
      </c>
    </row>
    <row r="70" spans="1:4" ht="15.75" hidden="1">
      <c r="A70" s="4">
        <v>69</v>
      </c>
      <c r="B70" s="4" t="s">
        <v>305</v>
      </c>
      <c r="C70" s="9">
        <v>1</v>
      </c>
      <c r="D70" t="s">
        <v>307</v>
      </c>
    </row>
    <row r="71" spans="1:4" ht="15.75" hidden="1">
      <c r="A71" s="4">
        <v>70</v>
      </c>
      <c r="B71" s="4" t="s">
        <v>306</v>
      </c>
      <c r="C71" s="9">
        <v>3</v>
      </c>
      <c r="D71" t="s">
        <v>307</v>
      </c>
    </row>
    <row r="72" spans="1:4" ht="15.75" hidden="1">
      <c r="A72" s="4">
        <v>71</v>
      </c>
      <c r="B72" s="4" t="s">
        <v>339</v>
      </c>
      <c r="C72" s="9">
        <v>3</v>
      </c>
      <c r="D72" t="s">
        <v>332</v>
      </c>
    </row>
    <row r="73" spans="1:4" ht="15.75" hidden="1">
      <c r="A73" s="4">
        <v>72</v>
      </c>
      <c r="B73" s="4" t="s">
        <v>340</v>
      </c>
      <c r="C73" s="9">
        <v>2</v>
      </c>
      <c r="D73" t="s">
        <v>332</v>
      </c>
    </row>
    <row r="74" spans="1:4" ht="15.75" hidden="1">
      <c r="A74" s="4">
        <v>73</v>
      </c>
      <c r="B74" s="4" t="s">
        <v>345</v>
      </c>
      <c r="C74" s="9">
        <v>3</v>
      </c>
      <c r="D74" t="s">
        <v>343</v>
      </c>
    </row>
    <row r="75" spans="1:4" ht="15.75" hidden="1">
      <c r="A75" s="4">
        <v>74</v>
      </c>
      <c r="B75" s="4" t="s">
        <v>346</v>
      </c>
      <c r="C75" s="9">
        <v>1</v>
      </c>
      <c r="D75" t="s">
        <v>344</v>
      </c>
    </row>
  </sheetData>
  <autoFilter ref="A1:D75">
    <filterColumn colId="3">
      <filters>
        <filter val="2B"/>
      </filters>
    </filterColumn>
  </autoFilter>
  <sortState ref="A2:D75">
    <sortCondition ref="A1"/>
  </sortState>
  <pageMargins left="0.2" right="0.2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94"/>
  <sheetViews>
    <sheetView topLeftCell="A71" workbookViewId="0">
      <selection activeCell="E28" sqref="E28"/>
    </sheetView>
  </sheetViews>
  <sheetFormatPr defaultRowHeight="15"/>
  <cols>
    <col min="1" max="1" width="9.7109375" bestFit="1" customWidth="1"/>
    <col min="2" max="2" width="17.140625" customWidth="1"/>
    <col min="3" max="3" width="12.42578125" customWidth="1"/>
    <col min="4" max="4" width="12.42578125" bestFit="1" customWidth="1"/>
    <col min="5" max="5" width="12" customWidth="1"/>
    <col min="6" max="6" width="12.5703125" bestFit="1" customWidth="1"/>
    <col min="9" max="9" width="12.28515625" bestFit="1" customWidth="1"/>
  </cols>
  <sheetData>
    <row r="1" spans="1:6" ht="38.25">
      <c r="A1" s="214" t="s">
        <v>324</v>
      </c>
      <c r="B1" s="214"/>
      <c r="C1" s="214"/>
      <c r="D1" s="214"/>
      <c r="E1" s="214"/>
      <c r="F1" s="214"/>
    </row>
    <row r="2" spans="1:6" ht="31.5">
      <c r="A2" s="10" t="s">
        <v>232</v>
      </c>
      <c r="B2" s="11" t="s">
        <v>213</v>
      </c>
      <c r="C2" s="10" t="s">
        <v>361</v>
      </c>
      <c r="D2" s="10" t="s">
        <v>233</v>
      </c>
      <c r="E2" s="12" t="s">
        <v>218</v>
      </c>
      <c r="F2" s="12" t="s">
        <v>219</v>
      </c>
    </row>
    <row r="3" spans="1:6" ht="21.75" customHeight="1">
      <c r="A3" s="15" t="s">
        <v>220</v>
      </c>
      <c r="B3" s="15" t="s">
        <v>168</v>
      </c>
      <c r="C3" s="13" t="s">
        <v>362</v>
      </c>
      <c r="D3" s="13">
        <v>6</v>
      </c>
      <c r="E3" s="16"/>
      <c r="F3" s="16"/>
    </row>
    <row r="4" spans="1:6" ht="21.75" customHeight="1">
      <c r="A4" s="15" t="s">
        <v>221</v>
      </c>
      <c r="B4" s="15" t="s">
        <v>176</v>
      </c>
      <c r="C4" s="13" t="s">
        <v>362</v>
      </c>
      <c r="D4" s="13">
        <v>7</v>
      </c>
      <c r="E4" s="16"/>
      <c r="F4" s="16"/>
    </row>
    <row r="5" spans="1:6" ht="21.75" customHeight="1">
      <c r="A5" s="15" t="s">
        <v>222</v>
      </c>
      <c r="B5" s="15" t="s">
        <v>177</v>
      </c>
      <c r="C5" s="13" t="s">
        <v>362</v>
      </c>
      <c r="D5" s="13">
        <v>4</v>
      </c>
      <c r="E5" s="16"/>
      <c r="F5" s="16"/>
    </row>
    <row r="6" spans="1:6" ht="21.75" customHeight="1">
      <c r="A6" s="15" t="s">
        <v>223</v>
      </c>
      <c r="B6" s="15" t="s">
        <v>178</v>
      </c>
      <c r="C6" s="13" t="s">
        <v>362</v>
      </c>
      <c r="D6" s="13">
        <v>1</v>
      </c>
      <c r="E6" s="16"/>
      <c r="F6" s="16"/>
    </row>
    <row r="7" spans="1:6" ht="21.75" customHeight="1">
      <c r="A7" s="15" t="s">
        <v>224</v>
      </c>
      <c r="B7" s="15" t="s">
        <v>179</v>
      </c>
      <c r="C7" s="13" t="s">
        <v>362</v>
      </c>
      <c r="D7" s="13">
        <v>8</v>
      </c>
      <c r="E7" s="16"/>
      <c r="F7" s="16"/>
    </row>
    <row r="8" spans="1:6" ht="21.75" customHeight="1">
      <c r="A8" s="15" t="s">
        <v>225</v>
      </c>
      <c r="B8" s="15" t="s">
        <v>181</v>
      </c>
      <c r="C8" s="13" t="s">
        <v>362</v>
      </c>
      <c r="D8" s="13">
        <v>7</v>
      </c>
      <c r="E8" s="16"/>
      <c r="F8" s="16"/>
    </row>
    <row r="9" spans="1:6" ht="21.75" customHeight="1">
      <c r="A9" s="15" t="s">
        <v>226</v>
      </c>
      <c r="B9" s="15" t="s">
        <v>182</v>
      </c>
      <c r="C9" s="13" t="s">
        <v>362</v>
      </c>
      <c r="D9" s="13">
        <v>11</v>
      </c>
      <c r="E9" s="16"/>
      <c r="F9" s="16"/>
    </row>
    <row r="10" spans="1:6" ht="21.75" customHeight="1">
      <c r="A10" s="15" t="s">
        <v>227</v>
      </c>
      <c r="B10" s="15" t="s">
        <v>183</v>
      </c>
      <c r="C10" s="13" t="s">
        <v>362</v>
      </c>
      <c r="D10" s="13">
        <v>8</v>
      </c>
      <c r="E10" s="16"/>
      <c r="F10" s="16"/>
    </row>
    <row r="11" spans="1:6" ht="21.75" customHeight="1">
      <c r="A11" s="15" t="s">
        <v>228</v>
      </c>
      <c r="B11" s="15" t="s">
        <v>184</v>
      </c>
      <c r="C11" s="13" t="s">
        <v>362</v>
      </c>
      <c r="D11" s="13">
        <v>8</v>
      </c>
      <c r="E11" s="16"/>
      <c r="F11" s="16"/>
    </row>
    <row r="12" spans="1:6" ht="21.75" customHeight="1">
      <c r="A12" s="15" t="s">
        <v>229</v>
      </c>
      <c r="B12" s="15" t="s">
        <v>189</v>
      </c>
      <c r="C12" s="13" t="s">
        <v>362</v>
      </c>
      <c r="D12" s="13">
        <v>6</v>
      </c>
      <c r="E12" s="16"/>
      <c r="F12" s="16"/>
    </row>
    <row r="13" spans="1:6" ht="21.75" customHeight="1">
      <c r="A13" s="15" t="s">
        <v>230</v>
      </c>
      <c r="B13" s="15" t="s">
        <v>193</v>
      </c>
      <c r="C13" s="13" t="s">
        <v>362</v>
      </c>
      <c r="D13" s="13">
        <v>19</v>
      </c>
      <c r="E13" s="16"/>
      <c r="F13" s="16"/>
    </row>
    <row r="14" spans="1:6" ht="21.75" customHeight="1">
      <c r="A14" s="15" t="s">
        <v>231</v>
      </c>
      <c r="B14" s="15" t="s">
        <v>216</v>
      </c>
      <c r="C14" s="13" t="s">
        <v>362</v>
      </c>
      <c r="D14" s="14">
        <v>5</v>
      </c>
      <c r="E14" s="16"/>
      <c r="F14" s="16"/>
    </row>
    <row r="16" spans="1:6" s="17" customFormat="1" ht="21.75" customHeight="1"/>
    <row r="17" spans="1:6" s="17" customFormat="1" ht="38.25">
      <c r="A17" s="214" t="s">
        <v>323</v>
      </c>
      <c r="B17" s="214"/>
      <c r="C17" s="214"/>
      <c r="D17" s="214"/>
      <c r="E17" s="214"/>
      <c r="F17" s="214"/>
    </row>
    <row r="18" spans="1:6" s="17" customFormat="1" ht="31.5">
      <c r="A18" s="10" t="s">
        <v>232</v>
      </c>
      <c r="B18" s="11" t="s">
        <v>213</v>
      </c>
      <c r="C18" s="10" t="s">
        <v>361</v>
      </c>
      <c r="D18" s="10" t="s">
        <v>233</v>
      </c>
      <c r="E18" s="12" t="s">
        <v>218</v>
      </c>
      <c r="F18" s="12" t="s">
        <v>219</v>
      </c>
    </row>
    <row r="19" spans="1:6" s="17" customFormat="1" ht="21.75" customHeight="1">
      <c r="A19" s="15" t="s">
        <v>239</v>
      </c>
      <c r="B19" s="15" t="s">
        <v>149</v>
      </c>
      <c r="C19" s="13" t="s">
        <v>362</v>
      </c>
      <c r="D19" s="13">
        <v>4</v>
      </c>
      <c r="E19" s="16"/>
      <c r="F19" s="16"/>
    </row>
    <row r="20" spans="1:6" s="17" customFormat="1" ht="21.75" customHeight="1">
      <c r="A20" s="15" t="s">
        <v>240</v>
      </c>
      <c r="B20" s="15" t="s">
        <v>150</v>
      </c>
      <c r="C20" s="13" t="s">
        <v>362</v>
      </c>
      <c r="D20" s="13">
        <v>2</v>
      </c>
      <c r="E20" s="16"/>
      <c r="F20" s="16"/>
    </row>
    <row r="21" spans="1:6" s="17" customFormat="1" ht="21.75" customHeight="1">
      <c r="A21" s="15" t="s">
        <v>241</v>
      </c>
      <c r="B21" s="15" t="s">
        <v>152</v>
      </c>
      <c r="C21" s="13" t="s">
        <v>362</v>
      </c>
      <c r="D21" s="13">
        <v>2</v>
      </c>
      <c r="E21" s="16"/>
      <c r="F21" s="16"/>
    </row>
    <row r="22" spans="1:6" s="17" customFormat="1" ht="21.75" customHeight="1">
      <c r="A22" s="15" t="s">
        <v>238</v>
      </c>
      <c r="B22" s="15" t="s">
        <v>153</v>
      </c>
      <c r="C22" s="13" t="s">
        <v>362</v>
      </c>
      <c r="D22" s="13">
        <v>4</v>
      </c>
      <c r="E22" s="16"/>
      <c r="F22" s="16"/>
    </row>
    <row r="23" spans="1:6" s="17" customFormat="1" ht="21.75" customHeight="1">
      <c r="A23" s="15" t="s">
        <v>242</v>
      </c>
      <c r="B23" s="15" t="s">
        <v>155</v>
      </c>
      <c r="C23" s="13" t="s">
        <v>362</v>
      </c>
      <c r="D23" s="13">
        <v>1</v>
      </c>
      <c r="E23" s="16"/>
      <c r="F23" s="16"/>
    </row>
    <row r="24" spans="1:6" ht="21.75" customHeight="1">
      <c r="A24" s="15" t="s">
        <v>243</v>
      </c>
      <c r="B24" s="15" t="s">
        <v>156</v>
      </c>
      <c r="C24" s="13" t="s">
        <v>362</v>
      </c>
      <c r="D24" s="13">
        <v>10</v>
      </c>
      <c r="E24" s="16"/>
      <c r="F24" s="16"/>
    </row>
    <row r="25" spans="1:6" ht="21.75" customHeight="1">
      <c r="A25" s="15" t="s">
        <v>244</v>
      </c>
      <c r="B25" s="15" t="s">
        <v>158</v>
      </c>
      <c r="C25" s="13" t="s">
        <v>362</v>
      </c>
      <c r="D25" s="13">
        <v>2</v>
      </c>
      <c r="E25" s="16"/>
      <c r="F25" s="16"/>
    </row>
    <row r="26" spans="1:6" ht="21.75" customHeight="1">
      <c r="A26" s="15" t="s">
        <v>245</v>
      </c>
      <c r="B26" s="15" t="s">
        <v>159</v>
      </c>
      <c r="C26" s="13" t="s">
        <v>362</v>
      </c>
      <c r="D26" s="13">
        <v>4</v>
      </c>
      <c r="E26" s="16"/>
      <c r="F26" s="16"/>
    </row>
    <row r="27" spans="1:6" ht="21.75" customHeight="1">
      <c r="A27" s="15" t="s">
        <v>246</v>
      </c>
      <c r="B27" s="15" t="s">
        <v>160</v>
      </c>
      <c r="C27" s="13" t="s">
        <v>362</v>
      </c>
      <c r="D27" s="13">
        <v>2</v>
      </c>
      <c r="E27" s="16"/>
      <c r="F27" s="16"/>
    </row>
    <row r="28" spans="1:6" ht="21.75" customHeight="1">
      <c r="A28" s="15" t="s">
        <v>247</v>
      </c>
      <c r="B28" s="15" t="s">
        <v>161</v>
      </c>
      <c r="C28" s="13" t="s">
        <v>362</v>
      </c>
      <c r="D28" s="13">
        <v>5</v>
      </c>
      <c r="E28" s="16"/>
      <c r="F28" s="16"/>
    </row>
    <row r="29" spans="1:6" ht="21.75" customHeight="1">
      <c r="A29" s="15" t="s">
        <v>248</v>
      </c>
      <c r="B29" s="15" t="s">
        <v>163</v>
      </c>
      <c r="C29" s="13" t="s">
        <v>362</v>
      </c>
      <c r="D29" s="13">
        <v>3</v>
      </c>
      <c r="E29" s="16"/>
      <c r="F29" s="16"/>
    </row>
    <row r="30" spans="1:6" ht="21.75" customHeight="1">
      <c r="A30" s="15" t="s">
        <v>249</v>
      </c>
      <c r="B30" s="15" t="s">
        <v>164</v>
      </c>
      <c r="C30" s="13" t="s">
        <v>362</v>
      </c>
      <c r="D30" s="13">
        <v>3</v>
      </c>
      <c r="E30" s="16"/>
      <c r="F30" s="16"/>
    </row>
    <row r="31" spans="1:6" ht="21.75" customHeight="1">
      <c r="A31" s="15" t="s">
        <v>251</v>
      </c>
      <c r="B31" s="15" t="s">
        <v>166</v>
      </c>
      <c r="C31" s="13" t="s">
        <v>362</v>
      </c>
      <c r="D31" s="13">
        <v>12</v>
      </c>
      <c r="E31" s="16"/>
      <c r="F31" s="16"/>
    </row>
    <row r="32" spans="1:6" ht="21.75" customHeight="1">
      <c r="A32" s="15" t="s">
        <v>252</v>
      </c>
      <c r="B32" s="15" t="s">
        <v>170</v>
      </c>
      <c r="C32" s="13" t="s">
        <v>362</v>
      </c>
      <c r="D32" s="13">
        <v>10</v>
      </c>
      <c r="E32" s="16"/>
      <c r="F32" s="16"/>
    </row>
    <row r="33" spans="1:6" ht="21.75" customHeight="1">
      <c r="A33" s="15" t="s">
        <v>253</v>
      </c>
      <c r="B33" s="15" t="s">
        <v>172</v>
      </c>
      <c r="C33" s="13" t="s">
        <v>362</v>
      </c>
      <c r="D33" s="13">
        <v>8</v>
      </c>
      <c r="E33" s="16"/>
      <c r="F33" s="16"/>
    </row>
    <row r="34" spans="1:6" ht="21.75" customHeight="1">
      <c r="A34" s="15" t="s">
        <v>254</v>
      </c>
      <c r="B34" s="15" t="s">
        <v>174</v>
      </c>
      <c r="C34" s="13" t="s">
        <v>362</v>
      </c>
      <c r="D34" s="13">
        <v>1</v>
      </c>
      <c r="E34" s="16"/>
      <c r="F34" s="16"/>
    </row>
    <row r="35" spans="1:6" ht="21.75" customHeight="1">
      <c r="A35" s="15" t="s">
        <v>255</v>
      </c>
      <c r="B35" s="15" t="s">
        <v>234</v>
      </c>
      <c r="C35" s="13" t="s">
        <v>362</v>
      </c>
      <c r="D35" s="14">
        <v>1</v>
      </c>
      <c r="E35" s="16"/>
      <c r="F35" s="16"/>
    </row>
    <row r="36" spans="1:6" ht="21.75" customHeight="1">
      <c r="A36" s="15" t="s">
        <v>256</v>
      </c>
      <c r="B36" s="15" t="s">
        <v>235</v>
      </c>
      <c r="C36" s="13" t="s">
        <v>362</v>
      </c>
      <c r="D36" s="14">
        <v>1</v>
      </c>
      <c r="E36" s="16"/>
      <c r="F36" s="16"/>
    </row>
    <row r="37" spans="1:6" ht="21.75" customHeight="1">
      <c r="A37" s="15" t="s">
        <v>257</v>
      </c>
      <c r="B37" s="15" t="s">
        <v>236</v>
      </c>
      <c r="C37" s="13" t="s">
        <v>362</v>
      </c>
      <c r="D37" s="14">
        <v>3</v>
      </c>
      <c r="E37" s="16"/>
      <c r="F37" s="16"/>
    </row>
    <row r="38" spans="1:6" ht="21.75" customHeight="1"/>
    <row r="39" spans="1:6" ht="38.25">
      <c r="A39" s="214" t="s">
        <v>322</v>
      </c>
      <c r="B39" s="214"/>
      <c r="C39" s="214"/>
      <c r="D39" s="214"/>
      <c r="E39" s="214"/>
      <c r="F39" s="214"/>
    </row>
    <row r="40" spans="1:6" ht="31.5">
      <c r="A40" s="10" t="s">
        <v>232</v>
      </c>
      <c r="B40" s="11" t="s">
        <v>213</v>
      </c>
      <c r="C40" s="10" t="s">
        <v>361</v>
      </c>
      <c r="D40" s="10" t="s">
        <v>233</v>
      </c>
      <c r="E40" s="12" t="s">
        <v>218</v>
      </c>
      <c r="F40" s="12" t="s">
        <v>219</v>
      </c>
    </row>
    <row r="41" spans="1:6" ht="21.75" customHeight="1">
      <c r="A41" s="15" t="s">
        <v>308</v>
      </c>
      <c r="B41" s="15" t="s">
        <v>162</v>
      </c>
      <c r="C41" s="13" t="s">
        <v>362</v>
      </c>
      <c r="D41" s="13">
        <v>6</v>
      </c>
      <c r="E41" s="23"/>
      <c r="F41" s="23"/>
    </row>
    <row r="42" spans="1:6" ht="21.75" customHeight="1">
      <c r="A42" s="15" t="s">
        <v>250</v>
      </c>
      <c r="B42" s="15" t="s">
        <v>165</v>
      </c>
      <c r="C42" s="13" t="s">
        <v>362</v>
      </c>
      <c r="D42" s="13">
        <v>25</v>
      </c>
      <c r="E42" s="23"/>
      <c r="F42" s="23"/>
    </row>
    <row r="43" spans="1:6" ht="21.75" customHeight="1">
      <c r="A43" s="15" t="s">
        <v>309</v>
      </c>
      <c r="B43" s="15" t="s">
        <v>167</v>
      </c>
      <c r="C43" s="13" t="s">
        <v>362</v>
      </c>
      <c r="D43" s="13">
        <v>10</v>
      </c>
      <c r="E43" s="23"/>
      <c r="F43" s="23"/>
    </row>
    <row r="44" spans="1:6" ht="21.75" customHeight="1">
      <c r="A44" s="15" t="s">
        <v>310</v>
      </c>
      <c r="B44" s="15" t="s">
        <v>171</v>
      </c>
      <c r="C44" s="13" t="s">
        <v>362</v>
      </c>
      <c r="D44" s="13">
        <v>10</v>
      </c>
      <c r="E44" s="23"/>
      <c r="F44" s="23"/>
    </row>
    <row r="45" spans="1:6" ht="21.75" customHeight="1">
      <c r="A45" s="15" t="s">
        <v>311</v>
      </c>
      <c r="B45" s="15" t="s">
        <v>173</v>
      </c>
      <c r="C45" s="13" t="s">
        <v>362</v>
      </c>
      <c r="D45" s="13">
        <v>2</v>
      </c>
      <c r="E45" s="23"/>
      <c r="F45" s="23"/>
    </row>
    <row r="46" spans="1:6" ht="21.75" customHeight="1">
      <c r="A46" s="15" t="s">
        <v>312</v>
      </c>
      <c r="B46" s="15" t="s">
        <v>175</v>
      </c>
      <c r="C46" s="13" t="s">
        <v>362</v>
      </c>
      <c r="D46" s="13">
        <v>4</v>
      </c>
      <c r="E46" s="23"/>
      <c r="F46" s="23"/>
    </row>
    <row r="47" spans="1:6" ht="21.75" customHeight="1">
      <c r="A47" s="15" t="s">
        <v>313</v>
      </c>
      <c r="B47" s="15" t="s">
        <v>205</v>
      </c>
      <c r="C47" s="13" t="s">
        <v>362</v>
      </c>
      <c r="D47" s="13">
        <v>14</v>
      </c>
      <c r="E47" s="23"/>
      <c r="F47" s="23"/>
    </row>
    <row r="48" spans="1:6" ht="21.75" customHeight="1">
      <c r="A48" s="15" t="s">
        <v>314</v>
      </c>
      <c r="B48" s="15" t="s">
        <v>305</v>
      </c>
      <c r="C48" s="13" t="s">
        <v>362</v>
      </c>
      <c r="D48" s="14">
        <v>1</v>
      </c>
      <c r="E48" s="23"/>
      <c r="F48" s="23"/>
    </row>
    <row r="49" spans="1:6" ht="21.75" customHeight="1">
      <c r="A49" s="15" t="s">
        <v>315</v>
      </c>
      <c r="B49" s="15" t="s">
        <v>306</v>
      </c>
      <c r="C49" s="13" t="s">
        <v>362</v>
      </c>
      <c r="D49" s="14">
        <v>3</v>
      </c>
      <c r="E49" s="23"/>
      <c r="F49" s="23"/>
    </row>
    <row r="50" spans="1:6" ht="27.75" customHeight="1"/>
    <row r="51" spans="1:6" ht="38.25">
      <c r="A51" s="214" t="s">
        <v>321</v>
      </c>
      <c r="B51" s="214"/>
      <c r="C51" s="214"/>
      <c r="D51" s="214"/>
      <c r="E51" s="214"/>
      <c r="F51" s="214"/>
    </row>
    <row r="52" spans="1:6" ht="31.5">
      <c r="A52" s="10" t="s">
        <v>232</v>
      </c>
      <c r="B52" s="11" t="s">
        <v>213</v>
      </c>
      <c r="C52" s="10" t="s">
        <v>361</v>
      </c>
      <c r="D52" s="10" t="s">
        <v>233</v>
      </c>
      <c r="E52" s="12" t="s">
        <v>218</v>
      </c>
      <c r="F52" s="12" t="s">
        <v>219</v>
      </c>
    </row>
    <row r="53" spans="1:6" s="25" customFormat="1" ht="21.75" customHeight="1">
      <c r="A53" s="13" t="s">
        <v>317</v>
      </c>
      <c r="B53" s="15" t="s">
        <v>192</v>
      </c>
      <c r="C53" s="13" t="s">
        <v>362</v>
      </c>
      <c r="D53" s="6">
        <v>6</v>
      </c>
      <c r="E53" s="24"/>
      <c r="F53" s="24"/>
    </row>
    <row r="54" spans="1:6" s="25" customFormat="1" ht="21.75" customHeight="1">
      <c r="A54" s="13" t="s">
        <v>318</v>
      </c>
      <c r="B54" s="15" t="s">
        <v>194</v>
      </c>
      <c r="C54" s="13" t="s">
        <v>362</v>
      </c>
      <c r="D54" s="6">
        <v>8</v>
      </c>
      <c r="E54" s="24"/>
      <c r="F54" s="24"/>
    </row>
    <row r="55" spans="1:6" s="25" customFormat="1" ht="21.75" customHeight="1">
      <c r="A55" s="13" t="s">
        <v>319</v>
      </c>
      <c r="B55" s="15" t="s">
        <v>207</v>
      </c>
      <c r="C55" s="13" t="s">
        <v>362</v>
      </c>
      <c r="D55" s="6">
        <v>7</v>
      </c>
      <c r="E55" s="24"/>
      <c r="F55" s="24"/>
    </row>
    <row r="56" spans="1:6" s="25" customFormat="1" ht="21.75" customHeight="1">
      <c r="A56" s="13" t="s">
        <v>320</v>
      </c>
      <c r="B56" s="15" t="s">
        <v>208</v>
      </c>
      <c r="C56" s="13" t="s">
        <v>362</v>
      </c>
      <c r="D56" s="6">
        <v>9</v>
      </c>
      <c r="E56" s="24"/>
      <c r="F56" s="24"/>
    </row>
    <row r="57" spans="1:6" s="25" customFormat="1" ht="21.75" customHeight="1">
      <c r="A57" s="26"/>
      <c r="B57" s="27"/>
      <c r="C57" s="26"/>
      <c r="D57" s="26"/>
      <c r="E57" s="28"/>
      <c r="F57" s="28"/>
    </row>
    <row r="58" spans="1:6" ht="38.25">
      <c r="A58" s="214" t="s">
        <v>326</v>
      </c>
      <c r="B58" s="214"/>
      <c r="C58" s="214"/>
      <c r="D58" s="214"/>
      <c r="E58" s="214"/>
      <c r="F58" s="214"/>
    </row>
    <row r="59" spans="1:6" ht="31.5">
      <c r="A59" s="10" t="s">
        <v>232</v>
      </c>
      <c r="B59" s="11" t="s">
        <v>213</v>
      </c>
      <c r="C59" s="10" t="s">
        <v>361</v>
      </c>
      <c r="D59" s="10" t="s">
        <v>233</v>
      </c>
      <c r="E59" s="12" t="s">
        <v>218</v>
      </c>
      <c r="F59" s="12" t="s">
        <v>219</v>
      </c>
    </row>
    <row r="60" spans="1:6" ht="21.75" customHeight="1">
      <c r="A60" s="15" t="s">
        <v>327</v>
      </c>
      <c r="B60" s="15" t="s">
        <v>185</v>
      </c>
      <c r="C60" s="13" t="s">
        <v>362</v>
      </c>
      <c r="D60" s="13">
        <v>12</v>
      </c>
      <c r="E60" s="23"/>
      <c r="F60" s="23"/>
    </row>
    <row r="61" spans="1:6" ht="21.75" customHeight="1">
      <c r="A61" s="15" t="s">
        <v>328</v>
      </c>
      <c r="B61" s="15" t="s">
        <v>187</v>
      </c>
      <c r="C61" s="13" t="s">
        <v>362</v>
      </c>
      <c r="D61" s="13">
        <v>10</v>
      </c>
      <c r="E61" s="23"/>
      <c r="F61" s="23"/>
    </row>
    <row r="62" spans="1:6" ht="21.75" customHeight="1">
      <c r="A62" s="15" t="s">
        <v>329</v>
      </c>
      <c r="B62" s="15" t="s">
        <v>188</v>
      </c>
      <c r="C62" s="13" t="s">
        <v>362</v>
      </c>
      <c r="D62" s="13">
        <v>13</v>
      </c>
      <c r="E62" s="23"/>
      <c r="F62" s="23"/>
    </row>
    <row r="63" spans="1:6" ht="21.75" customHeight="1">
      <c r="A63" s="15" t="s">
        <v>330</v>
      </c>
      <c r="B63" s="15" t="s">
        <v>190</v>
      </c>
      <c r="C63" s="13" t="s">
        <v>362</v>
      </c>
      <c r="D63" s="13">
        <v>12</v>
      </c>
      <c r="E63" s="23"/>
      <c r="F63" s="23"/>
    </row>
    <row r="64" spans="1:6" ht="21.75" customHeight="1">
      <c r="A64" s="15" t="s">
        <v>331</v>
      </c>
      <c r="B64" s="15" t="s">
        <v>191</v>
      </c>
      <c r="C64" s="13" t="s">
        <v>362</v>
      </c>
      <c r="D64" s="13">
        <v>16</v>
      </c>
      <c r="E64" s="23"/>
      <c r="F64" s="23"/>
    </row>
    <row r="66" spans="1:6" ht="28.5" customHeight="1">
      <c r="A66" s="211" t="s">
        <v>338</v>
      </c>
      <c r="B66" s="212"/>
      <c r="C66" s="212"/>
      <c r="D66" s="212"/>
      <c r="E66" s="212"/>
      <c r="F66" s="213"/>
    </row>
    <row r="67" spans="1:6" ht="31.5">
      <c r="A67" s="10" t="s">
        <v>232</v>
      </c>
      <c r="B67" s="11" t="s">
        <v>213</v>
      </c>
      <c r="C67" s="10" t="s">
        <v>361</v>
      </c>
      <c r="D67" s="10" t="s">
        <v>233</v>
      </c>
      <c r="E67" s="12" t="s">
        <v>218</v>
      </c>
      <c r="F67" s="12" t="s">
        <v>219</v>
      </c>
    </row>
    <row r="68" spans="1:6" ht="21.75" customHeight="1">
      <c r="A68" s="13" t="s">
        <v>333</v>
      </c>
      <c r="B68" s="15" t="s">
        <v>196</v>
      </c>
      <c r="C68" s="13" t="s">
        <v>362</v>
      </c>
      <c r="D68" s="13">
        <v>5</v>
      </c>
      <c r="E68" s="23"/>
      <c r="F68" s="23"/>
    </row>
    <row r="69" spans="1:6" ht="21.75" customHeight="1">
      <c r="A69" s="13" t="s">
        <v>334</v>
      </c>
      <c r="B69" s="15" t="s">
        <v>197</v>
      </c>
      <c r="C69" s="13" t="s">
        <v>362</v>
      </c>
      <c r="D69" s="13">
        <v>14</v>
      </c>
      <c r="E69" s="23"/>
      <c r="F69" s="23"/>
    </row>
    <row r="70" spans="1:6" ht="21.75" customHeight="1">
      <c r="A70" s="13" t="s">
        <v>335</v>
      </c>
      <c r="B70" s="15" t="s">
        <v>198</v>
      </c>
      <c r="C70" s="13" t="s">
        <v>362</v>
      </c>
      <c r="D70" s="13">
        <v>14</v>
      </c>
      <c r="E70" s="23"/>
      <c r="F70" s="23"/>
    </row>
    <row r="71" spans="1:6" ht="21.75" customHeight="1">
      <c r="A71" s="13" t="s">
        <v>336</v>
      </c>
      <c r="B71" s="15" t="s">
        <v>199</v>
      </c>
      <c r="C71" s="13" t="s">
        <v>362</v>
      </c>
      <c r="D71" s="13">
        <v>7</v>
      </c>
      <c r="E71" s="23"/>
      <c r="F71" s="23"/>
    </row>
    <row r="72" spans="1:6" ht="21.75" customHeight="1">
      <c r="A72" s="13" t="s">
        <v>337</v>
      </c>
      <c r="B72" s="15" t="s">
        <v>200</v>
      </c>
      <c r="C72" s="13" t="s">
        <v>362</v>
      </c>
      <c r="D72" s="13">
        <v>5</v>
      </c>
      <c r="E72" s="23"/>
      <c r="F72" s="23"/>
    </row>
    <row r="73" spans="1:6" ht="21.75" customHeight="1">
      <c r="A73" s="13" t="s">
        <v>341</v>
      </c>
      <c r="B73" s="15" t="s">
        <v>339</v>
      </c>
      <c r="C73" s="13" t="s">
        <v>362</v>
      </c>
      <c r="D73" s="14">
        <v>3</v>
      </c>
      <c r="E73" s="23"/>
      <c r="F73" s="23"/>
    </row>
    <row r="74" spans="1:6" ht="21.75" customHeight="1">
      <c r="A74" s="13" t="s">
        <v>342</v>
      </c>
      <c r="B74" s="15" t="s">
        <v>340</v>
      </c>
      <c r="C74" s="13" t="s">
        <v>362</v>
      </c>
      <c r="D74" s="14">
        <v>2</v>
      </c>
      <c r="E74" s="23"/>
      <c r="F74" s="23"/>
    </row>
    <row r="76" spans="1:6" s="30" customFormat="1" ht="24.75" customHeight="1">
      <c r="A76" s="211" t="s">
        <v>354</v>
      </c>
      <c r="B76" s="212"/>
      <c r="C76" s="212"/>
      <c r="D76" s="212"/>
      <c r="E76" s="212"/>
      <c r="F76" s="213"/>
    </row>
    <row r="77" spans="1:6" s="30" customFormat="1" ht="31.5">
      <c r="A77" s="10" t="s">
        <v>232</v>
      </c>
      <c r="B77" s="11" t="s">
        <v>213</v>
      </c>
      <c r="C77" s="10" t="s">
        <v>361</v>
      </c>
      <c r="D77" s="10" t="s">
        <v>233</v>
      </c>
      <c r="E77" s="12" t="s">
        <v>218</v>
      </c>
      <c r="F77" s="12" t="s">
        <v>219</v>
      </c>
    </row>
    <row r="78" spans="1:6" s="30" customFormat="1" ht="21.75" customHeight="1">
      <c r="A78" s="15" t="s">
        <v>364</v>
      </c>
      <c r="B78" s="15" t="s">
        <v>157</v>
      </c>
      <c r="C78" s="13" t="s">
        <v>362</v>
      </c>
      <c r="D78" s="13">
        <v>1</v>
      </c>
      <c r="E78" s="23"/>
      <c r="F78" s="31"/>
    </row>
    <row r="79" spans="1:6" s="30" customFormat="1" ht="21.75" customHeight="1">
      <c r="A79" s="15" t="s">
        <v>347</v>
      </c>
      <c r="B79" s="15" t="s">
        <v>169</v>
      </c>
      <c r="C79" s="13" t="s">
        <v>362</v>
      </c>
      <c r="D79" s="13">
        <v>1</v>
      </c>
      <c r="E79" s="23"/>
      <c r="F79" s="31"/>
    </row>
    <row r="80" spans="1:6" s="30" customFormat="1" ht="21.75" customHeight="1">
      <c r="A80" s="15" t="s">
        <v>348</v>
      </c>
      <c r="B80" s="15" t="s">
        <v>201</v>
      </c>
      <c r="C80" s="13" t="s">
        <v>362</v>
      </c>
      <c r="D80" s="13">
        <v>18</v>
      </c>
      <c r="E80" s="23"/>
      <c r="F80" s="31"/>
    </row>
    <row r="81" spans="1:6" s="30" customFormat="1" ht="21.75" customHeight="1">
      <c r="A81" s="15" t="s">
        <v>349</v>
      </c>
      <c r="B81" s="15" t="s">
        <v>202</v>
      </c>
      <c r="C81" s="13" t="s">
        <v>362</v>
      </c>
      <c r="D81" s="13">
        <v>2</v>
      </c>
      <c r="E81" s="23"/>
      <c r="F81" s="32"/>
    </row>
    <row r="82" spans="1:6" s="30" customFormat="1" ht="21.75" customHeight="1">
      <c r="A82" s="15" t="s">
        <v>350</v>
      </c>
      <c r="B82" s="15" t="s">
        <v>203</v>
      </c>
      <c r="C82" s="13" t="s">
        <v>362</v>
      </c>
      <c r="D82" s="13">
        <v>11</v>
      </c>
      <c r="E82" s="23"/>
      <c r="F82" s="33"/>
    </row>
    <row r="83" spans="1:6" s="30" customFormat="1" ht="21.75" customHeight="1">
      <c r="A83" s="15" t="s">
        <v>351</v>
      </c>
      <c r="B83" s="15" t="s">
        <v>204</v>
      </c>
      <c r="C83" s="13" t="s">
        <v>362</v>
      </c>
      <c r="D83" s="13">
        <v>3</v>
      </c>
      <c r="E83" s="23"/>
      <c r="F83" s="34"/>
    </row>
    <row r="84" spans="1:6" s="30" customFormat="1" ht="21.75" customHeight="1">
      <c r="A84" s="15" t="s">
        <v>352</v>
      </c>
      <c r="B84" s="15" t="s">
        <v>206</v>
      </c>
      <c r="C84" s="13" t="s">
        <v>362</v>
      </c>
      <c r="D84" s="13">
        <v>18</v>
      </c>
      <c r="E84" s="23"/>
      <c r="F84" s="32"/>
    </row>
    <row r="85" spans="1:6" s="30" customFormat="1" ht="21.75" customHeight="1">
      <c r="A85" s="15" t="s">
        <v>353</v>
      </c>
      <c r="B85" s="15" t="s">
        <v>346</v>
      </c>
      <c r="C85" s="13" t="s">
        <v>362</v>
      </c>
      <c r="D85" s="14">
        <v>1</v>
      </c>
      <c r="E85" s="23"/>
      <c r="F85" s="32"/>
    </row>
    <row r="86" spans="1:6" s="30" customFormat="1">
      <c r="A86" s="27"/>
      <c r="B86" s="27"/>
      <c r="C86" s="27"/>
      <c r="D86" s="27"/>
      <c r="E86" s="29"/>
      <c r="F86" s="29"/>
    </row>
    <row r="87" spans="1:6" s="30" customFormat="1" ht="28.5" customHeight="1">
      <c r="A87" s="211" t="s">
        <v>355</v>
      </c>
      <c r="B87" s="212"/>
      <c r="C87" s="212"/>
      <c r="D87" s="212"/>
      <c r="E87" s="212"/>
      <c r="F87" s="213"/>
    </row>
    <row r="88" spans="1:6" s="30" customFormat="1" ht="19.5" customHeight="1">
      <c r="A88" s="10" t="s">
        <v>232</v>
      </c>
      <c r="B88" s="11" t="s">
        <v>213</v>
      </c>
      <c r="C88" s="10" t="s">
        <v>361</v>
      </c>
      <c r="D88" s="10" t="s">
        <v>233</v>
      </c>
      <c r="E88" s="12" t="s">
        <v>218</v>
      </c>
      <c r="F88" s="12" t="s">
        <v>219</v>
      </c>
    </row>
    <row r="89" spans="1:6" s="30" customFormat="1" ht="21.75" customHeight="1">
      <c r="A89" s="13" t="s">
        <v>318</v>
      </c>
      <c r="B89" s="15" t="s">
        <v>195</v>
      </c>
      <c r="C89" s="13" t="s">
        <v>362</v>
      </c>
      <c r="D89" s="13">
        <v>6</v>
      </c>
      <c r="E89" s="23"/>
      <c r="F89" s="31"/>
    </row>
    <row r="90" spans="1:6" s="30" customFormat="1" ht="21.75" customHeight="1">
      <c r="A90" s="13" t="s">
        <v>356</v>
      </c>
      <c r="B90" s="15" t="s">
        <v>209</v>
      </c>
      <c r="C90" s="13" t="s">
        <v>362</v>
      </c>
      <c r="D90" s="13">
        <v>6</v>
      </c>
      <c r="E90" s="23"/>
      <c r="F90" s="31"/>
    </row>
    <row r="91" spans="1:6" s="30" customFormat="1" ht="21.75" customHeight="1">
      <c r="A91" s="13" t="s">
        <v>357</v>
      </c>
      <c r="B91" s="15" t="s">
        <v>210</v>
      </c>
      <c r="C91" s="13" t="s">
        <v>362</v>
      </c>
      <c r="D91" s="13">
        <v>7</v>
      </c>
      <c r="E91" s="23"/>
      <c r="F91" s="31"/>
    </row>
    <row r="92" spans="1:6" s="30" customFormat="1" ht="21.75" customHeight="1">
      <c r="A92" s="13" t="s">
        <v>358</v>
      </c>
      <c r="B92" s="15" t="s">
        <v>211</v>
      </c>
      <c r="C92" s="13" t="s">
        <v>362</v>
      </c>
      <c r="D92" s="13">
        <v>9</v>
      </c>
      <c r="E92" s="23"/>
      <c r="F92" s="32"/>
    </row>
    <row r="93" spans="1:6" s="30" customFormat="1" ht="21.75" customHeight="1">
      <c r="A93" s="13" t="s">
        <v>359</v>
      </c>
      <c r="B93" s="15" t="s">
        <v>212</v>
      </c>
      <c r="C93" s="13" t="s">
        <v>362</v>
      </c>
      <c r="D93" s="13">
        <v>4</v>
      </c>
      <c r="E93" s="23"/>
      <c r="F93" s="33"/>
    </row>
    <row r="94" spans="1:6" s="30" customFormat="1" ht="21.75" customHeight="1">
      <c r="A94" s="13" t="s">
        <v>360</v>
      </c>
      <c r="B94" s="15" t="s">
        <v>345</v>
      </c>
      <c r="C94" s="13" t="s">
        <v>362</v>
      </c>
      <c r="D94" s="14">
        <v>3</v>
      </c>
      <c r="E94" s="23"/>
      <c r="F94" s="34"/>
    </row>
  </sheetData>
  <mergeCells count="8">
    <mergeCell ref="A87:F87"/>
    <mergeCell ref="A66:F66"/>
    <mergeCell ref="A76:F76"/>
    <mergeCell ref="A1:F1"/>
    <mergeCell ref="A17:F17"/>
    <mergeCell ref="A39:F39"/>
    <mergeCell ref="A51:F51"/>
    <mergeCell ref="A58:F58"/>
  </mergeCells>
  <pageMargins left="0.7" right="0.7" top="0.4" bottom="0.33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21"/>
  <sheetViews>
    <sheetView topLeftCell="A13" workbookViewId="0">
      <selection activeCell="E28" sqref="E28"/>
    </sheetView>
  </sheetViews>
  <sheetFormatPr defaultRowHeight="15"/>
  <cols>
    <col min="1" max="1" width="5.42578125" bestFit="1" customWidth="1"/>
    <col min="2" max="2" width="20.42578125" bestFit="1" customWidth="1"/>
    <col min="3" max="3" width="18.140625" bestFit="1" customWidth="1"/>
    <col min="4" max="4" width="13.7109375" bestFit="1" customWidth="1"/>
    <col min="5" max="5" width="22.28515625" bestFit="1" customWidth="1"/>
    <col min="6" max="6" width="28.140625" bestFit="1" customWidth="1"/>
  </cols>
  <sheetData>
    <row r="1" spans="1:6" ht="26.25">
      <c r="A1" s="216" t="s">
        <v>258</v>
      </c>
      <c r="B1" s="216"/>
      <c r="C1" s="216"/>
      <c r="D1" s="216"/>
      <c r="E1" s="216"/>
      <c r="F1" s="216"/>
    </row>
    <row r="2" spans="1:6" s="18" customFormat="1" ht="23.25" customHeight="1">
      <c r="A2" s="215" t="s">
        <v>300</v>
      </c>
      <c r="B2" s="215"/>
      <c r="C2" s="215"/>
      <c r="D2" s="215"/>
      <c r="E2" s="215"/>
      <c r="F2" s="215"/>
    </row>
    <row r="3" spans="1:6" s="18" customFormat="1" ht="23.25" customHeight="1">
      <c r="A3" s="19" t="s">
        <v>259</v>
      </c>
      <c r="B3" s="19" t="s">
        <v>304</v>
      </c>
      <c r="C3" s="19" t="s">
        <v>260</v>
      </c>
      <c r="D3" s="19" t="s">
        <v>261</v>
      </c>
      <c r="E3" s="19" t="s">
        <v>262</v>
      </c>
      <c r="F3" s="19" t="s">
        <v>263</v>
      </c>
    </row>
    <row r="4" spans="1:6" s="18" customFormat="1" ht="23.25" customHeight="1">
      <c r="A4" s="20">
        <v>1</v>
      </c>
      <c r="B4" s="21" t="s">
        <v>264</v>
      </c>
      <c r="C4" s="20" t="s">
        <v>276</v>
      </c>
      <c r="D4" s="20" t="s">
        <v>280</v>
      </c>
      <c r="E4" s="20" t="s">
        <v>284</v>
      </c>
      <c r="F4" s="20" t="s">
        <v>289</v>
      </c>
    </row>
    <row r="5" spans="1:6" s="18" customFormat="1" ht="23.25" customHeight="1">
      <c r="A5" s="20">
        <v>2</v>
      </c>
      <c r="B5" s="22">
        <v>46070</v>
      </c>
      <c r="C5" s="20" t="s">
        <v>277</v>
      </c>
      <c r="D5" s="20" t="s">
        <v>281</v>
      </c>
      <c r="E5" s="20" t="s">
        <v>284</v>
      </c>
      <c r="F5" s="20" t="s">
        <v>290</v>
      </c>
    </row>
    <row r="6" spans="1:6" s="18" customFormat="1" ht="23.25" customHeight="1">
      <c r="A6" s="20">
        <v>3</v>
      </c>
      <c r="B6" s="21" t="s">
        <v>265</v>
      </c>
      <c r="C6" s="20" t="s">
        <v>276</v>
      </c>
      <c r="D6" s="20" t="s">
        <v>280</v>
      </c>
      <c r="E6" s="20" t="s">
        <v>285</v>
      </c>
      <c r="F6" s="20" t="s">
        <v>290</v>
      </c>
    </row>
    <row r="7" spans="1:6" s="18" customFormat="1" ht="23.25" customHeight="1">
      <c r="A7" s="20">
        <v>4</v>
      </c>
      <c r="B7" s="21" t="s">
        <v>267</v>
      </c>
      <c r="C7" s="20" t="s">
        <v>276</v>
      </c>
      <c r="D7" s="20" t="s">
        <v>280</v>
      </c>
      <c r="E7" s="20" t="s">
        <v>285</v>
      </c>
      <c r="F7" s="20" t="s">
        <v>290</v>
      </c>
    </row>
    <row r="8" spans="1:6" s="18" customFormat="1" ht="23.25" customHeight="1">
      <c r="A8" s="20">
        <v>5</v>
      </c>
      <c r="B8" s="21" t="s">
        <v>266</v>
      </c>
      <c r="C8" s="20" t="s">
        <v>276</v>
      </c>
      <c r="D8" s="20" t="s">
        <v>280</v>
      </c>
      <c r="E8" s="20" t="s">
        <v>286</v>
      </c>
      <c r="F8" s="20" t="s">
        <v>291</v>
      </c>
    </row>
    <row r="9" spans="1:6" s="18" customFormat="1" ht="23.25" customHeight="1">
      <c r="A9" s="20">
        <v>6</v>
      </c>
      <c r="B9" s="21" t="s">
        <v>268</v>
      </c>
      <c r="C9" s="20" t="s">
        <v>276</v>
      </c>
      <c r="D9" s="20" t="s">
        <v>280</v>
      </c>
      <c r="E9" s="20" t="s">
        <v>286</v>
      </c>
      <c r="F9" s="20" t="s">
        <v>291</v>
      </c>
    </row>
    <row r="10" spans="1:6" s="18" customFormat="1" ht="23.25" customHeight="1">
      <c r="A10" s="20">
        <v>7</v>
      </c>
      <c r="B10" s="21" t="s">
        <v>269</v>
      </c>
      <c r="C10" s="20" t="s">
        <v>276</v>
      </c>
      <c r="D10" s="20" t="s">
        <v>280</v>
      </c>
      <c r="E10" s="20" t="s">
        <v>293</v>
      </c>
      <c r="F10" s="20" t="s">
        <v>292</v>
      </c>
    </row>
    <row r="11" spans="1:6" s="18" customFormat="1" ht="23.25" customHeight="1">
      <c r="A11" s="20">
        <v>8</v>
      </c>
      <c r="B11" s="21" t="s">
        <v>270</v>
      </c>
      <c r="C11" s="20" t="s">
        <v>276</v>
      </c>
      <c r="D11" s="20" t="s">
        <v>280</v>
      </c>
      <c r="E11" s="20" t="s">
        <v>287</v>
      </c>
      <c r="F11" s="20" t="s">
        <v>294</v>
      </c>
    </row>
    <row r="12" spans="1:6" s="18" customFormat="1" ht="23.25" customHeight="1">
      <c r="A12" s="20">
        <v>9</v>
      </c>
      <c r="B12" s="21" t="s">
        <v>271</v>
      </c>
      <c r="C12" s="20" t="s">
        <v>276</v>
      </c>
      <c r="D12" s="20" t="s">
        <v>280</v>
      </c>
      <c r="E12" s="20" t="s">
        <v>287</v>
      </c>
      <c r="F12" s="20" t="s">
        <v>295</v>
      </c>
    </row>
    <row r="13" spans="1:6" s="18" customFormat="1" ht="23.25" customHeight="1">
      <c r="A13" s="20">
        <v>10</v>
      </c>
      <c r="B13" s="21" t="s">
        <v>272</v>
      </c>
      <c r="C13" s="20" t="s">
        <v>276</v>
      </c>
      <c r="D13" s="20" t="s">
        <v>280</v>
      </c>
      <c r="E13" s="20" t="s">
        <v>287</v>
      </c>
      <c r="F13" s="20" t="s">
        <v>296</v>
      </c>
    </row>
    <row r="14" spans="1:6" s="18" customFormat="1" ht="23.25" customHeight="1">
      <c r="A14" s="20">
        <v>11</v>
      </c>
      <c r="B14" s="21" t="s">
        <v>273</v>
      </c>
      <c r="C14" s="20" t="s">
        <v>276</v>
      </c>
      <c r="D14" s="20" t="s">
        <v>280</v>
      </c>
      <c r="E14" s="20" t="s">
        <v>287</v>
      </c>
      <c r="F14" s="20" t="s">
        <v>296</v>
      </c>
    </row>
    <row r="15" spans="1:6" s="18" customFormat="1" ht="23.25" customHeight="1">
      <c r="A15" s="20">
        <v>12</v>
      </c>
      <c r="B15" s="22">
        <v>15206</v>
      </c>
      <c r="C15" s="20" t="s">
        <v>278</v>
      </c>
      <c r="D15" s="20" t="s">
        <v>282</v>
      </c>
      <c r="E15" s="20" t="s">
        <v>288</v>
      </c>
      <c r="F15" s="20" t="s">
        <v>297</v>
      </c>
    </row>
    <row r="16" spans="1:6" s="18" customFormat="1" ht="23.25" customHeight="1">
      <c r="A16" s="20">
        <v>13</v>
      </c>
      <c r="B16" s="21" t="s">
        <v>274</v>
      </c>
      <c r="C16" s="20" t="s">
        <v>279</v>
      </c>
      <c r="D16" s="20" t="s">
        <v>283</v>
      </c>
      <c r="E16" s="20" t="s">
        <v>288</v>
      </c>
      <c r="F16" s="20" t="s">
        <v>298</v>
      </c>
    </row>
    <row r="17" spans="1:6" s="18" customFormat="1" ht="23.25" customHeight="1">
      <c r="A17" s="20">
        <v>14</v>
      </c>
      <c r="B17" s="21" t="s">
        <v>275</v>
      </c>
      <c r="C17" s="20" t="s">
        <v>279</v>
      </c>
      <c r="D17" s="20" t="s">
        <v>283</v>
      </c>
      <c r="E17" s="20" t="s">
        <v>288</v>
      </c>
      <c r="F17" s="20" t="s">
        <v>299</v>
      </c>
    </row>
    <row r="18" spans="1:6" s="18" customFormat="1" ht="23.25" customHeight="1">
      <c r="A18" s="20"/>
      <c r="B18" s="20"/>
      <c r="C18" s="20"/>
      <c r="D18" s="20"/>
      <c r="E18" s="20"/>
      <c r="F18" s="20"/>
    </row>
    <row r="19" spans="1:6" s="18" customFormat="1" ht="23.25" customHeight="1">
      <c r="A19" s="217" t="s">
        <v>301</v>
      </c>
      <c r="B19" s="218"/>
      <c r="C19" s="218"/>
      <c r="D19" s="218"/>
      <c r="E19" s="218"/>
      <c r="F19" s="219"/>
    </row>
    <row r="20" spans="1:6" s="18" customFormat="1" ht="23.25" customHeight="1">
      <c r="A20" s="20">
        <v>15</v>
      </c>
      <c r="B20" s="22">
        <v>46069</v>
      </c>
      <c r="C20" s="20" t="s">
        <v>302</v>
      </c>
      <c r="D20" s="20" t="s">
        <v>303</v>
      </c>
      <c r="E20" s="20"/>
      <c r="F20" s="20"/>
    </row>
    <row r="21" spans="1:6" s="18" customFormat="1" ht="23.25" customHeight="1">
      <c r="A21" s="20">
        <v>16</v>
      </c>
      <c r="B21" s="22">
        <v>46066</v>
      </c>
      <c r="C21" s="20" t="s">
        <v>302</v>
      </c>
      <c r="D21" s="20" t="s">
        <v>303</v>
      </c>
      <c r="E21" s="20"/>
      <c r="F21" s="20"/>
    </row>
  </sheetData>
  <mergeCells count="3">
    <mergeCell ref="A2:F2"/>
    <mergeCell ref="A1:F1"/>
    <mergeCell ref="A19:F19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J77"/>
  <sheetViews>
    <sheetView workbookViewId="0">
      <selection activeCell="E1" sqref="E1:I1048576"/>
    </sheetView>
  </sheetViews>
  <sheetFormatPr defaultRowHeight="12"/>
  <cols>
    <col min="1" max="1" width="5.28515625" style="111" bestFit="1" customWidth="1"/>
    <col min="2" max="2" width="6.5703125" style="111" bestFit="1" customWidth="1"/>
    <col min="3" max="3" width="18.42578125" style="111" bestFit="1" customWidth="1"/>
    <col min="4" max="4" width="10.140625" style="111" bestFit="1" customWidth="1"/>
    <col min="5" max="5" width="7.85546875" style="111" hidden="1" customWidth="1"/>
    <col min="6" max="6" width="7.28515625" style="111" hidden="1" customWidth="1"/>
    <col min="7" max="7" width="8.42578125" style="111" hidden="1" customWidth="1"/>
    <col min="8" max="8" width="6.85546875" style="111" hidden="1" customWidth="1"/>
    <col min="9" max="9" width="6" style="111" hidden="1" customWidth="1"/>
    <col min="10" max="10" width="9" style="111" bestFit="1" customWidth="1"/>
    <col min="11" max="16384" width="9.140625" style="111"/>
  </cols>
  <sheetData>
    <row r="2" spans="1:10">
      <c r="B2" s="220" t="s">
        <v>771</v>
      </c>
      <c r="C2" s="220"/>
      <c r="D2" s="220"/>
      <c r="E2" s="220"/>
      <c r="F2" s="221">
        <v>46220</v>
      </c>
      <c r="G2" s="220"/>
      <c r="H2" s="220"/>
      <c r="I2" s="220"/>
      <c r="J2" s="220"/>
    </row>
    <row r="3" spans="1:10" s="113" customFormat="1" ht="24">
      <c r="A3" s="100" t="s">
        <v>259</v>
      </c>
      <c r="B3" s="101" t="s">
        <v>232</v>
      </c>
      <c r="C3" s="112" t="s">
        <v>213</v>
      </c>
      <c r="D3" s="101" t="s">
        <v>361</v>
      </c>
      <c r="E3" s="101" t="s">
        <v>363</v>
      </c>
      <c r="F3" s="101" t="s">
        <v>233</v>
      </c>
      <c r="G3" s="100" t="s">
        <v>218</v>
      </c>
      <c r="H3" s="100" t="s">
        <v>769</v>
      </c>
      <c r="I3" s="100" t="s">
        <v>770</v>
      </c>
      <c r="J3" s="100" t="s">
        <v>219</v>
      </c>
    </row>
    <row r="4" spans="1:10" ht="15.75" customHeight="1">
      <c r="A4" s="105">
        <v>1</v>
      </c>
      <c r="B4" s="114" t="s">
        <v>239</v>
      </c>
      <c r="C4" s="114" t="s">
        <v>1487</v>
      </c>
      <c r="D4" s="115" t="s">
        <v>362</v>
      </c>
      <c r="E4" s="112">
        <v>2</v>
      </c>
      <c r="F4" s="115">
        <v>4</v>
      </c>
      <c r="G4" s="104"/>
      <c r="H4" s="105">
        <f>SUM(F4:G4)</f>
        <v>4</v>
      </c>
      <c r="I4" s="105"/>
      <c r="J4" s="105">
        <f>SUM(H4-I4)</f>
        <v>4</v>
      </c>
    </row>
    <row r="5" spans="1:10" ht="15.75" customHeight="1">
      <c r="A5" s="105">
        <v>2</v>
      </c>
      <c r="B5" s="114" t="s">
        <v>240</v>
      </c>
      <c r="C5" s="114" t="s">
        <v>1488</v>
      </c>
      <c r="D5" s="115" t="s">
        <v>362</v>
      </c>
      <c r="E5" s="112">
        <v>2</v>
      </c>
      <c r="F5" s="115">
        <v>2</v>
      </c>
      <c r="G5" s="104"/>
      <c r="H5" s="105">
        <f t="shared" ref="H5:H68" si="0">SUM(F5:G5)</f>
        <v>2</v>
      </c>
      <c r="I5" s="105"/>
      <c r="J5" s="105">
        <f t="shared" ref="J5:J68" si="1">SUM(H5-I5)</f>
        <v>2</v>
      </c>
    </row>
    <row r="6" spans="1:10" ht="15.75" customHeight="1">
      <c r="A6" s="105">
        <v>3</v>
      </c>
      <c r="B6" s="114" t="s">
        <v>241</v>
      </c>
      <c r="C6" s="114" t="s">
        <v>1489</v>
      </c>
      <c r="D6" s="115" t="s">
        <v>362</v>
      </c>
      <c r="E6" s="112">
        <v>2</v>
      </c>
      <c r="F6" s="115">
        <v>2</v>
      </c>
      <c r="G6" s="104"/>
      <c r="H6" s="105">
        <f t="shared" si="0"/>
        <v>2</v>
      </c>
      <c r="I6" s="105"/>
      <c r="J6" s="105">
        <f t="shared" si="1"/>
        <v>2</v>
      </c>
    </row>
    <row r="7" spans="1:10" ht="15.75" customHeight="1">
      <c r="A7" s="105">
        <v>4</v>
      </c>
      <c r="B7" s="114" t="s">
        <v>238</v>
      </c>
      <c r="C7" s="114" t="s">
        <v>1490</v>
      </c>
      <c r="D7" s="115" t="s">
        <v>362</v>
      </c>
      <c r="E7" s="112">
        <v>2</v>
      </c>
      <c r="F7" s="115">
        <v>4</v>
      </c>
      <c r="G7" s="104"/>
      <c r="H7" s="105">
        <f t="shared" si="0"/>
        <v>4</v>
      </c>
      <c r="I7" s="105"/>
      <c r="J7" s="105">
        <f t="shared" si="1"/>
        <v>4</v>
      </c>
    </row>
    <row r="8" spans="1:10" ht="15.75" customHeight="1">
      <c r="A8" s="105">
        <v>5</v>
      </c>
      <c r="B8" s="114" t="s">
        <v>242</v>
      </c>
      <c r="C8" s="114" t="s">
        <v>1491</v>
      </c>
      <c r="D8" s="115" t="s">
        <v>362</v>
      </c>
      <c r="E8" s="112">
        <v>2</v>
      </c>
      <c r="F8" s="115">
        <v>1</v>
      </c>
      <c r="G8" s="104"/>
      <c r="H8" s="105">
        <f t="shared" si="0"/>
        <v>1</v>
      </c>
      <c r="I8" s="105"/>
      <c r="J8" s="105">
        <f t="shared" si="1"/>
        <v>1</v>
      </c>
    </row>
    <row r="9" spans="1:10" ht="15.75" customHeight="1">
      <c r="A9" s="105">
        <v>6</v>
      </c>
      <c r="B9" s="114" t="s">
        <v>243</v>
      </c>
      <c r="C9" s="114" t="s">
        <v>1492</v>
      </c>
      <c r="D9" s="115" t="s">
        <v>362</v>
      </c>
      <c r="E9" s="112">
        <v>2</v>
      </c>
      <c r="F9" s="115">
        <v>10</v>
      </c>
      <c r="G9" s="104"/>
      <c r="H9" s="105">
        <f t="shared" si="0"/>
        <v>10</v>
      </c>
      <c r="I9" s="105"/>
      <c r="J9" s="105">
        <f t="shared" si="1"/>
        <v>10</v>
      </c>
    </row>
    <row r="10" spans="1:10" ht="15.75" customHeight="1">
      <c r="A10" s="105">
        <v>7</v>
      </c>
      <c r="B10" s="114" t="s">
        <v>364</v>
      </c>
      <c r="C10" s="114" t="s">
        <v>1493</v>
      </c>
      <c r="D10" s="115" t="s">
        <v>362</v>
      </c>
      <c r="E10" s="112">
        <v>7</v>
      </c>
      <c r="F10" s="115">
        <v>1</v>
      </c>
      <c r="G10" s="116"/>
      <c r="H10" s="105">
        <f t="shared" si="0"/>
        <v>1</v>
      </c>
      <c r="I10" s="106"/>
      <c r="J10" s="105">
        <f t="shared" si="1"/>
        <v>1</v>
      </c>
    </row>
    <row r="11" spans="1:10" ht="15.75" customHeight="1">
      <c r="A11" s="105">
        <v>8</v>
      </c>
      <c r="B11" s="114" t="s">
        <v>244</v>
      </c>
      <c r="C11" s="114" t="s">
        <v>1494</v>
      </c>
      <c r="D11" s="115" t="s">
        <v>362</v>
      </c>
      <c r="E11" s="112">
        <v>2</v>
      </c>
      <c r="F11" s="115">
        <v>2</v>
      </c>
      <c r="G11" s="104"/>
      <c r="H11" s="105">
        <f t="shared" si="0"/>
        <v>2</v>
      </c>
      <c r="I11" s="105"/>
      <c r="J11" s="105">
        <f t="shared" si="1"/>
        <v>2</v>
      </c>
    </row>
    <row r="12" spans="1:10" ht="15.75" customHeight="1">
      <c r="A12" s="105">
        <v>9</v>
      </c>
      <c r="B12" s="114" t="s">
        <v>245</v>
      </c>
      <c r="C12" s="114" t="s">
        <v>1495</v>
      </c>
      <c r="D12" s="115" t="s">
        <v>362</v>
      </c>
      <c r="E12" s="112">
        <v>2</v>
      </c>
      <c r="F12" s="115">
        <v>4</v>
      </c>
      <c r="G12" s="104"/>
      <c r="H12" s="105">
        <f t="shared" si="0"/>
        <v>4</v>
      </c>
      <c r="I12" s="105"/>
      <c r="J12" s="105">
        <f t="shared" si="1"/>
        <v>4</v>
      </c>
    </row>
    <row r="13" spans="1:10" ht="15.75" customHeight="1">
      <c r="A13" s="105">
        <v>10</v>
      </c>
      <c r="B13" s="114" t="s">
        <v>246</v>
      </c>
      <c r="C13" s="114" t="s">
        <v>1496</v>
      </c>
      <c r="D13" s="115" t="s">
        <v>362</v>
      </c>
      <c r="E13" s="112">
        <v>2</v>
      </c>
      <c r="F13" s="115">
        <v>2</v>
      </c>
      <c r="G13" s="104"/>
      <c r="H13" s="105">
        <f t="shared" si="0"/>
        <v>2</v>
      </c>
      <c r="I13" s="105"/>
      <c r="J13" s="105">
        <f t="shared" si="1"/>
        <v>2</v>
      </c>
    </row>
    <row r="14" spans="1:10" ht="15.75" customHeight="1">
      <c r="A14" s="105">
        <v>11</v>
      </c>
      <c r="B14" s="114" t="s">
        <v>247</v>
      </c>
      <c r="C14" s="114" t="s">
        <v>1497</v>
      </c>
      <c r="D14" s="115" t="s">
        <v>362</v>
      </c>
      <c r="E14" s="112">
        <v>2</v>
      </c>
      <c r="F14" s="115">
        <v>5</v>
      </c>
      <c r="G14" s="104"/>
      <c r="H14" s="105">
        <f t="shared" si="0"/>
        <v>5</v>
      </c>
      <c r="I14" s="105"/>
      <c r="J14" s="105">
        <f t="shared" si="1"/>
        <v>5</v>
      </c>
    </row>
    <row r="15" spans="1:10" ht="15.75" customHeight="1">
      <c r="A15" s="105">
        <v>12</v>
      </c>
      <c r="B15" s="114" t="s">
        <v>308</v>
      </c>
      <c r="C15" s="114" t="s">
        <v>1498</v>
      </c>
      <c r="D15" s="115" t="s">
        <v>362</v>
      </c>
      <c r="E15" s="112">
        <v>3</v>
      </c>
      <c r="F15" s="115">
        <v>6</v>
      </c>
      <c r="G15" s="116"/>
      <c r="H15" s="105">
        <f t="shared" si="0"/>
        <v>6</v>
      </c>
      <c r="I15" s="106"/>
      <c r="J15" s="105">
        <f t="shared" si="1"/>
        <v>6</v>
      </c>
    </row>
    <row r="16" spans="1:10" ht="15.75" customHeight="1">
      <c r="A16" s="105">
        <v>13</v>
      </c>
      <c r="B16" s="114" t="s">
        <v>248</v>
      </c>
      <c r="C16" s="114" t="s">
        <v>1499</v>
      </c>
      <c r="D16" s="115" t="s">
        <v>362</v>
      </c>
      <c r="E16" s="112">
        <v>2</v>
      </c>
      <c r="F16" s="115">
        <v>3</v>
      </c>
      <c r="G16" s="104"/>
      <c r="H16" s="105">
        <f t="shared" si="0"/>
        <v>3</v>
      </c>
      <c r="I16" s="105"/>
      <c r="J16" s="105">
        <f t="shared" si="1"/>
        <v>3</v>
      </c>
    </row>
    <row r="17" spans="1:10" ht="15.75" customHeight="1">
      <c r="A17" s="105">
        <v>14</v>
      </c>
      <c r="B17" s="114" t="s">
        <v>249</v>
      </c>
      <c r="C17" s="114" t="s">
        <v>1500</v>
      </c>
      <c r="D17" s="115" t="s">
        <v>362</v>
      </c>
      <c r="E17" s="112">
        <v>2</v>
      </c>
      <c r="F17" s="115">
        <v>3</v>
      </c>
      <c r="G17" s="104"/>
      <c r="H17" s="105">
        <f t="shared" si="0"/>
        <v>3</v>
      </c>
      <c r="I17" s="105"/>
      <c r="J17" s="105">
        <f t="shared" si="1"/>
        <v>3</v>
      </c>
    </row>
    <row r="18" spans="1:10" ht="15.75" customHeight="1">
      <c r="A18" s="105">
        <v>15</v>
      </c>
      <c r="B18" s="114" t="s">
        <v>250</v>
      </c>
      <c r="C18" s="114" t="s">
        <v>1501</v>
      </c>
      <c r="D18" s="115" t="s">
        <v>362</v>
      </c>
      <c r="E18" s="112">
        <v>3</v>
      </c>
      <c r="F18" s="115">
        <v>25</v>
      </c>
      <c r="G18" s="116"/>
      <c r="H18" s="105">
        <f t="shared" si="0"/>
        <v>25</v>
      </c>
      <c r="I18" s="106"/>
      <c r="J18" s="105">
        <f t="shared" si="1"/>
        <v>25</v>
      </c>
    </row>
    <row r="19" spans="1:10" ht="15.75" customHeight="1">
      <c r="A19" s="105">
        <v>16</v>
      </c>
      <c r="B19" s="114" t="s">
        <v>251</v>
      </c>
      <c r="C19" s="114" t="s">
        <v>1502</v>
      </c>
      <c r="D19" s="115" t="s">
        <v>362</v>
      </c>
      <c r="E19" s="112">
        <v>2</v>
      </c>
      <c r="F19" s="115">
        <v>12</v>
      </c>
      <c r="G19" s="104"/>
      <c r="H19" s="105">
        <f t="shared" si="0"/>
        <v>12</v>
      </c>
      <c r="I19" s="105"/>
      <c r="J19" s="105">
        <f t="shared" si="1"/>
        <v>12</v>
      </c>
    </row>
    <row r="20" spans="1:10" ht="15.75" customHeight="1">
      <c r="A20" s="105">
        <v>17</v>
      </c>
      <c r="B20" s="114" t="s">
        <v>309</v>
      </c>
      <c r="C20" s="114" t="s">
        <v>1503</v>
      </c>
      <c r="D20" s="115" t="s">
        <v>362</v>
      </c>
      <c r="E20" s="112">
        <v>3</v>
      </c>
      <c r="F20" s="115">
        <v>10</v>
      </c>
      <c r="G20" s="116"/>
      <c r="H20" s="105">
        <f t="shared" si="0"/>
        <v>10</v>
      </c>
      <c r="I20" s="106"/>
      <c r="J20" s="105">
        <f t="shared" si="1"/>
        <v>10</v>
      </c>
    </row>
    <row r="21" spans="1:10" ht="15.75" customHeight="1">
      <c r="A21" s="105">
        <v>18</v>
      </c>
      <c r="B21" s="114" t="s">
        <v>220</v>
      </c>
      <c r="C21" s="114" t="s">
        <v>1504</v>
      </c>
      <c r="D21" s="115" t="s">
        <v>362</v>
      </c>
      <c r="E21" s="112">
        <v>1</v>
      </c>
      <c r="F21" s="115">
        <v>6</v>
      </c>
      <c r="G21" s="104"/>
      <c r="H21" s="105">
        <f t="shared" si="0"/>
        <v>6</v>
      </c>
      <c r="I21" s="105">
        <v>1</v>
      </c>
      <c r="J21" s="105">
        <f t="shared" si="1"/>
        <v>5</v>
      </c>
    </row>
    <row r="22" spans="1:10" ht="15.75" customHeight="1">
      <c r="A22" s="105">
        <v>19</v>
      </c>
      <c r="B22" s="114" t="s">
        <v>347</v>
      </c>
      <c r="C22" s="114" t="s">
        <v>1505</v>
      </c>
      <c r="D22" s="115" t="s">
        <v>362</v>
      </c>
      <c r="E22" s="112">
        <v>7</v>
      </c>
      <c r="F22" s="115">
        <v>1</v>
      </c>
      <c r="G22" s="116"/>
      <c r="H22" s="105">
        <f t="shared" si="0"/>
        <v>1</v>
      </c>
      <c r="I22" s="106">
        <v>1</v>
      </c>
      <c r="J22" s="105">
        <f t="shared" si="1"/>
        <v>0</v>
      </c>
    </row>
    <row r="23" spans="1:10" ht="15.75" customHeight="1">
      <c r="A23" s="105">
        <v>20</v>
      </c>
      <c r="B23" s="114" t="s">
        <v>252</v>
      </c>
      <c r="C23" s="114" t="s">
        <v>1506</v>
      </c>
      <c r="D23" s="115" t="s">
        <v>362</v>
      </c>
      <c r="E23" s="112">
        <v>2</v>
      </c>
      <c r="F23" s="115">
        <v>10</v>
      </c>
      <c r="G23" s="104"/>
      <c r="H23" s="105">
        <f t="shared" si="0"/>
        <v>10</v>
      </c>
      <c r="I23" s="105">
        <v>1</v>
      </c>
      <c r="J23" s="105">
        <f t="shared" si="1"/>
        <v>9</v>
      </c>
    </row>
    <row r="24" spans="1:10" ht="15.75" customHeight="1">
      <c r="A24" s="105">
        <v>21</v>
      </c>
      <c r="B24" s="114" t="s">
        <v>310</v>
      </c>
      <c r="C24" s="114" t="s">
        <v>1507</v>
      </c>
      <c r="D24" s="115" t="s">
        <v>362</v>
      </c>
      <c r="E24" s="112">
        <v>3</v>
      </c>
      <c r="F24" s="115">
        <v>10</v>
      </c>
      <c r="G24" s="116"/>
      <c r="H24" s="105">
        <f t="shared" si="0"/>
        <v>10</v>
      </c>
      <c r="I24" s="106"/>
      <c r="J24" s="105">
        <f t="shared" si="1"/>
        <v>10</v>
      </c>
    </row>
    <row r="25" spans="1:10" ht="15.75" customHeight="1">
      <c r="A25" s="105">
        <v>22</v>
      </c>
      <c r="B25" s="114" t="s">
        <v>253</v>
      </c>
      <c r="C25" s="114" t="s">
        <v>1508</v>
      </c>
      <c r="D25" s="115" t="s">
        <v>362</v>
      </c>
      <c r="E25" s="112">
        <v>2</v>
      </c>
      <c r="F25" s="115">
        <v>8</v>
      </c>
      <c r="G25" s="104"/>
      <c r="H25" s="105">
        <f t="shared" si="0"/>
        <v>8</v>
      </c>
      <c r="I25" s="105">
        <v>1</v>
      </c>
      <c r="J25" s="105">
        <f t="shared" si="1"/>
        <v>7</v>
      </c>
    </row>
    <row r="26" spans="1:10" ht="15.75" customHeight="1">
      <c r="A26" s="105">
        <v>23</v>
      </c>
      <c r="B26" s="114" t="s">
        <v>311</v>
      </c>
      <c r="C26" s="114" t="s">
        <v>1509</v>
      </c>
      <c r="D26" s="115" t="s">
        <v>362</v>
      </c>
      <c r="E26" s="112">
        <v>3</v>
      </c>
      <c r="F26" s="115">
        <v>2</v>
      </c>
      <c r="G26" s="116"/>
      <c r="H26" s="105">
        <f t="shared" si="0"/>
        <v>2</v>
      </c>
      <c r="I26" s="106"/>
      <c r="J26" s="105">
        <f t="shared" si="1"/>
        <v>2</v>
      </c>
    </row>
    <row r="27" spans="1:10" ht="15.75" customHeight="1">
      <c r="A27" s="105">
        <v>24</v>
      </c>
      <c r="B27" s="114" t="s">
        <v>254</v>
      </c>
      <c r="C27" s="114" t="s">
        <v>1510</v>
      </c>
      <c r="D27" s="115" t="s">
        <v>362</v>
      </c>
      <c r="E27" s="112">
        <v>2</v>
      </c>
      <c r="F27" s="115">
        <v>1</v>
      </c>
      <c r="G27" s="104"/>
      <c r="H27" s="105">
        <f t="shared" si="0"/>
        <v>1</v>
      </c>
      <c r="I27" s="105"/>
      <c r="J27" s="105">
        <f t="shared" si="1"/>
        <v>1</v>
      </c>
    </row>
    <row r="28" spans="1:10" ht="15.75" customHeight="1">
      <c r="A28" s="105">
        <v>25</v>
      </c>
      <c r="B28" s="114" t="s">
        <v>312</v>
      </c>
      <c r="C28" s="114" t="s">
        <v>1511</v>
      </c>
      <c r="D28" s="115" t="s">
        <v>362</v>
      </c>
      <c r="E28" s="112">
        <v>3</v>
      </c>
      <c r="F28" s="115">
        <v>4</v>
      </c>
      <c r="G28" s="116"/>
      <c r="H28" s="105">
        <f t="shared" si="0"/>
        <v>4</v>
      </c>
      <c r="I28" s="106"/>
      <c r="J28" s="105">
        <f t="shared" si="1"/>
        <v>4</v>
      </c>
    </row>
    <row r="29" spans="1:10" ht="15.75" customHeight="1">
      <c r="A29" s="105">
        <v>26</v>
      </c>
      <c r="B29" s="114" t="s">
        <v>221</v>
      </c>
      <c r="C29" s="114" t="s">
        <v>1512</v>
      </c>
      <c r="D29" s="115" t="s">
        <v>362</v>
      </c>
      <c r="E29" s="112">
        <v>1</v>
      </c>
      <c r="F29" s="115">
        <v>7</v>
      </c>
      <c r="G29" s="104"/>
      <c r="H29" s="105">
        <f t="shared" si="0"/>
        <v>7</v>
      </c>
      <c r="I29" s="105"/>
      <c r="J29" s="105">
        <f t="shared" si="1"/>
        <v>7</v>
      </c>
    </row>
    <row r="30" spans="1:10" ht="15.75" customHeight="1">
      <c r="A30" s="105">
        <v>27</v>
      </c>
      <c r="B30" s="114" t="s">
        <v>222</v>
      </c>
      <c r="C30" s="114" t="s">
        <v>1513</v>
      </c>
      <c r="D30" s="115" t="s">
        <v>362</v>
      </c>
      <c r="E30" s="112">
        <v>1</v>
      </c>
      <c r="F30" s="115">
        <v>4</v>
      </c>
      <c r="G30" s="104"/>
      <c r="H30" s="105">
        <f t="shared" si="0"/>
        <v>4</v>
      </c>
      <c r="I30" s="105"/>
      <c r="J30" s="105">
        <f t="shared" si="1"/>
        <v>4</v>
      </c>
    </row>
    <row r="31" spans="1:10" ht="15.75" customHeight="1">
      <c r="A31" s="105">
        <v>28</v>
      </c>
      <c r="B31" s="114" t="s">
        <v>223</v>
      </c>
      <c r="C31" s="114" t="s">
        <v>1514</v>
      </c>
      <c r="D31" s="115" t="s">
        <v>362</v>
      </c>
      <c r="E31" s="112">
        <v>1</v>
      </c>
      <c r="F31" s="115">
        <v>1</v>
      </c>
      <c r="G31" s="104"/>
      <c r="H31" s="105">
        <f t="shared" si="0"/>
        <v>1</v>
      </c>
      <c r="I31" s="105"/>
      <c r="J31" s="105">
        <f t="shared" si="1"/>
        <v>1</v>
      </c>
    </row>
    <row r="32" spans="1:10" ht="15.75" customHeight="1">
      <c r="A32" s="105">
        <v>29</v>
      </c>
      <c r="B32" s="114" t="s">
        <v>224</v>
      </c>
      <c r="C32" s="114" t="s">
        <v>1515</v>
      </c>
      <c r="D32" s="115" t="s">
        <v>362</v>
      </c>
      <c r="E32" s="112">
        <v>1</v>
      </c>
      <c r="F32" s="115">
        <v>8</v>
      </c>
      <c r="G32" s="104"/>
      <c r="H32" s="105">
        <f t="shared" si="0"/>
        <v>8</v>
      </c>
      <c r="I32" s="105">
        <v>5</v>
      </c>
      <c r="J32" s="105">
        <f t="shared" si="1"/>
        <v>3</v>
      </c>
    </row>
    <row r="33" spans="1:10" ht="15.75" customHeight="1">
      <c r="A33" s="105">
        <v>30</v>
      </c>
      <c r="B33" s="114" t="s">
        <v>225</v>
      </c>
      <c r="C33" s="114" t="s">
        <v>1516</v>
      </c>
      <c r="D33" s="115" t="s">
        <v>362</v>
      </c>
      <c r="E33" s="112">
        <v>1</v>
      </c>
      <c r="F33" s="115">
        <v>7</v>
      </c>
      <c r="G33" s="104"/>
      <c r="H33" s="105">
        <f t="shared" si="0"/>
        <v>7</v>
      </c>
      <c r="I33" s="105"/>
      <c r="J33" s="105">
        <f t="shared" si="1"/>
        <v>7</v>
      </c>
    </row>
    <row r="34" spans="1:10" ht="15.75" customHeight="1">
      <c r="A34" s="105">
        <v>31</v>
      </c>
      <c r="B34" s="114" t="s">
        <v>226</v>
      </c>
      <c r="C34" s="114" t="s">
        <v>1517</v>
      </c>
      <c r="D34" s="115" t="s">
        <v>362</v>
      </c>
      <c r="E34" s="112">
        <v>1</v>
      </c>
      <c r="F34" s="115">
        <v>11</v>
      </c>
      <c r="G34" s="104"/>
      <c r="H34" s="105">
        <f t="shared" si="0"/>
        <v>11</v>
      </c>
      <c r="I34" s="105">
        <v>1</v>
      </c>
      <c r="J34" s="105">
        <f t="shared" si="1"/>
        <v>10</v>
      </c>
    </row>
    <row r="35" spans="1:10" ht="15.75" customHeight="1">
      <c r="A35" s="105">
        <v>32</v>
      </c>
      <c r="B35" s="114" t="s">
        <v>227</v>
      </c>
      <c r="C35" s="114" t="s">
        <v>1518</v>
      </c>
      <c r="D35" s="115" t="s">
        <v>362</v>
      </c>
      <c r="E35" s="112">
        <v>1</v>
      </c>
      <c r="F35" s="115">
        <v>8</v>
      </c>
      <c r="G35" s="104"/>
      <c r="H35" s="105">
        <f t="shared" si="0"/>
        <v>8</v>
      </c>
      <c r="I35" s="105"/>
      <c r="J35" s="105">
        <f t="shared" si="1"/>
        <v>8</v>
      </c>
    </row>
    <row r="36" spans="1:10" ht="15.75" customHeight="1">
      <c r="A36" s="105">
        <v>33</v>
      </c>
      <c r="B36" s="114" t="s">
        <v>228</v>
      </c>
      <c r="C36" s="114" t="s">
        <v>1519</v>
      </c>
      <c r="D36" s="115" t="s">
        <v>362</v>
      </c>
      <c r="E36" s="112">
        <v>1</v>
      </c>
      <c r="F36" s="115">
        <v>8</v>
      </c>
      <c r="G36" s="104"/>
      <c r="H36" s="105">
        <f t="shared" si="0"/>
        <v>8</v>
      </c>
      <c r="I36" s="105"/>
      <c r="J36" s="105">
        <f t="shared" si="1"/>
        <v>8</v>
      </c>
    </row>
    <row r="37" spans="1:10" ht="15.75" customHeight="1">
      <c r="A37" s="105">
        <v>34</v>
      </c>
      <c r="B37" s="114" t="s">
        <v>327</v>
      </c>
      <c r="C37" s="114" t="s">
        <v>1520</v>
      </c>
      <c r="D37" s="115" t="s">
        <v>362</v>
      </c>
      <c r="E37" s="112">
        <v>5</v>
      </c>
      <c r="F37" s="115">
        <v>12</v>
      </c>
      <c r="G37" s="116"/>
      <c r="H37" s="105">
        <f t="shared" si="0"/>
        <v>12</v>
      </c>
      <c r="I37" s="106">
        <v>1</v>
      </c>
      <c r="J37" s="105">
        <f t="shared" si="1"/>
        <v>11</v>
      </c>
    </row>
    <row r="38" spans="1:10" ht="15.75" customHeight="1">
      <c r="A38" s="105">
        <v>35</v>
      </c>
      <c r="B38" s="114" t="s">
        <v>328</v>
      </c>
      <c r="C38" s="114" t="s">
        <v>1521</v>
      </c>
      <c r="D38" s="115" t="s">
        <v>362</v>
      </c>
      <c r="E38" s="112">
        <v>5</v>
      </c>
      <c r="F38" s="115">
        <v>10</v>
      </c>
      <c r="G38" s="116"/>
      <c r="H38" s="105">
        <f t="shared" si="0"/>
        <v>10</v>
      </c>
      <c r="I38" s="106"/>
      <c r="J38" s="105">
        <f t="shared" si="1"/>
        <v>10</v>
      </c>
    </row>
    <row r="39" spans="1:10" ht="15.75" customHeight="1">
      <c r="A39" s="105">
        <v>36</v>
      </c>
      <c r="B39" s="114" t="s">
        <v>329</v>
      </c>
      <c r="C39" s="114" t="s">
        <v>1522</v>
      </c>
      <c r="D39" s="115" t="s">
        <v>362</v>
      </c>
      <c r="E39" s="112">
        <v>5</v>
      </c>
      <c r="F39" s="115">
        <v>13</v>
      </c>
      <c r="G39" s="116"/>
      <c r="H39" s="105">
        <f t="shared" si="0"/>
        <v>13</v>
      </c>
      <c r="I39" s="106"/>
      <c r="J39" s="105">
        <f t="shared" si="1"/>
        <v>13</v>
      </c>
    </row>
    <row r="40" spans="1:10" ht="15.75" customHeight="1">
      <c r="A40" s="105">
        <v>37</v>
      </c>
      <c r="B40" s="114" t="s">
        <v>229</v>
      </c>
      <c r="C40" s="114" t="s">
        <v>1523</v>
      </c>
      <c r="D40" s="115" t="s">
        <v>362</v>
      </c>
      <c r="E40" s="112">
        <v>1</v>
      </c>
      <c r="F40" s="115">
        <v>6</v>
      </c>
      <c r="G40" s="104"/>
      <c r="H40" s="105">
        <f t="shared" si="0"/>
        <v>6</v>
      </c>
      <c r="I40" s="105"/>
      <c r="J40" s="105">
        <f t="shared" si="1"/>
        <v>6</v>
      </c>
    </row>
    <row r="41" spans="1:10" ht="15.75" customHeight="1">
      <c r="A41" s="105">
        <v>38</v>
      </c>
      <c r="B41" s="114" t="s">
        <v>330</v>
      </c>
      <c r="C41" s="114" t="s">
        <v>1524</v>
      </c>
      <c r="D41" s="115" t="s">
        <v>362</v>
      </c>
      <c r="E41" s="112">
        <v>5</v>
      </c>
      <c r="F41" s="115">
        <v>12</v>
      </c>
      <c r="G41" s="116"/>
      <c r="H41" s="105">
        <f t="shared" si="0"/>
        <v>12</v>
      </c>
      <c r="I41" s="106"/>
      <c r="J41" s="105">
        <f t="shared" si="1"/>
        <v>12</v>
      </c>
    </row>
    <row r="42" spans="1:10" ht="15.75" customHeight="1">
      <c r="A42" s="105">
        <v>39</v>
      </c>
      <c r="B42" s="114" t="s">
        <v>331</v>
      </c>
      <c r="C42" s="114" t="s">
        <v>1525</v>
      </c>
      <c r="D42" s="115" t="s">
        <v>362</v>
      </c>
      <c r="E42" s="112">
        <v>5</v>
      </c>
      <c r="F42" s="115">
        <v>16</v>
      </c>
      <c r="G42" s="116"/>
      <c r="H42" s="105">
        <f t="shared" si="0"/>
        <v>16</v>
      </c>
      <c r="I42" s="106"/>
      <c r="J42" s="105">
        <f t="shared" si="1"/>
        <v>16</v>
      </c>
    </row>
    <row r="43" spans="1:10" ht="15.75" customHeight="1">
      <c r="A43" s="105">
        <v>40</v>
      </c>
      <c r="B43" s="115" t="s">
        <v>317</v>
      </c>
      <c r="C43" s="114" t="s">
        <v>1526</v>
      </c>
      <c r="D43" s="115" t="s">
        <v>362</v>
      </c>
      <c r="E43" s="112">
        <v>4</v>
      </c>
      <c r="F43" s="117">
        <v>6</v>
      </c>
      <c r="G43" s="105"/>
      <c r="H43" s="105">
        <f t="shared" si="0"/>
        <v>6</v>
      </c>
      <c r="I43" s="105"/>
      <c r="J43" s="105">
        <f t="shared" si="1"/>
        <v>6</v>
      </c>
    </row>
    <row r="44" spans="1:10" ht="15.75" customHeight="1">
      <c r="A44" s="105">
        <v>41</v>
      </c>
      <c r="B44" s="114" t="s">
        <v>230</v>
      </c>
      <c r="C44" s="114" t="s">
        <v>1527</v>
      </c>
      <c r="D44" s="115" t="s">
        <v>362</v>
      </c>
      <c r="E44" s="112">
        <v>1</v>
      </c>
      <c r="F44" s="115">
        <v>19</v>
      </c>
      <c r="G44" s="104"/>
      <c r="H44" s="105">
        <f t="shared" si="0"/>
        <v>19</v>
      </c>
      <c r="I44" s="105"/>
      <c r="J44" s="105">
        <f t="shared" si="1"/>
        <v>19</v>
      </c>
    </row>
    <row r="45" spans="1:10" ht="15.75" customHeight="1">
      <c r="A45" s="105">
        <v>42</v>
      </c>
      <c r="B45" s="115" t="s">
        <v>318</v>
      </c>
      <c r="C45" s="114" t="s">
        <v>1528</v>
      </c>
      <c r="D45" s="115" t="s">
        <v>362</v>
      </c>
      <c r="E45" s="112">
        <v>4</v>
      </c>
      <c r="F45" s="117">
        <v>8</v>
      </c>
      <c r="G45" s="105"/>
      <c r="H45" s="105">
        <f t="shared" si="0"/>
        <v>8</v>
      </c>
      <c r="I45" s="105"/>
      <c r="J45" s="105">
        <f t="shared" si="1"/>
        <v>8</v>
      </c>
    </row>
    <row r="46" spans="1:10" ht="15.75" customHeight="1">
      <c r="A46" s="105">
        <v>43</v>
      </c>
      <c r="B46" s="115" t="s">
        <v>318</v>
      </c>
      <c r="C46" s="114" t="s">
        <v>1529</v>
      </c>
      <c r="D46" s="115" t="s">
        <v>362</v>
      </c>
      <c r="E46" s="112">
        <v>8</v>
      </c>
      <c r="F46" s="115">
        <v>6</v>
      </c>
      <c r="G46" s="116"/>
      <c r="H46" s="105">
        <f t="shared" si="0"/>
        <v>6</v>
      </c>
      <c r="I46" s="106"/>
      <c r="J46" s="105">
        <f t="shared" si="1"/>
        <v>6</v>
      </c>
    </row>
    <row r="47" spans="1:10" ht="15.75" customHeight="1">
      <c r="A47" s="105">
        <v>44</v>
      </c>
      <c r="B47" s="114" t="s">
        <v>333</v>
      </c>
      <c r="C47" s="114" t="s">
        <v>1530</v>
      </c>
      <c r="D47" s="115" t="s">
        <v>362</v>
      </c>
      <c r="E47" s="112">
        <v>6</v>
      </c>
      <c r="F47" s="115">
        <v>5</v>
      </c>
      <c r="G47" s="116"/>
      <c r="H47" s="105">
        <f t="shared" si="0"/>
        <v>5</v>
      </c>
      <c r="I47" s="106"/>
      <c r="J47" s="105">
        <f t="shared" si="1"/>
        <v>5</v>
      </c>
    </row>
    <row r="48" spans="1:10" ht="15.75" customHeight="1">
      <c r="A48" s="105">
        <v>45</v>
      </c>
      <c r="B48" s="114" t="s">
        <v>334</v>
      </c>
      <c r="C48" s="114" t="s">
        <v>1531</v>
      </c>
      <c r="D48" s="115" t="s">
        <v>362</v>
      </c>
      <c r="E48" s="112">
        <v>6</v>
      </c>
      <c r="F48" s="115">
        <v>14</v>
      </c>
      <c r="G48" s="116"/>
      <c r="H48" s="105">
        <f t="shared" si="0"/>
        <v>14</v>
      </c>
      <c r="I48" s="106"/>
      <c r="J48" s="105">
        <f t="shared" si="1"/>
        <v>14</v>
      </c>
    </row>
    <row r="49" spans="1:10" ht="15.75" customHeight="1">
      <c r="A49" s="105">
        <v>46</v>
      </c>
      <c r="B49" s="114" t="s">
        <v>335</v>
      </c>
      <c r="C49" s="114" t="s">
        <v>1532</v>
      </c>
      <c r="D49" s="115" t="s">
        <v>362</v>
      </c>
      <c r="E49" s="112">
        <v>6</v>
      </c>
      <c r="F49" s="115">
        <v>14</v>
      </c>
      <c r="G49" s="116"/>
      <c r="H49" s="105">
        <f t="shared" si="0"/>
        <v>14</v>
      </c>
      <c r="I49" s="106"/>
      <c r="J49" s="105">
        <f t="shared" si="1"/>
        <v>14</v>
      </c>
    </row>
    <row r="50" spans="1:10" ht="15.75" customHeight="1">
      <c r="A50" s="105">
        <v>47</v>
      </c>
      <c r="B50" s="114" t="s">
        <v>336</v>
      </c>
      <c r="C50" s="114" t="s">
        <v>1533</v>
      </c>
      <c r="D50" s="115" t="s">
        <v>362</v>
      </c>
      <c r="E50" s="112">
        <v>6</v>
      </c>
      <c r="F50" s="115">
        <v>7</v>
      </c>
      <c r="G50" s="116"/>
      <c r="H50" s="105">
        <f t="shared" si="0"/>
        <v>7</v>
      </c>
      <c r="I50" s="106"/>
      <c r="J50" s="105">
        <f t="shared" si="1"/>
        <v>7</v>
      </c>
    </row>
    <row r="51" spans="1:10" ht="15.75" customHeight="1">
      <c r="A51" s="105">
        <v>48</v>
      </c>
      <c r="B51" s="114" t="s">
        <v>337</v>
      </c>
      <c r="C51" s="114" t="s">
        <v>1534</v>
      </c>
      <c r="D51" s="115" t="s">
        <v>362</v>
      </c>
      <c r="E51" s="112">
        <v>6</v>
      </c>
      <c r="F51" s="115">
        <v>5</v>
      </c>
      <c r="G51" s="116"/>
      <c r="H51" s="105">
        <f t="shared" si="0"/>
        <v>5</v>
      </c>
      <c r="I51" s="106"/>
      <c r="J51" s="105">
        <f t="shared" si="1"/>
        <v>5</v>
      </c>
    </row>
    <row r="52" spans="1:10" ht="15.75" customHeight="1">
      <c r="A52" s="105">
        <v>49</v>
      </c>
      <c r="B52" s="114" t="s">
        <v>348</v>
      </c>
      <c r="C52" s="114" t="s">
        <v>1535</v>
      </c>
      <c r="D52" s="115" t="s">
        <v>362</v>
      </c>
      <c r="E52" s="112">
        <v>7</v>
      </c>
      <c r="F52" s="115">
        <v>18</v>
      </c>
      <c r="G52" s="116"/>
      <c r="H52" s="105">
        <f t="shared" si="0"/>
        <v>18</v>
      </c>
      <c r="I52" s="106"/>
      <c r="J52" s="105">
        <f t="shared" si="1"/>
        <v>18</v>
      </c>
    </row>
    <row r="53" spans="1:10" ht="15.75" customHeight="1">
      <c r="A53" s="105">
        <v>50</v>
      </c>
      <c r="B53" s="114" t="s">
        <v>349</v>
      </c>
      <c r="C53" s="114" t="s">
        <v>1536</v>
      </c>
      <c r="D53" s="115" t="s">
        <v>362</v>
      </c>
      <c r="E53" s="112">
        <v>7</v>
      </c>
      <c r="F53" s="115">
        <v>2</v>
      </c>
      <c r="G53" s="116"/>
      <c r="H53" s="105">
        <f t="shared" si="0"/>
        <v>2</v>
      </c>
      <c r="I53" s="106"/>
      <c r="J53" s="105">
        <f t="shared" si="1"/>
        <v>2</v>
      </c>
    </row>
    <row r="54" spans="1:10" ht="15.75" customHeight="1">
      <c r="A54" s="105">
        <v>51</v>
      </c>
      <c r="B54" s="114" t="s">
        <v>350</v>
      </c>
      <c r="C54" s="114" t="s">
        <v>1537</v>
      </c>
      <c r="D54" s="115" t="s">
        <v>362</v>
      </c>
      <c r="E54" s="112">
        <v>7</v>
      </c>
      <c r="F54" s="115">
        <v>11</v>
      </c>
      <c r="G54" s="116"/>
      <c r="H54" s="105">
        <f t="shared" si="0"/>
        <v>11</v>
      </c>
      <c r="I54" s="106"/>
      <c r="J54" s="105">
        <f t="shared" si="1"/>
        <v>11</v>
      </c>
    </row>
    <row r="55" spans="1:10" ht="15.75" customHeight="1">
      <c r="A55" s="105">
        <v>52</v>
      </c>
      <c r="B55" s="114" t="s">
        <v>351</v>
      </c>
      <c r="C55" s="114" t="s">
        <v>1538</v>
      </c>
      <c r="D55" s="115" t="s">
        <v>362</v>
      </c>
      <c r="E55" s="112">
        <v>7</v>
      </c>
      <c r="F55" s="115">
        <v>3</v>
      </c>
      <c r="G55" s="116"/>
      <c r="H55" s="105">
        <f t="shared" si="0"/>
        <v>3</v>
      </c>
      <c r="I55" s="106"/>
      <c r="J55" s="105">
        <f t="shared" si="1"/>
        <v>3</v>
      </c>
    </row>
    <row r="56" spans="1:10" ht="15.75" customHeight="1">
      <c r="A56" s="105">
        <v>53</v>
      </c>
      <c r="B56" s="114" t="s">
        <v>313</v>
      </c>
      <c r="C56" s="114" t="s">
        <v>1539</v>
      </c>
      <c r="D56" s="115" t="s">
        <v>362</v>
      </c>
      <c r="E56" s="112">
        <v>3</v>
      </c>
      <c r="F56" s="115">
        <v>14</v>
      </c>
      <c r="G56" s="116"/>
      <c r="H56" s="105">
        <f t="shared" si="0"/>
        <v>14</v>
      </c>
      <c r="I56" s="106">
        <v>2</v>
      </c>
      <c r="J56" s="105">
        <f t="shared" si="1"/>
        <v>12</v>
      </c>
    </row>
    <row r="57" spans="1:10" ht="15.75" customHeight="1">
      <c r="A57" s="105">
        <v>54</v>
      </c>
      <c r="B57" s="114" t="s">
        <v>352</v>
      </c>
      <c r="C57" s="114" t="s">
        <v>1540</v>
      </c>
      <c r="D57" s="115" t="s">
        <v>362</v>
      </c>
      <c r="E57" s="112">
        <v>7</v>
      </c>
      <c r="F57" s="115">
        <v>18</v>
      </c>
      <c r="G57" s="116"/>
      <c r="H57" s="105">
        <f t="shared" si="0"/>
        <v>18</v>
      </c>
      <c r="I57" s="106"/>
      <c r="J57" s="105">
        <f t="shared" si="1"/>
        <v>18</v>
      </c>
    </row>
    <row r="58" spans="1:10" ht="15.75" customHeight="1">
      <c r="A58" s="105">
        <v>55</v>
      </c>
      <c r="B58" s="115" t="s">
        <v>319</v>
      </c>
      <c r="C58" s="114" t="s">
        <v>1541</v>
      </c>
      <c r="D58" s="115" t="s">
        <v>362</v>
      </c>
      <c r="E58" s="112">
        <v>4</v>
      </c>
      <c r="F58" s="117">
        <v>7</v>
      </c>
      <c r="G58" s="105"/>
      <c r="H58" s="105">
        <f t="shared" si="0"/>
        <v>7</v>
      </c>
      <c r="I58" s="105"/>
      <c r="J58" s="105">
        <f t="shared" si="1"/>
        <v>7</v>
      </c>
    </row>
    <row r="59" spans="1:10" ht="15.75" customHeight="1">
      <c r="A59" s="105">
        <v>56</v>
      </c>
      <c r="B59" s="115" t="s">
        <v>320</v>
      </c>
      <c r="C59" s="114" t="s">
        <v>1542</v>
      </c>
      <c r="D59" s="115" t="s">
        <v>362</v>
      </c>
      <c r="E59" s="112">
        <v>4</v>
      </c>
      <c r="F59" s="117">
        <v>9</v>
      </c>
      <c r="G59" s="105"/>
      <c r="H59" s="105">
        <f t="shared" si="0"/>
        <v>9</v>
      </c>
      <c r="I59" s="105"/>
      <c r="J59" s="105">
        <f t="shared" si="1"/>
        <v>9</v>
      </c>
    </row>
    <row r="60" spans="1:10" ht="15.75" customHeight="1">
      <c r="A60" s="105">
        <v>57</v>
      </c>
      <c r="B60" s="115" t="s">
        <v>356</v>
      </c>
      <c r="C60" s="114" t="s">
        <v>1543</v>
      </c>
      <c r="D60" s="115" t="s">
        <v>362</v>
      </c>
      <c r="E60" s="112">
        <v>8</v>
      </c>
      <c r="F60" s="115">
        <v>6</v>
      </c>
      <c r="G60" s="116"/>
      <c r="H60" s="105">
        <f t="shared" si="0"/>
        <v>6</v>
      </c>
      <c r="I60" s="106"/>
      <c r="J60" s="105">
        <f t="shared" si="1"/>
        <v>6</v>
      </c>
    </row>
    <row r="61" spans="1:10" ht="15.75" customHeight="1">
      <c r="A61" s="105">
        <v>58</v>
      </c>
      <c r="B61" s="115" t="s">
        <v>357</v>
      </c>
      <c r="C61" s="114" t="s">
        <v>1544</v>
      </c>
      <c r="D61" s="115" t="s">
        <v>362</v>
      </c>
      <c r="E61" s="112">
        <v>8</v>
      </c>
      <c r="F61" s="115">
        <v>7</v>
      </c>
      <c r="G61" s="116"/>
      <c r="H61" s="105">
        <f t="shared" si="0"/>
        <v>7</v>
      </c>
      <c r="I61" s="106"/>
      <c r="J61" s="105">
        <f t="shared" si="1"/>
        <v>7</v>
      </c>
    </row>
    <row r="62" spans="1:10" ht="15.75" customHeight="1">
      <c r="A62" s="105">
        <v>59</v>
      </c>
      <c r="B62" s="115" t="s">
        <v>358</v>
      </c>
      <c r="C62" s="114" t="s">
        <v>1545</v>
      </c>
      <c r="D62" s="115" t="s">
        <v>362</v>
      </c>
      <c r="E62" s="112">
        <v>8</v>
      </c>
      <c r="F62" s="115">
        <v>9</v>
      </c>
      <c r="G62" s="116"/>
      <c r="H62" s="105">
        <f t="shared" si="0"/>
        <v>9</v>
      </c>
      <c r="I62" s="106"/>
      <c r="J62" s="105">
        <f t="shared" si="1"/>
        <v>9</v>
      </c>
    </row>
    <row r="63" spans="1:10" ht="15.75" customHeight="1">
      <c r="A63" s="105">
        <v>60</v>
      </c>
      <c r="B63" s="115" t="s">
        <v>359</v>
      </c>
      <c r="C63" s="114" t="s">
        <v>1546</v>
      </c>
      <c r="D63" s="115" t="s">
        <v>362</v>
      </c>
      <c r="E63" s="112">
        <v>8</v>
      </c>
      <c r="F63" s="115">
        <v>4</v>
      </c>
      <c r="G63" s="116"/>
      <c r="H63" s="105">
        <f t="shared" si="0"/>
        <v>4</v>
      </c>
      <c r="I63" s="106">
        <v>2</v>
      </c>
      <c r="J63" s="105">
        <f t="shared" si="1"/>
        <v>2</v>
      </c>
    </row>
    <row r="64" spans="1:10" ht="15.75" customHeight="1">
      <c r="A64" s="105">
        <v>61</v>
      </c>
      <c r="B64" s="114" t="s">
        <v>231</v>
      </c>
      <c r="C64" s="114" t="s">
        <v>1547</v>
      </c>
      <c r="D64" s="115" t="s">
        <v>362</v>
      </c>
      <c r="E64" s="112">
        <v>1</v>
      </c>
      <c r="F64" s="105">
        <v>5</v>
      </c>
      <c r="G64" s="104"/>
      <c r="H64" s="105">
        <f t="shared" si="0"/>
        <v>5</v>
      </c>
      <c r="I64" s="105"/>
      <c r="J64" s="105">
        <f t="shared" si="1"/>
        <v>5</v>
      </c>
    </row>
    <row r="65" spans="1:10" ht="15.75" customHeight="1">
      <c r="A65" s="105">
        <v>62</v>
      </c>
      <c r="B65" s="114" t="s">
        <v>255</v>
      </c>
      <c r="C65" s="114" t="s">
        <v>1548</v>
      </c>
      <c r="D65" s="115" t="s">
        <v>362</v>
      </c>
      <c r="E65" s="112">
        <v>2</v>
      </c>
      <c r="F65" s="105">
        <v>1</v>
      </c>
      <c r="G65" s="104"/>
      <c r="H65" s="105">
        <f t="shared" si="0"/>
        <v>1</v>
      </c>
      <c r="I65" s="105"/>
      <c r="J65" s="105">
        <f t="shared" si="1"/>
        <v>1</v>
      </c>
    </row>
    <row r="66" spans="1:10" ht="15.75" customHeight="1">
      <c r="A66" s="105">
        <v>63</v>
      </c>
      <c r="B66" s="114" t="s">
        <v>256</v>
      </c>
      <c r="C66" s="114" t="s">
        <v>1549</v>
      </c>
      <c r="D66" s="115" t="s">
        <v>362</v>
      </c>
      <c r="E66" s="112">
        <v>2</v>
      </c>
      <c r="F66" s="105">
        <v>1</v>
      </c>
      <c r="G66" s="104"/>
      <c r="H66" s="105">
        <f t="shared" si="0"/>
        <v>1</v>
      </c>
      <c r="I66" s="105"/>
      <c r="J66" s="105">
        <f t="shared" si="1"/>
        <v>1</v>
      </c>
    </row>
    <row r="67" spans="1:10" ht="15.75" customHeight="1">
      <c r="A67" s="105">
        <v>64</v>
      </c>
      <c r="B67" s="114" t="s">
        <v>257</v>
      </c>
      <c r="C67" s="114" t="s">
        <v>1550</v>
      </c>
      <c r="D67" s="115" t="s">
        <v>362</v>
      </c>
      <c r="E67" s="112">
        <v>2</v>
      </c>
      <c r="F67" s="105">
        <v>3</v>
      </c>
      <c r="G67" s="104"/>
      <c r="H67" s="105">
        <f t="shared" si="0"/>
        <v>3</v>
      </c>
      <c r="I67" s="105"/>
      <c r="J67" s="105">
        <f t="shared" si="1"/>
        <v>3</v>
      </c>
    </row>
    <row r="68" spans="1:10" ht="15.75" customHeight="1">
      <c r="A68" s="105">
        <v>65</v>
      </c>
      <c r="B68" s="114" t="s">
        <v>314</v>
      </c>
      <c r="C68" s="114" t="s">
        <v>1551</v>
      </c>
      <c r="D68" s="115" t="s">
        <v>362</v>
      </c>
      <c r="E68" s="112">
        <v>3</v>
      </c>
      <c r="F68" s="105">
        <v>1</v>
      </c>
      <c r="G68" s="116"/>
      <c r="H68" s="105">
        <f t="shared" si="0"/>
        <v>1</v>
      </c>
      <c r="I68" s="106"/>
      <c r="J68" s="105">
        <f t="shared" si="1"/>
        <v>1</v>
      </c>
    </row>
    <row r="69" spans="1:10" ht="15.75" customHeight="1">
      <c r="A69" s="105">
        <v>66</v>
      </c>
      <c r="B69" s="114" t="s">
        <v>315</v>
      </c>
      <c r="C69" s="114" t="s">
        <v>1552</v>
      </c>
      <c r="D69" s="115" t="s">
        <v>362</v>
      </c>
      <c r="E69" s="112">
        <v>3</v>
      </c>
      <c r="F69" s="105">
        <v>3</v>
      </c>
      <c r="G69" s="116"/>
      <c r="H69" s="105">
        <f t="shared" ref="H69:H77" si="2">SUM(F69:G69)</f>
        <v>3</v>
      </c>
      <c r="I69" s="106"/>
      <c r="J69" s="105">
        <f t="shared" ref="J69:J77" si="3">SUM(H69-I69)</f>
        <v>3</v>
      </c>
    </row>
    <row r="70" spans="1:10" ht="15.75" customHeight="1">
      <c r="A70" s="105">
        <v>67</v>
      </c>
      <c r="B70" s="114" t="s">
        <v>341</v>
      </c>
      <c r="C70" s="114" t="s">
        <v>1553</v>
      </c>
      <c r="D70" s="115" t="s">
        <v>362</v>
      </c>
      <c r="E70" s="112">
        <v>6</v>
      </c>
      <c r="F70" s="105">
        <v>3</v>
      </c>
      <c r="G70" s="116"/>
      <c r="H70" s="105">
        <f t="shared" si="2"/>
        <v>3</v>
      </c>
      <c r="I70" s="106"/>
      <c r="J70" s="105">
        <f t="shared" si="3"/>
        <v>3</v>
      </c>
    </row>
    <row r="71" spans="1:10" ht="15.75" customHeight="1">
      <c r="A71" s="105">
        <v>68</v>
      </c>
      <c r="B71" s="114" t="s">
        <v>342</v>
      </c>
      <c r="C71" s="114" t="s">
        <v>1554</v>
      </c>
      <c r="D71" s="115" t="s">
        <v>362</v>
      </c>
      <c r="E71" s="112">
        <v>6</v>
      </c>
      <c r="F71" s="105">
        <v>2</v>
      </c>
      <c r="G71" s="116"/>
      <c r="H71" s="105">
        <f t="shared" si="2"/>
        <v>2</v>
      </c>
      <c r="I71" s="106">
        <v>1</v>
      </c>
      <c r="J71" s="105">
        <f t="shared" si="3"/>
        <v>1</v>
      </c>
    </row>
    <row r="72" spans="1:10" ht="15.75" customHeight="1">
      <c r="A72" s="105">
        <v>69</v>
      </c>
      <c r="B72" s="115" t="s">
        <v>360</v>
      </c>
      <c r="C72" s="114" t="s">
        <v>1555</v>
      </c>
      <c r="D72" s="115" t="s">
        <v>362</v>
      </c>
      <c r="E72" s="112">
        <v>8</v>
      </c>
      <c r="F72" s="105">
        <v>3</v>
      </c>
      <c r="G72" s="116"/>
      <c r="H72" s="105">
        <f t="shared" si="2"/>
        <v>3</v>
      </c>
      <c r="I72" s="106"/>
      <c r="J72" s="105">
        <f t="shared" si="3"/>
        <v>3</v>
      </c>
    </row>
    <row r="73" spans="1:10" ht="15.75" customHeight="1">
      <c r="A73" s="105">
        <v>70</v>
      </c>
      <c r="B73" s="114" t="s">
        <v>353</v>
      </c>
      <c r="C73" s="114" t="s">
        <v>1556</v>
      </c>
      <c r="D73" s="115" t="s">
        <v>362</v>
      </c>
      <c r="E73" s="112">
        <v>7</v>
      </c>
      <c r="F73" s="105">
        <v>1</v>
      </c>
      <c r="G73" s="116"/>
      <c r="H73" s="105">
        <f t="shared" si="2"/>
        <v>1</v>
      </c>
      <c r="I73" s="106"/>
      <c r="J73" s="105">
        <f t="shared" si="3"/>
        <v>1</v>
      </c>
    </row>
    <row r="74" spans="1:10" ht="21" customHeight="1">
      <c r="A74" s="105">
        <v>71</v>
      </c>
      <c r="B74" s="114" t="s">
        <v>365</v>
      </c>
      <c r="C74" s="114" t="s">
        <v>1557</v>
      </c>
      <c r="D74" s="115" t="s">
        <v>362</v>
      </c>
      <c r="E74" s="112">
        <v>0</v>
      </c>
      <c r="F74" s="105"/>
      <c r="G74" s="116"/>
      <c r="H74" s="105">
        <f t="shared" si="2"/>
        <v>0</v>
      </c>
      <c r="I74" s="106"/>
      <c r="J74" s="105">
        <f t="shared" si="3"/>
        <v>0</v>
      </c>
    </row>
    <row r="75" spans="1:10" ht="21" customHeight="1">
      <c r="A75" s="105">
        <v>72</v>
      </c>
      <c r="B75" s="114" t="s">
        <v>366</v>
      </c>
      <c r="C75" s="114" t="s">
        <v>1491</v>
      </c>
      <c r="D75" s="115" t="s">
        <v>362</v>
      </c>
      <c r="E75" s="112">
        <v>0</v>
      </c>
      <c r="F75" s="105"/>
      <c r="G75" s="116"/>
      <c r="H75" s="105">
        <f t="shared" si="2"/>
        <v>0</v>
      </c>
      <c r="I75" s="106"/>
      <c r="J75" s="105">
        <f t="shared" si="3"/>
        <v>0</v>
      </c>
    </row>
    <row r="76" spans="1:10" ht="21" customHeight="1">
      <c r="A76" s="105">
        <v>73</v>
      </c>
      <c r="B76" s="114" t="s">
        <v>367</v>
      </c>
      <c r="C76" s="114" t="s">
        <v>1558</v>
      </c>
      <c r="D76" s="115" t="s">
        <v>362</v>
      </c>
      <c r="E76" s="112">
        <v>1</v>
      </c>
      <c r="F76" s="105">
        <v>2</v>
      </c>
      <c r="G76" s="116"/>
      <c r="H76" s="105">
        <f t="shared" si="2"/>
        <v>2</v>
      </c>
      <c r="I76" s="106">
        <v>1</v>
      </c>
      <c r="J76" s="105">
        <f t="shared" si="3"/>
        <v>1</v>
      </c>
    </row>
    <row r="77" spans="1:10" ht="21" customHeight="1">
      <c r="A77" s="105">
        <v>74</v>
      </c>
      <c r="B77" s="114" t="s">
        <v>368</v>
      </c>
      <c r="C77" s="114" t="s">
        <v>1559</v>
      </c>
      <c r="D77" s="115" t="s">
        <v>362</v>
      </c>
      <c r="E77" s="112">
        <v>0</v>
      </c>
      <c r="F77" s="105"/>
      <c r="G77" s="116"/>
      <c r="H77" s="105">
        <f t="shared" si="2"/>
        <v>0</v>
      </c>
      <c r="I77" s="106"/>
      <c r="J77" s="105">
        <f t="shared" si="3"/>
        <v>0</v>
      </c>
    </row>
  </sheetData>
  <sortState ref="B2:H71">
    <sortCondition ref="B2"/>
  </sortState>
  <mergeCells count="2">
    <mergeCell ref="B2:E2"/>
    <mergeCell ref="F2:J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2:S176"/>
  <sheetViews>
    <sheetView workbookViewId="0">
      <pane xSplit="3" ySplit="3" topLeftCell="D62" activePane="bottomRight" state="frozen"/>
      <selection pane="topRight" activeCell="D1" sqref="D1"/>
      <selection pane="bottomLeft" activeCell="A4" sqref="A4"/>
      <selection pane="bottomRight" activeCell="D1" sqref="D1:P1048576"/>
    </sheetView>
  </sheetViews>
  <sheetFormatPr defaultColWidth="6" defaultRowHeight="12"/>
  <cols>
    <col min="1" max="1" width="5.28515625" style="97" customWidth="1"/>
    <col min="2" max="2" width="8" style="97" customWidth="1"/>
    <col min="3" max="3" width="28.7109375" style="97" bestFit="1" customWidth="1"/>
    <col min="4" max="4" width="7.42578125" style="97" hidden="1" customWidth="1"/>
    <col min="5" max="5" width="9.140625" style="97" hidden="1" customWidth="1"/>
    <col min="6" max="6" width="7.140625" style="97" hidden="1" customWidth="1"/>
    <col min="7" max="7" width="6.85546875" style="97" hidden="1" customWidth="1"/>
    <col min="8" max="8" width="8.7109375" style="97" hidden="1" customWidth="1"/>
    <col min="9" max="9" width="8.42578125" style="124" hidden="1" customWidth="1"/>
    <col min="10" max="10" width="7.28515625" style="110" hidden="1" customWidth="1"/>
    <col min="11" max="11" width="9.5703125" style="110" hidden="1" customWidth="1"/>
    <col min="12" max="12" width="8.140625" style="97" hidden="1" customWidth="1"/>
    <col min="13" max="13" width="0" style="97" hidden="1" customWidth="1"/>
    <col min="14" max="14" width="9" style="97" hidden="1" customWidth="1"/>
    <col min="15" max="16" width="0" style="97" hidden="1" customWidth="1"/>
    <col min="17" max="17" width="9" style="97" bestFit="1" customWidth="1"/>
    <col min="18" max="16384" width="6" style="97"/>
  </cols>
  <sheetData>
    <row r="2" spans="1:19" ht="15.75" customHeight="1">
      <c r="A2" s="222" t="s">
        <v>772</v>
      </c>
      <c r="B2" s="222"/>
      <c r="C2" s="222"/>
      <c r="D2" s="223">
        <v>46220</v>
      </c>
      <c r="E2" s="222"/>
      <c r="F2" s="222"/>
      <c r="G2" s="222"/>
      <c r="H2" s="222"/>
      <c r="I2" s="223">
        <v>46221</v>
      </c>
      <c r="J2" s="223"/>
      <c r="K2" s="223"/>
      <c r="L2" s="223">
        <v>46224</v>
      </c>
      <c r="M2" s="222"/>
      <c r="N2" s="222"/>
      <c r="O2" s="223"/>
      <c r="P2" s="222"/>
      <c r="Q2" s="222"/>
    </row>
    <row r="3" spans="1:19" s="102" customFormat="1" ht="24">
      <c r="A3" s="98" t="s">
        <v>0</v>
      </c>
      <c r="B3" s="99" t="s">
        <v>232</v>
      </c>
      <c r="C3" s="98" t="s">
        <v>1</v>
      </c>
      <c r="D3" s="99" t="s">
        <v>2</v>
      </c>
      <c r="E3" s="100" t="s">
        <v>218</v>
      </c>
      <c r="F3" s="100" t="s">
        <v>769</v>
      </c>
      <c r="G3" s="100" t="s">
        <v>770</v>
      </c>
      <c r="H3" s="100" t="s">
        <v>219</v>
      </c>
      <c r="I3" s="101" t="s">
        <v>218</v>
      </c>
      <c r="J3" s="100" t="s">
        <v>770</v>
      </c>
      <c r="K3" s="100" t="s">
        <v>219</v>
      </c>
      <c r="L3" s="101" t="s">
        <v>218</v>
      </c>
      <c r="M3" s="100" t="s">
        <v>770</v>
      </c>
      <c r="N3" s="100" t="s">
        <v>219</v>
      </c>
      <c r="O3" s="101" t="s">
        <v>218</v>
      </c>
      <c r="P3" s="100" t="s">
        <v>770</v>
      </c>
      <c r="Q3" s="100" t="s">
        <v>219</v>
      </c>
      <c r="S3" s="192"/>
    </row>
    <row r="4" spans="1:19">
      <c r="A4" s="103">
        <v>1</v>
      </c>
      <c r="B4" s="103" t="s">
        <v>417</v>
      </c>
      <c r="C4" s="7" t="s">
        <v>408</v>
      </c>
      <c r="D4" s="103">
        <v>1</v>
      </c>
      <c r="E4" s="104"/>
      <c r="F4" s="105">
        <f>SUM(D4:E4)</f>
        <v>1</v>
      </c>
      <c r="G4" s="105"/>
      <c r="H4" s="105">
        <f>SUM(F4-G4)</f>
        <v>1</v>
      </c>
      <c r="I4" s="105"/>
      <c r="J4" s="107"/>
      <c r="K4" s="107">
        <f t="shared" ref="K4:K35" si="0">+H4+I4-J4</f>
        <v>1</v>
      </c>
      <c r="L4" s="106"/>
      <c r="M4" s="107"/>
      <c r="N4" s="107">
        <f>+K4+L4-M4</f>
        <v>1</v>
      </c>
      <c r="O4" s="106"/>
      <c r="P4" s="107"/>
      <c r="Q4" s="107">
        <f>+N4+O4-P4</f>
        <v>1</v>
      </c>
    </row>
    <row r="5" spans="1:19">
      <c r="A5" s="103">
        <v>2</v>
      </c>
      <c r="B5" s="103" t="s">
        <v>418</v>
      </c>
      <c r="C5" s="7" t="s">
        <v>83</v>
      </c>
      <c r="D5" s="103">
        <v>3</v>
      </c>
      <c r="E5" s="108"/>
      <c r="F5" s="105">
        <f t="shared" ref="F5:F68" si="1">SUM(D5:E5)</f>
        <v>3</v>
      </c>
      <c r="G5" s="105"/>
      <c r="H5" s="105">
        <f t="shared" ref="H5:H68" si="2">SUM(F5-G5)</f>
        <v>3</v>
      </c>
      <c r="I5" s="123"/>
      <c r="J5" s="107"/>
      <c r="K5" s="107">
        <f t="shared" si="0"/>
        <v>3</v>
      </c>
      <c r="L5" s="106"/>
      <c r="M5" s="107"/>
      <c r="N5" s="107">
        <f t="shared" ref="N5:N68" si="3">+K5+L5-M5</f>
        <v>3</v>
      </c>
      <c r="O5" s="106"/>
      <c r="P5" s="107"/>
      <c r="Q5" s="107">
        <f t="shared" ref="Q5:Q68" si="4">+N5+O5-P5</f>
        <v>3</v>
      </c>
    </row>
    <row r="6" spans="1:19">
      <c r="A6" s="103">
        <v>3</v>
      </c>
      <c r="B6" s="103" t="s">
        <v>419</v>
      </c>
      <c r="C6" s="7" t="s">
        <v>1058</v>
      </c>
      <c r="D6" s="103">
        <v>3</v>
      </c>
      <c r="E6" s="108"/>
      <c r="F6" s="105">
        <f t="shared" si="1"/>
        <v>3</v>
      </c>
      <c r="G6" s="105">
        <v>1</v>
      </c>
      <c r="H6" s="105">
        <f t="shared" si="2"/>
        <v>2</v>
      </c>
      <c r="I6" s="123"/>
      <c r="J6" s="107"/>
      <c r="K6" s="107">
        <f t="shared" si="0"/>
        <v>2</v>
      </c>
      <c r="L6" s="106">
        <v>4</v>
      </c>
      <c r="M6" s="107">
        <v>1</v>
      </c>
      <c r="N6" s="107">
        <f t="shared" si="3"/>
        <v>5</v>
      </c>
      <c r="O6" s="106"/>
      <c r="P6" s="107"/>
      <c r="Q6" s="107">
        <f t="shared" si="4"/>
        <v>5</v>
      </c>
    </row>
    <row r="7" spans="1:19">
      <c r="A7" s="103">
        <v>4</v>
      </c>
      <c r="B7" s="103" t="s">
        <v>420</v>
      </c>
      <c r="C7" s="7" t="s">
        <v>56</v>
      </c>
      <c r="D7" s="103">
        <v>3</v>
      </c>
      <c r="E7" s="108"/>
      <c r="F7" s="105">
        <f t="shared" si="1"/>
        <v>3</v>
      </c>
      <c r="G7" s="105"/>
      <c r="H7" s="105">
        <f t="shared" si="2"/>
        <v>3</v>
      </c>
      <c r="I7" s="123"/>
      <c r="J7" s="107"/>
      <c r="K7" s="107">
        <f t="shared" si="0"/>
        <v>3</v>
      </c>
      <c r="L7" s="106"/>
      <c r="M7" s="107"/>
      <c r="N7" s="107">
        <f t="shared" si="3"/>
        <v>3</v>
      </c>
      <c r="O7" s="106"/>
      <c r="P7" s="107"/>
      <c r="Q7" s="107">
        <f t="shared" si="4"/>
        <v>3</v>
      </c>
    </row>
    <row r="8" spans="1:19">
      <c r="A8" s="103">
        <v>5</v>
      </c>
      <c r="B8" s="103" t="s">
        <v>421</v>
      </c>
      <c r="C8" s="7" t="s">
        <v>411</v>
      </c>
      <c r="D8" s="109">
        <v>4</v>
      </c>
      <c r="E8" s="108"/>
      <c r="F8" s="105">
        <f t="shared" si="1"/>
        <v>4</v>
      </c>
      <c r="G8" s="105"/>
      <c r="H8" s="105">
        <f t="shared" si="2"/>
        <v>4</v>
      </c>
      <c r="I8" s="123"/>
      <c r="J8" s="107"/>
      <c r="K8" s="107">
        <f t="shared" si="0"/>
        <v>4</v>
      </c>
      <c r="L8" s="106"/>
      <c r="M8" s="107"/>
      <c r="N8" s="107">
        <f t="shared" si="3"/>
        <v>4</v>
      </c>
      <c r="O8" s="106"/>
      <c r="P8" s="107"/>
      <c r="Q8" s="107">
        <f t="shared" si="4"/>
        <v>4</v>
      </c>
    </row>
    <row r="9" spans="1:19">
      <c r="A9" s="103">
        <v>6</v>
      </c>
      <c r="B9" s="103" t="s">
        <v>422</v>
      </c>
      <c r="C9" s="7" t="s">
        <v>3</v>
      </c>
      <c r="D9" s="109">
        <v>4</v>
      </c>
      <c r="E9" s="108"/>
      <c r="F9" s="105">
        <f t="shared" si="1"/>
        <v>4</v>
      </c>
      <c r="G9" s="105"/>
      <c r="H9" s="105">
        <f t="shared" si="2"/>
        <v>4</v>
      </c>
      <c r="I9" s="123"/>
      <c r="J9" s="107"/>
      <c r="K9" s="107">
        <f t="shared" si="0"/>
        <v>4</v>
      </c>
      <c r="L9" s="106"/>
      <c r="M9" s="107"/>
      <c r="N9" s="107">
        <f t="shared" si="3"/>
        <v>4</v>
      </c>
      <c r="O9" s="106"/>
      <c r="P9" s="107"/>
      <c r="Q9" s="107">
        <f t="shared" si="4"/>
        <v>4</v>
      </c>
    </row>
    <row r="10" spans="1:19">
      <c r="A10" s="103">
        <v>7</v>
      </c>
      <c r="B10" s="103" t="s">
        <v>423</v>
      </c>
      <c r="C10" s="7" t="s">
        <v>4</v>
      </c>
      <c r="D10" s="109">
        <v>11</v>
      </c>
      <c r="E10" s="108"/>
      <c r="F10" s="105">
        <f t="shared" si="1"/>
        <v>11</v>
      </c>
      <c r="G10" s="105"/>
      <c r="H10" s="105">
        <f t="shared" si="2"/>
        <v>11</v>
      </c>
      <c r="I10" s="123"/>
      <c r="J10" s="107"/>
      <c r="K10" s="107">
        <f t="shared" si="0"/>
        <v>11</v>
      </c>
      <c r="L10" s="106"/>
      <c r="M10" s="107">
        <v>1</v>
      </c>
      <c r="N10" s="107">
        <f t="shared" si="3"/>
        <v>10</v>
      </c>
      <c r="O10" s="106"/>
      <c r="P10" s="107"/>
      <c r="Q10" s="107">
        <f t="shared" si="4"/>
        <v>10</v>
      </c>
    </row>
    <row r="11" spans="1:19">
      <c r="A11" s="103">
        <v>8</v>
      </c>
      <c r="B11" s="103" t="s">
        <v>424</v>
      </c>
      <c r="C11" s="7" t="s">
        <v>416</v>
      </c>
      <c r="D11" s="109">
        <v>1</v>
      </c>
      <c r="E11" s="108"/>
      <c r="F11" s="105">
        <f t="shared" si="1"/>
        <v>1</v>
      </c>
      <c r="G11" s="105"/>
      <c r="H11" s="105">
        <f t="shared" si="2"/>
        <v>1</v>
      </c>
      <c r="I11" s="123">
        <v>2</v>
      </c>
      <c r="J11" s="107"/>
      <c r="K11" s="107">
        <f t="shared" si="0"/>
        <v>3</v>
      </c>
      <c r="L11" s="106"/>
      <c r="M11" s="107"/>
      <c r="N11" s="107">
        <f t="shared" si="3"/>
        <v>3</v>
      </c>
      <c r="O11" s="106"/>
      <c r="P11" s="107">
        <v>1</v>
      </c>
      <c r="Q11" s="107">
        <f t="shared" si="4"/>
        <v>2</v>
      </c>
    </row>
    <row r="12" spans="1:19">
      <c r="A12" s="103">
        <v>9</v>
      </c>
      <c r="B12" s="103" t="s">
        <v>425</v>
      </c>
      <c r="C12" s="7" t="s">
        <v>33</v>
      </c>
      <c r="D12" s="109">
        <v>6</v>
      </c>
      <c r="E12" s="108"/>
      <c r="F12" s="105">
        <f t="shared" si="1"/>
        <v>6</v>
      </c>
      <c r="G12" s="105"/>
      <c r="H12" s="105">
        <f t="shared" si="2"/>
        <v>6</v>
      </c>
      <c r="I12" s="123"/>
      <c r="J12" s="107"/>
      <c r="K12" s="107">
        <f t="shared" si="0"/>
        <v>6</v>
      </c>
      <c r="L12" s="106"/>
      <c r="M12" s="107"/>
      <c r="N12" s="107">
        <f t="shared" si="3"/>
        <v>6</v>
      </c>
      <c r="O12" s="106"/>
      <c r="P12" s="107"/>
      <c r="Q12" s="107">
        <f t="shared" si="4"/>
        <v>6</v>
      </c>
    </row>
    <row r="13" spans="1:19">
      <c r="A13" s="103">
        <v>10</v>
      </c>
      <c r="B13" s="103" t="s">
        <v>426</v>
      </c>
      <c r="C13" s="7" t="s">
        <v>5</v>
      </c>
      <c r="D13" s="109">
        <v>1</v>
      </c>
      <c r="E13" s="108"/>
      <c r="F13" s="105">
        <f t="shared" si="1"/>
        <v>1</v>
      </c>
      <c r="G13" s="105"/>
      <c r="H13" s="105">
        <f t="shared" si="2"/>
        <v>1</v>
      </c>
      <c r="I13" s="123"/>
      <c r="J13" s="107"/>
      <c r="K13" s="107">
        <f t="shared" si="0"/>
        <v>1</v>
      </c>
      <c r="L13" s="106"/>
      <c r="M13" s="107"/>
      <c r="N13" s="107">
        <f t="shared" si="3"/>
        <v>1</v>
      </c>
      <c r="O13" s="106"/>
      <c r="P13" s="107"/>
      <c r="Q13" s="107">
        <f t="shared" si="4"/>
        <v>1</v>
      </c>
    </row>
    <row r="14" spans="1:19">
      <c r="A14" s="103">
        <v>11</v>
      </c>
      <c r="B14" s="103" t="s">
        <v>427</v>
      </c>
      <c r="C14" s="7">
        <v>6012</v>
      </c>
      <c r="D14" s="109">
        <v>4</v>
      </c>
      <c r="E14" s="108"/>
      <c r="F14" s="105">
        <f t="shared" si="1"/>
        <v>4</v>
      </c>
      <c r="G14" s="105"/>
      <c r="H14" s="105">
        <f t="shared" si="2"/>
        <v>4</v>
      </c>
      <c r="I14" s="123"/>
      <c r="J14" s="107"/>
      <c r="K14" s="107">
        <f t="shared" si="0"/>
        <v>4</v>
      </c>
      <c r="L14" s="106"/>
      <c r="M14" s="107"/>
      <c r="N14" s="107">
        <f t="shared" si="3"/>
        <v>4</v>
      </c>
      <c r="O14" s="106"/>
      <c r="P14" s="107">
        <v>2</v>
      </c>
      <c r="Q14" s="107">
        <f t="shared" si="4"/>
        <v>2</v>
      </c>
    </row>
    <row r="15" spans="1:19">
      <c r="A15" s="103">
        <v>12</v>
      </c>
      <c r="B15" s="103" t="s">
        <v>428</v>
      </c>
      <c r="C15" s="7" t="s">
        <v>6</v>
      </c>
      <c r="D15" s="109">
        <v>2</v>
      </c>
      <c r="E15" s="108"/>
      <c r="F15" s="105">
        <f t="shared" si="1"/>
        <v>2</v>
      </c>
      <c r="G15" s="105"/>
      <c r="H15" s="105">
        <f t="shared" si="2"/>
        <v>2</v>
      </c>
      <c r="I15" s="123"/>
      <c r="J15" s="107"/>
      <c r="K15" s="107">
        <f t="shared" si="0"/>
        <v>2</v>
      </c>
      <c r="L15" s="106"/>
      <c r="M15" s="107"/>
      <c r="N15" s="107">
        <f t="shared" si="3"/>
        <v>2</v>
      </c>
      <c r="O15" s="106"/>
      <c r="P15" s="107"/>
      <c r="Q15" s="107">
        <f t="shared" si="4"/>
        <v>2</v>
      </c>
    </row>
    <row r="16" spans="1:19">
      <c r="A16" s="103">
        <v>13</v>
      </c>
      <c r="B16" s="103" t="s">
        <v>429</v>
      </c>
      <c r="C16" s="7" t="s">
        <v>7</v>
      </c>
      <c r="D16" s="109">
        <v>1</v>
      </c>
      <c r="E16" s="108"/>
      <c r="F16" s="105">
        <f t="shared" si="1"/>
        <v>1</v>
      </c>
      <c r="G16" s="105"/>
      <c r="H16" s="105">
        <f t="shared" si="2"/>
        <v>1</v>
      </c>
      <c r="I16" s="123"/>
      <c r="J16" s="107"/>
      <c r="K16" s="107">
        <f t="shared" si="0"/>
        <v>1</v>
      </c>
      <c r="L16" s="106"/>
      <c r="M16" s="107"/>
      <c r="N16" s="107">
        <f t="shared" si="3"/>
        <v>1</v>
      </c>
      <c r="O16" s="106"/>
      <c r="P16" s="107"/>
      <c r="Q16" s="107">
        <f t="shared" si="4"/>
        <v>1</v>
      </c>
    </row>
    <row r="17" spans="1:17">
      <c r="A17" s="103">
        <v>14</v>
      </c>
      <c r="B17" s="103" t="s">
        <v>430</v>
      </c>
      <c r="C17" s="7" t="s">
        <v>8</v>
      </c>
      <c r="D17" s="109">
        <v>7</v>
      </c>
      <c r="E17" s="108"/>
      <c r="F17" s="105">
        <f t="shared" si="1"/>
        <v>7</v>
      </c>
      <c r="G17" s="105"/>
      <c r="H17" s="105">
        <f t="shared" si="2"/>
        <v>7</v>
      </c>
      <c r="I17" s="123"/>
      <c r="J17" s="107"/>
      <c r="K17" s="107">
        <f t="shared" si="0"/>
        <v>7</v>
      </c>
      <c r="L17" s="106"/>
      <c r="M17" s="107"/>
      <c r="N17" s="107">
        <f t="shared" si="3"/>
        <v>7</v>
      </c>
      <c r="O17" s="106"/>
      <c r="P17" s="107">
        <v>1</v>
      </c>
      <c r="Q17" s="107">
        <f t="shared" si="4"/>
        <v>6</v>
      </c>
    </row>
    <row r="18" spans="1:17">
      <c r="A18" s="103">
        <v>15</v>
      </c>
      <c r="B18" s="103" t="s">
        <v>431</v>
      </c>
      <c r="C18" s="7" t="s">
        <v>415</v>
      </c>
      <c r="D18" s="109">
        <v>1</v>
      </c>
      <c r="E18" s="108"/>
      <c r="F18" s="105">
        <f t="shared" si="1"/>
        <v>1</v>
      </c>
      <c r="G18" s="105"/>
      <c r="H18" s="105">
        <f t="shared" si="2"/>
        <v>1</v>
      </c>
      <c r="I18" s="123"/>
      <c r="J18" s="107"/>
      <c r="K18" s="107">
        <f t="shared" si="0"/>
        <v>1</v>
      </c>
      <c r="L18" s="106"/>
      <c r="M18" s="107"/>
      <c r="N18" s="107">
        <f t="shared" si="3"/>
        <v>1</v>
      </c>
      <c r="O18" s="106"/>
      <c r="P18" s="107">
        <v>1</v>
      </c>
      <c r="Q18" s="107">
        <f t="shared" si="4"/>
        <v>0</v>
      </c>
    </row>
    <row r="19" spans="1:17">
      <c r="A19" s="103">
        <v>16</v>
      </c>
      <c r="B19" s="103" t="s">
        <v>432</v>
      </c>
      <c r="C19" s="7" t="s">
        <v>9</v>
      </c>
      <c r="D19" s="109">
        <v>1</v>
      </c>
      <c r="E19" s="108"/>
      <c r="F19" s="105">
        <f t="shared" si="1"/>
        <v>1</v>
      </c>
      <c r="G19" s="105"/>
      <c r="H19" s="105">
        <f t="shared" si="2"/>
        <v>1</v>
      </c>
      <c r="I19" s="123"/>
      <c r="J19" s="107"/>
      <c r="K19" s="107">
        <f t="shared" si="0"/>
        <v>1</v>
      </c>
      <c r="L19" s="106"/>
      <c r="M19" s="107">
        <v>1</v>
      </c>
      <c r="N19" s="107">
        <f t="shared" si="3"/>
        <v>0</v>
      </c>
      <c r="O19" s="106">
        <v>5</v>
      </c>
      <c r="P19" s="107">
        <v>1</v>
      </c>
      <c r="Q19" s="107">
        <f t="shared" si="4"/>
        <v>4</v>
      </c>
    </row>
    <row r="20" spans="1:17">
      <c r="A20" s="103">
        <v>17</v>
      </c>
      <c r="B20" s="103" t="s">
        <v>433</v>
      </c>
      <c r="C20" s="7" t="s">
        <v>10</v>
      </c>
      <c r="D20" s="109">
        <v>0</v>
      </c>
      <c r="E20" s="108"/>
      <c r="F20" s="105">
        <f t="shared" si="1"/>
        <v>0</v>
      </c>
      <c r="G20" s="105"/>
      <c r="H20" s="105">
        <f t="shared" si="2"/>
        <v>0</v>
      </c>
      <c r="I20" s="123">
        <v>6</v>
      </c>
      <c r="J20" s="107">
        <v>1</v>
      </c>
      <c r="K20" s="107">
        <f t="shared" si="0"/>
        <v>5</v>
      </c>
      <c r="L20" s="106"/>
      <c r="M20" s="107"/>
      <c r="N20" s="107">
        <f t="shared" si="3"/>
        <v>5</v>
      </c>
      <c r="O20" s="106"/>
      <c r="P20" s="107">
        <v>1</v>
      </c>
      <c r="Q20" s="107">
        <f t="shared" si="4"/>
        <v>4</v>
      </c>
    </row>
    <row r="21" spans="1:17">
      <c r="A21" s="103">
        <v>18</v>
      </c>
      <c r="B21" s="103" t="s">
        <v>434</v>
      </c>
      <c r="C21" s="7" t="s">
        <v>11</v>
      </c>
      <c r="D21" s="109">
        <v>8</v>
      </c>
      <c r="E21" s="108"/>
      <c r="F21" s="105">
        <f t="shared" si="1"/>
        <v>8</v>
      </c>
      <c r="G21" s="105"/>
      <c r="H21" s="105">
        <f t="shared" si="2"/>
        <v>8</v>
      </c>
      <c r="I21" s="123"/>
      <c r="J21" s="107"/>
      <c r="K21" s="107">
        <f t="shared" si="0"/>
        <v>8</v>
      </c>
      <c r="L21" s="106"/>
      <c r="M21" s="107"/>
      <c r="N21" s="107">
        <f t="shared" si="3"/>
        <v>8</v>
      </c>
      <c r="O21" s="106"/>
      <c r="P21" s="107">
        <v>1</v>
      </c>
      <c r="Q21" s="107">
        <f t="shared" si="4"/>
        <v>7</v>
      </c>
    </row>
    <row r="22" spans="1:17">
      <c r="A22" s="103">
        <v>19</v>
      </c>
      <c r="B22" s="103" t="s">
        <v>435</v>
      </c>
      <c r="C22" s="7" t="s">
        <v>12</v>
      </c>
      <c r="D22" s="109">
        <v>6</v>
      </c>
      <c r="E22" s="108"/>
      <c r="F22" s="105">
        <f t="shared" si="1"/>
        <v>6</v>
      </c>
      <c r="G22" s="105"/>
      <c r="H22" s="105">
        <f t="shared" si="2"/>
        <v>6</v>
      </c>
      <c r="I22" s="123"/>
      <c r="J22" s="107"/>
      <c r="K22" s="107">
        <f t="shared" si="0"/>
        <v>6</v>
      </c>
      <c r="L22" s="106"/>
      <c r="M22" s="107"/>
      <c r="N22" s="107">
        <f t="shared" si="3"/>
        <v>6</v>
      </c>
      <c r="O22" s="106"/>
      <c r="P22" s="107"/>
      <c r="Q22" s="107">
        <f t="shared" si="4"/>
        <v>6</v>
      </c>
    </row>
    <row r="23" spans="1:17">
      <c r="A23" s="103">
        <v>20</v>
      </c>
      <c r="B23" s="103" t="s">
        <v>436</v>
      </c>
      <c r="C23" s="7">
        <v>6208</v>
      </c>
      <c r="D23" s="109">
        <v>6</v>
      </c>
      <c r="E23" s="108"/>
      <c r="F23" s="105">
        <f t="shared" si="1"/>
        <v>6</v>
      </c>
      <c r="G23" s="105"/>
      <c r="H23" s="105">
        <f t="shared" si="2"/>
        <v>6</v>
      </c>
      <c r="I23" s="123"/>
      <c r="J23" s="107"/>
      <c r="K23" s="107">
        <f t="shared" si="0"/>
        <v>6</v>
      </c>
      <c r="L23" s="106"/>
      <c r="M23" s="107"/>
      <c r="N23" s="107">
        <f t="shared" si="3"/>
        <v>6</v>
      </c>
      <c r="O23" s="106"/>
      <c r="P23" s="107"/>
      <c r="Q23" s="107">
        <f t="shared" si="4"/>
        <v>6</v>
      </c>
    </row>
    <row r="24" spans="1:17">
      <c r="A24" s="103">
        <v>21</v>
      </c>
      <c r="B24" s="103" t="s">
        <v>437</v>
      </c>
      <c r="C24" s="7" t="s">
        <v>66</v>
      </c>
      <c r="D24" s="109">
        <v>3</v>
      </c>
      <c r="E24" s="108"/>
      <c r="F24" s="105">
        <f t="shared" si="1"/>
        <v>3</v>
      </c>
      <c r="G24" s="105"/>
      <c r="H24" s="105">
        <f t="shared" si="2"/>
        <v>3</v>
      </c>
      <c r="I24" s="123"/>
      <c r="J24" s="107">
        <v>1</v>
      </c>
      <c r="K24" s="107">
        <f t="shared" si="0"/>
        <v>2</v>
      </c>
      <c r="L24" s="106"/>
      <c r="M24" s="107"/>
      <c r="N24" s="107">
        <f t="shared" si="3"/>
        <v>2</v>
      </c>
      <c r="O24" s="106"/>
      <c r="P24" s="107"/>
      <c r="Q24" s="107">
        <f t="shared" si="4"/>
        <v>2</v>
      </c>
    </row>
    <row r="25" spans="1:17">
      <c r="A25" s="103">
        <v>22</v>
      </c>
      <c r="B25" s="103" t="s">
        <v>438</v>
      </c>
      <c r="C25" s="7" t="s">
        <v>21</v>
      </c>
      <c r="D25" s="109">
        <v>1</v>
      </c>
      <c r="E25" s="108"/>
      <c r="F25" s="105">
        <f t="shared" si="1"/>
        <v>1</v>
      </c>
      <c r="G25" s="105"/>
      <c r="H25" s="105">
        <f t="shared" si="2"/>
        <v>1</v>
      </c>
      <c r="I25" s="123"/>
      <c r="J25" s="107"/>
      <c r="K25" s="107">
        <f t="shared" si="0"/>
        <v>1</v>
      </c>
      <c r="L25" s="106"/>
      <c r="M25" s="107">
        <v>1</v>
      </c>
      <c r="N25" s="107">
        <f t="shared" si="3"/>
        <v>0</v>
      </c>
      <c r="O25" s="106">
        <v>13</v>
      </c>
      <c r="P25" s="107"/>
      <c r="Q25" s="107">
        <f t="shared" si="4"/>
        <v>13</v>
      </c>
    </row>
    <row r="26" spans="1:17">
      <c r="A26" s="103">
        <v>23</v>
      </c>
      <c r="B26" s="103" t="s">
        <v>439</v>
      </c>
      <c r="C26" s="7">
        <v>6210</v>
      </c>
      <c r="D26" s="109">
        <v>1</v>
      </c>
      <c r="E26" s="108"/>
      <c r="F26" s="105">
        <f t="shared" si="1"/>
        <v>1</v>
      </c>
      <c r="G26" s="105"/>
      <c r="H26" s="105">
        <f t="shared" si="2"/>
        <v>1</v>
      </c>
      <c r="I26" s="123"/>
      <c r="J26" s="107"/>
      <c r="K26" s="107">
        <f t="shared" si="0"/>
        <v>1</v>
      </c>
      <c r="L26" s="106"/>
      <c r="M26" s="107"/>
      <c r="N26" s="107">
        <f t="shared" si="3"/>
        <v>1</v>
      </c>
      <c r="O26" s="106"/>
      <c r="P26" s="107">
        <v>1</v>
      </c>
      <c r="Q26" s="107">
        <f t="shared" si="4"/>
        <v>0</v>
      </c>
    </row>
    <row r="27" spans="1:17">
      <c r="A27" s="103">
        <v>24</v>
      </c>
      <c r="B27" s="103" t="s">
        <v>440</v>
      </c>
      <c r="C27" s="7" t="s">
        <v>13</v>
      </c>
      <c r="D27" s="109">
        <v>6</v>
      </c>
      <c r="E27" s="108"/>
      <c r="F27" s="105">
        <f t="shared" si="1"/>
        <v>6</v>
      </c>
      <c r="G27" s="105"/>
      <c r="H27" s="105">
        <f t="shared" si="2"/>
        <v>6</v>
      </c>
      <c r="I27" s="123"/>
      <c r="J27" s="107"/>
      <c r="K27" s="107">
        <f t="shared" si="0"/>
        <v>6</v>
      </c>
      <c r="L27" s="106"/>
      <c r="M27" s="107"/>
      <c r="N27" s="107">
        <f t="shared" si="3"/>
        <v>6</v>
      </c>
      <c r="O27" s="106"/>
      <c r="P27" s="107"/>
      <c r="Q27" s="107">
        <f t="shared" si="4"/>
        <v>6</v>
      </c>
    </row>
    <row r="28" spans="1:17">
      <c r="A28" s="103">
        <v>25</v>
      </c>
      <c r="B28" s="103" t="s">
        <v>441</v>
      </c>
      <c r="C28" s="7" t="s">
        <v>412</v>
      </c>
      <c r="D28" s="109">
        <v>6</v>
      </c>
      <c r="E28" s="108"/>
      <c r="F28" s="105">
        <f t="shared" si="1"/>
        <v>6</v>
      </c>
      <c r="G28" s="105"/>
      <c r="H28" s="105">
        <f t="shared" si="2"/>
        <v>6</v>
      </c>
      <c r="I28" s="123"/>
      <c r="J28" s="107"/>
      <c r="K28" s="107">
        <f t="shared" si="0"/>
        <v>6</v>
      </c>
      <c r="L28" s="106"/>
      <c r="M28" s="107"/>
      <c r="N28" s="107">
        <f t="shared" si="3"/>
        <v>6</v>
      </c>
      <c r="O28" s="106"/>
      <c r="P28" s="107"/>
      <c r="Q28" s="107">
        <f t="shared" si="4"/>
        <v>6</v>
      </c>
    </row>
    <row r="29" spans="1:17">
      <c r="A29" s="103">
        <v>26</v>
      </c>
      <c r="B29" s="103" t="s">
        <v>442</v>
      </c>
      <c r="C29" s="7" t="s">
        <v>58</v>
      </c>
      <c r="D29" s="109">
        <v>2</v>
      </c>
      <c r="E29" s="108"/>
      <c r="F29" s="105">
        <f t="shared" si="1"/>
        <v>2</v>
      </c>
      <c r="G29" s="105"/>
      <c r="H29" s="105">
        <f t="shared" si="2"/>
        <v>2</v>
      </c>
      <c r="I29" s="123"/>
      <c r="J29" s="107"/>
      <c r="K29" s="107">
        <f t="shared" si="0"/>
        <v>2</v>
      </c>
      <c r="L29" s="106"/>
      <c r="M29" s="107"/>
      <c r="N29" s="107">
        <f t="shared" si="3"/>
        <v>2</v>
      </c>
      <c r="O29" s="106"/>
      <c r="P29" s="107"/>
      <c r="Q29" s="107">
        <f t="shared" si="4"/>
        <v>2</v>
      </c>
    </row>
    <row r="30" spans="1:17">
      <c r="A30" s="103">
        <v>27</v>
      </c>
      <c r="B30" s="103" t="s">
        <v>443</v>
      </c>
      <c r="C30" s="7" t="s">
        <v>84</v>
      </c>
      <c r="D30" s="109">
        <v>3</v>
      </c>
      <c r="E30" s="108"/>
      <c r="F30" s="105">
        <f t="shared" si="1"/>
        <v>3</v>
      </c>
      <c r="G30" s="105"/>
      <c r="H30" s="105">
        <f t="shared" si="2"/>
        <v>3</v>
      </c>
      <c r="I30" s="123"/>
      <c r="J30" s="107"/>
      <c r="K30" s="107">
        <f t="shared" si="0"/>
        <v>3</v>
      </c>
      <c r="L30" s="106"/>
      <c r="M30" s="107"/>
      <c r="N30" s="107">
        <f t="shared" si="3"/>
        <v>3</v>
      </c>
      <c r="O30" s="106"/>
      <c r="P30" s="107"/>
      <c r="Q30" s="107">
        <f t="shared" si="4"/>
        <v>3</v>
      </c>
    </row>
    <row r="31" spans="1:17">
      <c r="A31" s="103">
        <v>28</v>
      </c>
      <c r="B31" s="103" t="s">
        <v>444</v>
      </c>
      <c r="C31" s="7" t="s">
        <v>15</v>
      </c>
      <c r="D31" s="109">
        <v>2</v>
      </c>
      <c r="E31" s="108"/>
      <c r="F31" s="105">
        <f t="shared" si="1"/>
        <v>2</v>
      </c>
      <c r="G31" s="105"/>
      <c r="H31" s="105">
        <f t="shared" si="2"/>
        <v>2</v>
      </c>
      <c r="I31" s="123"/>
      <c r="J31" s="107"/>
      <c r="K31" s="107">
        <f t="shared" si="0"/>
        <v>2</v>
      </c>
      <c r="L31" s="106"/>
      <c r="M31" s="107"/>
      <c r="N31" s="107">
        <f t="shared" si="3"/>
        <v>2</v>
      </c>
      <c r="O31" s="106"/>
      <c r="P31" s="107"/>
      <c r="Q31" s="107">
        <f t="shared" si="4"/>
        <v>2</v>
      </c>
    </row>
    <row r="32" spans="1:17">
      <c r="A32" s="103">
        <v>29</v>
      </c>
      <c r="B32" s="103" t="s">
        <v>445</v>
      </c>
      <c r="C32" s="7" t="s">
        <v>14</v>
      </c>
      <c r="D32" s="109">
        <v>2</v>
      </c>
      <c r="E32" s="108"/>
      <c r="F32" s="105">
        <f t="shared" si="1"/>
        <v>2</v>
      </c>
      <c r="G32" s="105"/>
      <c r="H32" s="105">
        <f t="shared" si="2"/>
        <v>2</v>
      </c>
      <c r="I32" s="123"/>
      <c r="J32" s="107"/>
      <c r="K32" s="107">
        <f t="shared" si="0"/>
        <v>2</v>
      </c>
      <c r="L32" s="106"/>
      <c r="M32" s="107"/>
      <c r="N32" s="107">
        <f t="shared" si="3"/>
        <v>2</v>
      </c>
      <c r="O32" s="106"/>
      <c r="P32" s="107"/>
      <c r="Q32" s="107">
        <f t="shared" si="4"/>
        <v>2</v>
      </c>
    </row>
    <row r="33" spans="1:17">
      <c r="A33" s="103">
        <v>30</v>
      </c>
      <c r="B33" s="103" t="s">
        <v>446</v>
      </c>
      <c r="C33" s="7" t="s">
        <v>16</v>
      </c>
      <c r="D33" s="109">
        <v>3</v>
      </c>
      <c r="E33" s="108"/>
      <c r="F33" s="105">
        <f t="shared" si="1"/>
        <v>3</v>
      </c>
      <c r="G33" s="105"/>
      <c r="H33" s="105">
        <f t="shared" si="2"/>
        <v>3</v>
      </c>
      <c r="I33" s="123"/>
      <c r="J33" s="107"/>
      <c r="K33" s="107">
        <f t="shared" si="0"/>
        <v>3</v>
      </c>
      <c r="L33" s="106"/>
      <c r="M33" s="107"/>
      <c r="N33" s="107">
        <f t="shared" si="3"/>
        <v>3</v>
      </c>
      <c r="O33" s="106"/>
      <c r="P33" s="107"/>
      <c r="Q33" s="107">
        <f t="shared" si="4"/>
        <v>3</v>
      </c>
    </row>
    <row r="34" spans="1:17">
      <c r="A34" s="103">
        <v>31</v>
      </c>
      <c r="B34" s="103" t="s">
        <v>447</v>
      </c>
      <c r="C34" s="7" t="s">
        <v>17</v>
      </c>
      <c r="D34" s="109">
        <v>6</v>
      </c>
      <c r="E34" s="108"/>
      <c r="F34" s="105">
        <f t="shared" si="1"/>
        <v>6</v>
      </c>
      <c r="G34" s="105"/>
      <c r="H34" s="105">
        <f t="shared" si="2"/>
        <v>6</v>
      </c>
      <c r="I34" s="123"/>
      <c r="J34" s="107"/>
      <c r="K34" s="107">
        <f t="shared" si="0"/>
        <v>6</v>
      </c>
      <c r="L34" s="106"/>
      <c r="M34" s="107"/>
      <c r="N34" s="107">
        <f t="shared" si="3"/>
        <v>6</v>
      </c>
      <c r="O34" s="106"/>
      <c r="P34" s="107"/>
      <c r="Q34" s="107">
        <f t="shared" si="4"/>
        <v>6</v>
      </c>
    </row>
    <row r="35" spans="1:17">
      <c r="A35" s="103">
        <v>32</v>
      </c>
      <c r="B35" s="103" t="s">
        <v>448</v>
      </c>
      <c r="C35" s="7" t="s">
        <v>214</v>
      </c>
      <c r="D35" s="109">
        <v>11</v>
      </c>
      <c r="E35" s="108"/>
      <c r="F35" s="105">
        <f t="shared" si="1"/>
        <v>11</v>
      </c>
      <c r="G35" s="105"/>
      <c r="H35" s="105">
        <f t="shared" si="2"/>
        <v>11</v>
      </c>
      <c r="I35" s="123"/>
      <c r="J35" s="107"/>
      <c r="K35" s="107">
        <f t="shared" si="0"/>
        <v>11</v>
      </c>
      <c r="L35" s="106"/>
      <c r="M35" s="107">
        <v>1</v>
      </c>
      <c r="N35" s="107">
        <f t="shared" si="3"/>
        <v>10</v>
      </c>
      <c r="O35" s="106"/>
      <c r="P35" s="107"/>
      <c r="Q35" s="107">
        <f t="shared" si="4"/>
        <v>10</v>
      </c>
    </row>
    <row r="36" spans="1:17">
      <c r="A36" s="103">
        <v>33</v>
      </c>
      <c r="B36" s="103" t="s">
        <v>449</v>
      </c>
      <c r="C36" s="7" t="s">
        <v>18</v>
      </c>
      <c r="D36" s="109">
        <v>7</v>
      </c>
      <c r="E36" s="108"/>
      <c r="F36" s="105">
        <f t="shared" si="1"/>
        <v>7</v>
      </c>
      <c r="G36" s="105"/>
      <c r="H36" s="105">
        <f t="shared" si="2"/>
        <v>7</v>
      </c>
      <c r="I36" s="123"/>
      <c r="J36" s="107"/>
      <c r="K36" s="107">
        <f t="shared" ref="K36:K67" si="5">+H36+I36-J36</f>
        <v>7</v>
      </c>
      <c r="L36" s="106"/>
      <c r="M36" s="107"/>
      <c r="N36" s="107">
        <f t="shared" si="3"/>
        <v>7</v>
      </c>
      <c r="O36" s="106"/>
      <c r="P36" s="107"/>
      <c r="Q36" s="107">
        <f t="shared" si="4"/>
        <v>7</v>
      </c>
    </row>
    <row r="37" spans="1:17">
      <c r="A37" s="103">
        <v>34</v>
      </c>
      <c r="B37" s="103" t="s">
        <v>450</v>
      </c>
      <c r="C37" s="7" t="s">
        <v>215</v>
      </c>
      <c r="D37" s="109">
        <v>7</v>
      </c>
      <c r="E37" s="108"/>
      <c r="F37" s="105">
        <f t="shared" si="1"/>
        <v>7</v>
      </c>
      <c r="G37" s="105"/>
      <c r="H37" s="105">
        <f t="shared" si="2"/>
        <v>7</v>
      </c>
      <c r="I37" s="123"/>
      <c r="J37" s="107"/>
      <c r="K37" s="107">
        <f t="shared" si="5"/>
        <v>7</v>
      </c>
      <c r="L37" s="106"/>
      <c r="M37" s="107"/>
      <c r="N37" s="107">
        <f t="shared" si="3"/>
        <v>7</v>
      </c>
      <c r="O37" s="106"/>
      <c r="P37" s="107">
        <v>1</v>
      </c>
      <c r="Q37" s="107">
        <f t="shared" si="4"/>
        <v>6</v>
      </c>
    </row>
    <row r="38" spans="1:17">
      <c r="A38" s="103">
        <v>35</v>
      </c>
      <c r="B38" s="103" t="s">
        <v>451</v>
      </c>
      <c r="C38" s="7" t="s">
        <v>385</v>
      </c>
      <c r="D38" s="109">
        <v>9</v>
      </c>
      <c r="E38" s="108"/>
      <c r="F38" s="105">
        <f t="shared" si="1"/>
        <v>9</v>
      </c>
      <c r="G38" s="105"/>
      <c r="H38" s="105">
        <f t="shared" si="2"/>
        <v>9</v>
      </c>
      <c r="I38" s="123"/>
      <c r="J38" s="107"/>
      <c r="K38" s="107">
        <f t="shared" si="5"/>
        <v>9</v>
      </c>
      <c r="L38" s="106"/>
      <c r="M38" s="107"/>
      <c r="N38" s="107">
        <f t="shared" si="3"/>
        <v>9</v>
      </c>
      <c r="O38" s="106"/>
      <c r="P38" s="107"/>
      <c r="Q38" s="107">
        <f t="shared" si="4"/>
        <v>9</v>
      </c>
    </row>
    <row r="39" spans="1:17">
      <c r="A39" s="103">
        <v>36</v>
      </c>
      <c r="B39" s="103" t="s">
        <v>452</v>
      </c>
      <c r="C39" s="7" t="s">
        <v>19</v>
      </c>
      <c r="D39" s="109">
        <v>2</v>
      </c>
      <c r="E39" s="108"/>
      <c r="F39" s="105">
        <f t="shared" si="1"/>
        <v>2</v>
      </c>
      <c r="G39" s="105"/>
      <c r="H39" s="105">
        <f t="shared" si="2"/>
        <v>2</v>
      </c>
      <c r="I39" s="123"/>
      <c r="J39" s="107"/>
      <c r="K39" s="107">
        <f t="shared" si="5"/>
        <v>2</v>
      </c>
      <c r="L39" s="106"/>
      <c r="M39" s="107">
        <v>1</v>
      </c>
      <c r="N39" s="107">
        <f t="shared" si="3"/>
        <v>1</v>
      </c>
      <c r="O39" s="106">
        <v>5</v>
      </c>
      <c r="P39" s="107">
        <v>2</v>
      </c>
      <c r="Q39" s="107">
        <f t="shared" si="4"/>
        <v>4</v>
      </c>
    </row>
    <row r="40" spans="1:17">
      <c r="A40" s="103">
        <v>37</v>
      </c>
      <c r="B40" s="103" t="s">
        <v>453</v>
      </c>
      <c r="C40" s="7" t="s">
        <v>1019</v>
      </c>
      <c r="D40" s="109">
        <v>4</v>
      </c>
      <c r="E40" s="108"/>
      <c r="F40" s="105">
        <f t="shared" si="1"/>
        <v>4</v>
      </c>
      <c r="G40" s="105">
        <v>1</v>
      </c>
      <c r="H40" s="105">
        <f t="shared" si="2"/>
        <v>3</v>
      </c>
      <c r="I40" s="123"/>
      <c r="J40" s="107">
        <v>1</v>
      </c>
      <c r="K40" s="107">
        <f t="shared" si="5"/>
        <v>2</v>
      </c>
      <c r="L40" s="106"/>
      <c r="M40" s="107">
        <v>1</v>
      </c>
      <c r="N40" s="107">
        <f t="shared" si="3"/>
        <v>1</v>
      </c>
      <c r="O40" s="106">
        <v>1</v>
      </c>
      <c r="P40" s="107"/>
      <c r="Q40" s="107">
        <f t="shared" si="4"/>
        <v>2</v>
      </c>
    </row>
    <row r="41" spans="1:17">
      <c r="A41" s="103">
        <v>38</v>
      </c>
      <c r="B41" s="103" t="s">
        <v>454</v>
      </c>
      <c r="C41" s="7" t="s">
        <v>22</v>
      </c>
      <c r="D41" s="109">
        <v>6</v>
      </c>
      <c r="E41" s="108"/>
      <c r="F41" s="105">
        <f t="shared" si="1"/>
        <v>6</v>
      </c>
      <c r="G41" s="105">
        <v>2</v>
      </c>
      <c r="H41" s="105">
        <f t="shared" si="2"/>
        <v>4</v>
      </c>
      <c r="I41" s="123"/>
      <c r="J41" s="107"/>
      <c r="K41" s="107">
        <f t="shared" si="5"/>
        <v>4</v>
      </c>
      <c r="L41" s="106"/>
      <c r="M41" s="107"/>
      <c r="N41" s="107">
        <f t="shared" si="3"/>
        <v>4</v>
      </c>
      <c r="O41" s="106"/>
      <c r="P41" s="107">
        <v>1</v>
      </c>
      <c r="Q41" s="107">
        <f t="shared" si="4"/>
        <v>3</v>
      </c>
    </row>
    <row r="42" spans="1:17">
      <c r="A42" s="103">
        <v>39</v>
      </c>
      <c r="B42" s="103" t="s">
        <v>455</v>
      </c>
      <c r="C42" s="7" t="s">
        <v>23</v>
      </c>
      <c r="D42" s="109">
        <v>2</v>
      </c>
      <c r="E42" s="108"/>
      <c r="F42" s="105">
        <f t="shared" si="1"/>
        <v>2</v>
      </c>
      <c r="G42" s="105"/>
      <c r="H42" s="105">
        <f t="shared" si="2"/>
        <v>2</v>
      </c>
      <c r="I42" s="123"/>
      <c r="J42" s="107"/>
      <c r="K42" s="107">
        <f t="shared" si="5"/>
        <v>2</v>
      </c>
      <c r="L42" s="106"/>
      <c r="M42" s="107"/>
      <c r="N42" s="107">
        <f t="shared" si="3"/>
        <v>2</v>
      </c>
      <c r="O42" s="106"/>
      <c r="P42" s="107"/>
      <c r="Q42" s="107">
        <f t="shared" si="4"/>
        <v>2</v>
      </c>
    </row>
    <row r="43" spans="1:17">
      <c r="A43" s="103">
        <v>40</v>
      </c>
      <c r="B43" s="103" t="s">
        <v>456</v>
      </c>
      <c r="C43" s="7" t="s">
        <v>24</v>
      </c>
      <c r="D43" s="109">
        <v>3</v>
      </c>
      <c r="E43" s="108"/>
      <c r="F43" s="105">
        <f t="shared" si="1"/>
        <v>3</v>
      </c>
      <c r="G43" s="105"/>
      <c r="H43" s="105">
        <f t="shared" si="2"/>
        <v>3</v>
      </c>
      <c r="I43" s="123"/>
      <c r="J43" s="107"/>
      <c r="K43" s="107">
        <f t="shared" si="5"/>
        <v>3</v>
      </c>
      <c r="L43" s="106"/>
      <c r="M43" s="107"/>
      <c r="N43" s="107">
        <f t="shared" si="3"/>
        <v>3</v>
      </c>
      <c r="O43" s="106"/>
      <c r="P43" s="107"/>
      <c r="Q43" s="107">
        <f t="shared" si="4"/>
        <v>3</v>
      </c>
    </row>
    <row r="44" spans="1:17">
      <c r="A44" s="103">
        <v>41</v>
      </c>
      <c r="B44" s="103" t="s">
        <v>457</v>
      </c>
      <c r="C44" s="7" t="s">
        <v>25</v>
      </c>
      <c r="D44" s="109">
        <v>8</v>
      </c>
      <c r="E44" s="108"/>
      <c r="F44" s="105">
        <f t="shared" si="1"/>
        <v>8</v>
      </c>
      <c r="G44" s="105"/>
      <c r="H44" s="105">
        <f t="shared" si="2"/>
        <v>8</v>
      </c>
      <c r="I44" s="123"/>
      <c r="J44" s="107"/>
      <c r="K44" s="107">
        <f t="shared" si="5"/>
        <v>8</v>
      </c>
      <c r="L44" s="106"/>
      <c r="M44" s="107"/>
      <c r="N44" s="107">
        <f t="shared" si="3"/>
        <v>8</v>
      </c>
      <c r="O44" s="106"/>
      <c r="P44" s="107"/>
      <c r="Q44" s="107">
        <f t="shared" si="4"/>
        <v>8</v>
      </c>
    </row>
    <row r="45" spans="1:17">
      <c r="A45" s="103">
        <v>42</v>
      </c>
      <c r="B45" s="103" t="s">
        <v>458</v>
      </c>
      <c r="C45" s="7" t="s">
        <v>85</v>
      </c>
      <c r="D45" s="109">
        <v>1</v>
      </c>
      <c r="E45" s="108"/>
      <c r="F45" s="105">
        <f t="shared" si="1"/>
        <v>1</v>
      </c>
      <c r="G45" s="105"/>
      <c r="H45" s="105">
        <f t="shared" si="2"/>
        <v>1</v>
      </c>
      <c r="I45" s="123"/>
      <c r="J45" s="107"/>
      <c r="K45" s="107">
        <f t="shared" si="5"/>
        <v>1</v>
      </c>
      <c r="L45" s="106"/>
      <c r="M45" s="107"/>
      <c r="N45" s="107">
        <f t="shared" si="3"/>
        <v>1</v>
      </c>
      <c r="O45" s="106"/>
      <c r="P45" s="107"/>
      <c r="Q45" s="107">
        <f t="shared" si="4"/>
        <v>1</v>
      </c>
    </row>
    <row r="46" spans="1:17">
      <c r="A46" s="103">
        <v>43</v>
      </c>
      <c r="B46" s="103" t="s">
        <v>459</v>
      </c>
      <c r="C46" s="7" t="s">
        <v>86</v>
      </c>
      <c r="D46" s="109">
        <v>3</v>
      </c>
      <c r="E46" s="108"/>
      <c r="F46" s="105">
        <f t="shared" si="1"/>
        <v>3</v>
      </c>
      <c r="G46" s="105"/>
      <c r="H46" s="105">
        <f t="shared" si="2"/>
        <v>3</v>
      </c>
      <c r="I46" s="123"/>
      <c r="J46" s="107"/>
      <c r="K46" s="107">
        <f t="shared" si="5"/>
        <v>3</v>
      </c>
      <c r="L46" s="106"/>
      <c r="M46" s="107"/>
      <c r="N46" s="107">
        <f t="shared" si="3"/>
        <v>3</v>
      </c>
      <c r="O46" s="106"/>
      <c r="P46" s="107"/>
      <c r="Q46" s="107">
        <f t="shared" si="4"/>
        <v>3</v>
      </c>
    </row>
    <row r="47" spans="1:17">
      <c r="A47" s="103">
        <v>44</v>
      </c>
      <c r="B47" s="103" t="s">
        <v>460</v>
      </c>
      <c r="C47" s="7" t="s">
        <v>101</v>
      </c>
      <c r="D47" s="109">
        <v>3</v>
      </c>
      <c r="E47" s="108"/>
      <c r="F47" s="105">
        <f t="shared" si="1"/>
        <v>3</v>
      </c>
      <c r="G47" s="105"/>
      <c r="H47" s="105">
        <f t="shared" si="2"/>
        <v>3</v>
      </c>
      <c r="I47" s="123"/>
      <c r="J47" s="107"/>
      <c r="K47" s="107">
        <f t="shared" si="5"/>
        <v>3</v>
      </c>
      <c r="L47" s="106"/>
      <c r="M47" s="107"/>
      <c r="N47" s="107">
        <f t="shared" si="3"/>
        <v>3</v>
      </c>
      <c r="O47" s="106"/>
      <c r="P47" s="107"/>
      <c r="Q47" s="107">
        <f t="shared" si="4"/>
        <v>3</v>
      </c>
    </row>
    <row r="48" spans="1:17">
      <c r="A48" s="103">
        <v>45</v>
      </c>
      <c r="B48" s="103" t="s">
        <v>461</v>
      </c>
      <c r="C48" s="7" t="s">
        <v>144</v>
      </c>
      <c r="D48" s="109">
        <v>2</v>
      </c>
      <c r="E48" s="108"/>
      <c r="F48" s="105">
        <f t="shared" si="1"/>
        <v>2</v>
      </c>
      <c r="G48" s="105"/>
      <c r="H48" s="105">
        <f t="shared" si="2"/>
        <v>2</v>
      </c>
      <c r="I48" s="123"/>
      <c r="J48" s="107"/>
      <c r="K48" s="107">
        <f t="shared" si="5"/>
        <v>2</v>
      </c>
      <c r="L48" s="106"/>
      <c r="M48" s="107"/>
      <c r="N48" s="107">
        <f t="shared" si="3"/>
        <v>2</v>
      </c>
      <c r="O48" s="106"/>
      <c r="P48" s="107"/>
      <c r="Q48" s="107">
        <f t="shared" si="4"/>
        <v>2</v>
      </c>
    </row>
    <row r="49" spans="1:17">
      <c r="A49" s="103">
        <v>46</v>
      </c>
      <c r="B49" s="103" t="s">
        <v>462</v>
      </c>
      <c r="C49" s="7" t="s">
        <v>114</v>
      </c>
      <c r="D49" s="109">
        <v>5</v>
      </c>
      <c r="E49" s="108"/>
      <c r="F49" s="105">
        <f t="shared" si="1"/>
        <v>5</v>
      </c>
      <c r="G49" s="105"/>
      <c r="H49" s="105">
        <f t="shared" si="2"/>
        <v>5</v>
      </c>
      <c r="I49" s="123"/>
      <c r="J49" s="107"/>
      <c r="K49" s="107">
        <f t="shared" si="5"/>
        <v>5</v>
      </c>
      <c r="L49" s="106"/>
      <c r="M49" s="107"/>
      <c r="N49" s="107">
        <f t="shared" si="3"/>
        <v>5</v>
      </c>
      <c r="O49" s="106"/>
      <c r="P49" s="107"/>
      <c r="Q49" s="107">
        <f t="shared" si="4"/>
        <v>5</v>
      </c>
    </row>
    <row r="50" spans="1:17">
      <c r="A50" s="103">
        <v>47</v>
      </c>
      <c r="B50" s="103" t="s">
        <v>463</v>
      </c>
      <c r="C50" s="7" t="s">
        <v>145</v>
      </c>
      <c r="D50" s="109">
        <v>2</v>
      </c>
      <c r="E50" s="108"/>
      <c r="F50" s="105">
        <f t="shared" si="1"/>
        <v>2</v>
      </c>
      <c r="G50" s="105"/>
      <c r="H50" s="105">
        <f t="shared" si="2"/>
        <v>2</v>
      </c>
      <c r="I50" s="123"/>
      <c r="J50" s="107"/>
      <c r="K50" s="107">
        <f t="shared" si="5"/>
        <v>2</v>
      </c>
      <c r="L50" s="106"/>
      <c r="M50" s="107"/>
      <c r="N50" s="107">
        <f t="shared" si="3"/>
        <v>2</v>
      </c>
      <c r="O50" s="106"/>
      <c r="P50" s="107"/>
      <c r="Q50" s="107">
        <f t="shared" si="4"/>
        <v>2</v>
      </c>
    </row>
    <row r="51" spans="1:17">
      <c r="A51" s="103">
        <v>48</v>
      </c>
      <c r="B51" s="103" t="s">
        <v>464</v>
      </c>
      <c r="C51" s="7" t="s">
        <v>126</v>
      </c>
      <c r="D51" s="109">
        <v>2</v>
      </c>
      <c r="E51" s="108"/>
      <c r="F51" s="105">
        <f t="shared" si="1"/>
        <v>2</v>
      </c>
      <c r="G51" s="105"/>
      <c r="H51" s="105">
        <f t="shared" si="2"/>
        <v>2</v>
      </c>
      <c r="I51" s="123"/>
      <c r="J51" s="107"/>
      <c r="K51" s="107">
        <f t="shared" si="5"/>
        <v>2</v>
      </c>
      <c r="L51" s="106"/>
      <c r="M51" s="107"/>
      <c r="N51" s="107">
        <f t="shared" si="3"/>
        <v>2</v>
      </c>
      <c r="O51" s="106"/>
      <c r="P51" s="107"/>
      <c r="Q51" s="107">
        <f t="shared" si="4"/>
        <v>2</v>
      </c>
    </row>
    <row r="52" spans="1:17">
      <c r="A52" s="103">
        <v>49</v>
      </c>
      <c r="B52" s="103" t="s">
        <v>465</v>
      </c>
      <c r="C52" s="7" t="s">
        <v>127</v>
      </c>
      <c r="D52" s="109">
        <v>2</v>
      </c>
      <c r="E52" s="108"/>
      <c r="F52" s="105">
        <f t="shared" si="1"/>
        <v>2</v>
      </c>
      <c r="G52" s="105"/>
      <c r="H52" s="105">
        <f t="shared" si="2"/>
        <v>2</v>
      </c>
      <c r="I52" s="123"/>
      <c r="J52" s="107"/>
      <c r="K52" s="107">
        <f t="shared" si="5"/>
        <v>2</v>
      </c>
      <c r="L52" s="106"/>
      <c r="M52" s="107"/>
      <c r="N52" s="107">
        <f t="shared" si="3"/>
        <v>2</v>
      </c>
      <c r="O52" s="106"/>
      <c r="P52" s="107"/>
      <c r="Q52" s="107">
        <f t="shared" si="4"/>
        <v>2</v>
      </c>
    </row>
    <row r="53" spans="1:17">
      <c r="A53" s="103">
        <v>50</v>
      </c>
      <c r="B53" s="103" t="s">
        <v>466</v>
      </c>
      <c r="C53" s="7" t="s">
        <v>128</v>
      </c>
      <c r="D53" s="109">
        <v>7</v>
      </c>
      <c r="E53" s="108"/>
      <c r="F53" s="105">
        <f t="shared" si="1"/>
        <v>7</v>
      </c>
      <c r="G53" s="105"/>
      <c r="H53" s="105">
        <f t="shared" si="2"/>
        <v>7</v>
      </c>
      <c r="I53" s="123"/>
      <c r="J53" s="107"/>
      <c r="K53" s="107">
        <f t="shared" si="5"/>
        <v>7</v>
      </c>
      <c r="L53" s="106"/>
      <c r="M53" s="107"/>
      <c r="N53" s="107">
        <f t="shared" si="3"/>
        <v>7</v>
      </c>
      <c r="O53" s="106"/>
      <c r="P53" s="107"/>
      <c r="Q53" s="107">
        <f t="shared" si="4"/>
        <v>7</v>
      </c>
    </row>
    <row r="54" spans="1:17">
      <c r="A54" s="103">
        <v>51</v>
      </c>
      <c r="B54" s="103" t="s">
        <v>467</v>
      </c>
      <c r="C54" s="7" t="s">
        <v>26</v>
      </c>
      <c r="D54" s="109">
        <v>3</v>
      </c>
      <c r="E54" s="108"/>
      <c r="F54" s="105">
        <f t="shared" si="1"/>
        <v>3</v>
      </c>
      <c r="G54" s="105"/>
      <c r="H54" s="105">
        <f t="shared" si="2"/>
        <v>3</v>
      </c>
      <c r="I54" s="123"/>
      <c r="J54" s="107"/>
      <c r="K54" s="107">
        <f t="shared" si="5"/>
        <v>3</v>
      </c>
      <c r="L54" s="106"/>
      <c r="M54" s="107"/>
      <c r="N54" s="107">
        <f t="shared" si="3"/>
        <v>3</v>
      </c>
      <c r="O54" s="106"/>
      <c r="P54" s="107"/>
      <c r="Q54" s="107">
        <f t="shared" si="4"/>
        <v>3</v>
      </c>
    </row>
    <row r="55" spans="1:17">
      <c r="A55" s="103">
        <v>52</v>
      </c>
      <c r="B55" s="103" t="s">
        <v>468</v>
      </c>
      <c r="C55" s="7">
        <v>6405</v>
      </c>
      <c r="D55" s="109">
        <v>1</v>
      </c>
      <c r="E55" s="108"/>
      <c r="F55" s="105">
        <f t="shared" si="1"/>
        <v>1</v>
      </c>
      <c r="G55" s="105"/>
      <c r="H55" s="105">
        <f t="shared" si="2"/>
        <v>1</v>
      </c>
      <c r="I55" s="123"/>
      <c r="J55" s="107"/>
      <c r="K55" s="107">
        <f t="shared" si="5"/>
        <v>1</v>
      </c>
      <c r="L55" s="106"/>
      <c r="M55" s="107"/>
      <c r="N55" s="107">
        <f t="shared" si="3"/>
        <v>1</v>
      </c>
      <c r="O55" s="106"/>
      <c r="P55" s="107"/>
      <c r="Q55" s="107">
        <f t="shared" si="4"/>
        <v>1</v>
      </c>
    </row>
    <row r="56" spans="1:17">
      <c r="A56" s="103">
        <v>53</v>
      </c>
      <c r="B56" s="103" t="s">
        <v>469</v>
      </c>
      <c r="C56" s="7">
        <v>6406</v>
      </c>
      <c r="D56" s="109">
        <v>2</v>
      </c>
      <c r="E56" s="108"/>
      <c r="F56" s="105">
        <f t="shared" si="1"/>
        <v>2</v>
      </c>
      <c r="G56" s="105"/>
      <c r="H56" s="105">
        <f t="shared" si="2"/>
        <v>2</v>
      </c>
      <c r="I56" s="123"/>
      <c r="J56" s="107"/>
      <c r="K56" s="107">
        <f t="shared" si="5"/>
        <v>2</v>
      </c>
      <c r="L56" s="106"/>
      <c r="M56" s="107"/>
      <c r="N56" s="107">
        <f t="shared" si="3"/>
        <v>2</v>
      </c>
      <c r="O56" s="106"/>
      <c r="P56" s="107"/>
      <c r="Q56" s="107">
        <f t="shared" si="4"/>
        <v>2</v>
      </c>
    </row>
    <row r="57" spans="1:17">
      <c r="A57" s="103">
        <v>54</v>
      </c>
      <c r="B57" s="103" t="s">
        <v>470</v>
      </c>
      <c r="C57" s="7">
        <v>6407</v>
      </c>
      <c r="D57" s="109">
        <v>1</v>
      </c>
      <c r="E57" s="108"/>
      <c r="F57" s="105">
        <f t="shared" si="1"/>
        <v>1</v>
      </c>
      <c r="G57" s="105"/>
      <c r="H57" s="105">
        <f t="shared" si="2"/>
        <v>1</v>
      </c>
      <c r="I57" s="123"/>
      <c r="J57" s="107"/>
      <c r="K57" s="107">
        <f t="shared" si="5"/>
        <v>1</v>
      </c>
      <c r="L57" s="106"/>
      <c r="M57" s="107"/>
      <c r="N57" s="107">
        <f t="shared" si="3"/>
        <v>1</v>
      </c>
      <c r="O57" s="106"/>
      <c r="P57" s="107"/>
      <c r="Q57" s="107">
        <f t="shared" si="4"/>
        <v>1</v>
      </c>
    </row>
    <row r="58" spans="1:17">
      <c r="A58" s="103">
        <v>55</v>
      </c>
      <c r="B58" s="103" t="s">
        <v>471</v>
      </c>
      <c r="C58" s="7" t="s">
        <v>90</v>
      </c>
      <c r="D58" s="109">
        <v>2</v>
      </c>
      <c r="E58" s="108"/>
      <c r="F58" s="105">
        <f t="shared" si="1"/>
        <v>2</v>
      </c>
      <c r="G58" s="105"/>
      <c r="H58" s="105">
        <f t="shared" si="2"/>
        <v>2</v>
      </c>
      <c r="I58" s="123"/>
      <c r="J58" s="107"/>
      <c r="K58" s="107">
        <f t="shared" si="5"/>
        <v>2</v>
      </c>
      <c r="L58" s="106"/>
      <c r="M58" s="107"/>
      <c r="N58" s="107">
        <f t="shared" si="3"/>
        <v>2</v>
      </c>
      <c r="O58" s="106"/>
      <c r="P58" s="107"/>
      <c r="Q58" s="107">
        <f t="shared" si="4"/>
        <v>2</v>
      </c>
    </row>
    <row r="59" spans="1:17">
      <c r="A59" s="103">
        <v>56</v>
      </c>
      <c r="B59" s="103" t="s">
        <v>472</v>
      </c>
      <c r="C59" s="7" t="s">
        <v>54</v>
      </c>
      <c r="D59" s="109">
        <v>8</v>
      </c>
      <c r="E59" s="108"/>
      <c r="F59" s="105">
        <f t="shared" si="1"/>
        <v>8</v>
      </c>
      <c r="G59" s="105"/>
      <c r="H59" s="105">
        <f t="shared" si="2"/>
        <v>8</v>
      </c>
      <c r="I59" s="123"/>
      <c r="J59" s="107"/>
      <c r="K59" s="107">
        <f t="shared" si="5"/>
        <v>8</v>
      </c>
      <c r="L59" s="106"/>
      <c r="M59" s="107"/>
      <c r="N59" s="107">
        <f t="shared" si="3"/>
        <v>8</v>
      </c>
      <c r="O59" s="106"/>
      <c r="P59" s="107"/>
      <c r="Q59" s="107">
        <f t="shared" si="4"/>
        <v>8</v>
      </c>
    </row>
    <row r="60" spans="1:17">
      <c r="A60" s="103">
        <v>57</v>
      </c>
      <c r="B60" s="103" t="s">
        <v>473</v>
      </c>
      <c r="C60" s="7" t="s">
        <v>50</v>
      </c>
      <c r="D60" s="109">
        <v>4</v>
      </c>
      <c r="E60" s="108"/>
      <c r="F60" s="105">
        <f t="shared" si="1"/>
        <v>4</v>
      </c>
      <c r="G60" s="105"/>
      <c r="H60" s="105">
        <f t="shared" si="2"/>
        <v>4</v>
      </c>
      <c r="I60" s="123"/>
      <c r="J60" s="107"/>
      <c r="K60" s="107">
        <f t="shared" si="5"/>
        <v>4</v>
      </c>
      <c r="L60" s="106"/>
      <c r="M60" s="107"/>
      <c r="N60" s="107">
        <f t="shared" si="3"/>
        <v>4</v>
      </c>
      <c r="O60" s="106"/>
      <c r="P60" s="107"/>
      <c r="Q60" s="107">
        <f t="shared" si="4"/>
        <v>4</v>
      </c>
    </row>
    <row r="61" spans="1:17">
      <c r="A61" s="103">
        <v>58</v>
      </c>
      <c r="B61" s="103" t="s">
        <v>474</v>
      </c>
      <c r="C61" s="7" t="s">
        <v>125</v>
      </c>
      <c r="D61" s="109">
        <v>2</v>
      </c>
      <c r="E61" s="108"/>
      <c r="F61" s="105">
        <f t="shared" si="1"/>
        <v>2</v>
      </c>
      <c r="G61" s="105"/>
      <c r="H61" s="105">
        <f t="shared" si="2"/>
        <v>2</v>
      </c>
      <c r="I61" s="123"/>
      <c r="J61" s="107"/>
      <c r="K61" s="107">
        <f t="shared" si="5"/>
        <v>2</v>
      </c>
      <c r="L61" s="106"/>
      <c r="M61" s="107"/>
      <c r="N61" s="107">
        <f t="shared" si="3"/>
        <v>2</v>
      </c>
      <c r="O61" s="106"/>
      <c r="P61" s="107"/>
      <c r="Q61" s="107">
        <f t="shared" si="4"/>
        <v>2</v>
      </c>
    </row>
    <row r="62" spans="1:17">
      <c r="A62" s="103">
        <v>59</v>
      </c>
      <c r="B62" s="103" t="s">
        <v>475</v>
      </c>
      <c r="C62" s="7" t="s">
        <v>96</v>
      </c>
      <c r="D62" s="109">
        <v>4</v>
      </c>
      <c r="E62" s="108"/>
      <c r="F62" s="105">
        <f t="shared" si="1"/>
        <v>4</v>
      </c>
      <c r="G62" s="105"/>
      <c r="H62" s="105">
        <f t="shared" si="2"/>
        <v>4</v>
      </c>
      <c r="I62" s="123"/>
      <c r="J62" s="107"/>
      <c r="K62" s="107">
        <f t="shared" si="5"/>
        <v>4</v>
      </c>
      <c r="L62" s="106"/>
      <c r="M62" s="107"/>
      <c r="N62" s="107">
        <f t="shared" si="3"/>
        <v>4</v>
      </c>
      <c r="O62" s="106"/>
      <c r="P62" s="107"/>
      <c r="Q62" s="107">
        <f t="shared" si="4"/>
        <v>4</v>
      </c>
    </row>
    <row r="63" spans="1:17">
      <c r="A63" s="103">
        <v>60</v>
      </c>
      <c r="B63" s="103" t="s">
        <v>476</v>
      </c>
      <c r="C63" s="7" t="s">
        <v>97</v>
      </c>
      <c r="D63" s="109">
        <v>5</v>
      </c>
      <c r="E63" s="108"/>
      <c r="F63" s="105">
        <f t="shared" si="1"/>
        <v>5</v>
      </c>
      <c r="G63" s="105"/>
      <c r="H63" s="105">
        <f t="shared" si="2"/>
        <v>5</v>
      </c>
      <c r="I63" s="123"/>
      <c r="J63" s="107"/>
      <c r="K63" s="107">
        <f t="shared" si="5"/>
        <v>5</v>
      </c>
      <c r="L63" s="106"/>
      <c r="M63" s="107"/>
      <c r="N63" s="107">
        <f t="shared" si="3"/>
        <v>5</v>
      </c>
      <c r="O63" s="106"/>
      <c r="P63" s="107"/>
      <c r="Q63" s="107">
        <f t="shared" si="4"/>
        <v>5</v>
      </c>
    </row>
    <row r="64" spans="1:17">
      <c r="A64" s="103">
        <v>61</v>
      </c>
      <c r="B64" s="103" t="s">
        <v>477</v>
      </c>
      <c r="C64" s="7" t="s">
        <v>100</v>
      </c>
      <c r="D64" s="109">
        <v>2</v>
      </c>
      <c r="E64" s="108"/>
      <c r="F64" s="105">
        <f t="shared" si="1"/>
        <v>2</v>
      </c>
      <c r="G64" s="105"/>
      <c r="H64" s="105">
        <f t="shared" si="2"/>
        <v>2</v>
      </c>
      <c r="I64" s="123"/>
      <c r="J64" s="107"/>
      <c r="K64" s="107">
        <f t="shared" si="5"/>
        <v>2</v>
      </c>
      <c r="L64" s="106"/>
      <c r="M64" s="107"/>
      <c r="N64" s="107">
        <f t="shared" si="3"/>
        <v>2</v>
      </c>
      <c r="O64" s="106"/>
      <c r="P64" s="107"/>
      <c r="Q64" s="107">
        <f t="shared" si="4"/>
        <v>2</v>
      </c>
    </row>
    <row r="65" spans="1:17">
      <c r="A65" s="103">
        <v>62</v>
      </c>
      <c r="B65" s="103" t="s">
        <v>478</v>
      </c>
      <c r="C65" s="7" t="s">
        <v>129</v>
      </c>
      <c r="D65" s="109">
        <v>2</v>
      </c>
      <c r="E65" s="108"/>
      <c r="F65" s="105">
        <f t="shared" si="1"/>
        <v>2</v>
      </c>
      <c r="G65" s="105"/>
      <c r="H65" s="105">
        <f t="shared" si="2"/>
        <v>2</v>
      </c>
      <c r="I65" s="123"/>
      <c r="J65" s="107"/>
      <c r="K65" s="107">
        <f t="shared" si="5"/>
        <v>2</v>
      </c>
      <c r="L65" s="106"/>
      <c r="M65" s="107"/>
      <c r="N65" s="107">
        <f t="shared" si="3"/>
        <v>2</v>
      </c>
      <c r="O65" s="106"/>
      <c r="P65" s="107"/>
      <c r="Q65" s="107">
        <f t="shared" si="4"/>
        <v>2</v>
      </c>
    </row>
    <row r="66" spans="1:17">
      <c r="A66" s="103">
        <v>63</v>
      </c>
      <c r="B66" s="103" t="s">
        <v>479</v>
      </c>
      <c r="C66" s="7" t="s">
        <v>118</v>
      </c>
      <c r="D66" s="109">
        <v>1</v>
      </c>
      <c r="E66" s="108"/>
      <c r="F66" s="105">
        <f t="shared" si="1"/>
        <v>1</v>
      </c>
      <c r="G66" s="105"/>
      <c r="H66" s="105">
        <f t="shared" si="2"/>
        <v>1</v>
      </c>
      <c r="I66" s="123"/>
      <c r="J66" s="107"/>
      <c r="K66" s="107">
        <f t="shared" si="5"/>
        <v>1</v>
      </c>
      <c r="L66" s="106"/>
      <c r="M66" s="107"/>
      <c r="N66" s="107">
        <f t="shared" si="3"/>
        <v>1</v>
      </c>
      <c r="O66" s="106"/>
      <c r="P66" s="107"/>
      <c r="Q66" s="107">
        <f t="shared" si="4"/>
        <v>1</v>
      </c>
    </row>
    <row r="67" spans="1:17">
      <c r="A67" s="103">
        <v>64</v>
      </c>
      <c r="B67" s="103" t="s">
        <v>480</v>
      </c>
      <c r="C67" s="7" t="s">
        <v>921</v>
      </c>
      <c r="D67" s="109">
        <v>0</v>
      </c>
      <c r="E67" s="108"/>
      <c r="F67" s="105">
        <f t="shared" si="1"/>
        <v>0</v>
      </c>
      <c r="G67" s="105"/>
      <c r="H67" s="105">
        <f t="shared" si="2"/>
        <v>0</v>
      </c>
      <c r="I67" s="123"/>
      <c r="J67" s="107"/>
      <c r="K67" s="107">
        <f t="shared" si="5"/>
        <v>0</v>
      </c>
      <c r="L67" s="106"/>
      <c r="M67" s="107"/>
      <c r="N67" s="107">
        <f t="shared" si="3"/>
        <v>0</v>
      </c>
      <c r="O67" s="106">
        <v>2</v>
      </c>
      <c r="P67" s="107">
        <v>1</v>
      </c>
      <c r="Q67" s="107">
        <f t="shared" si="4"/>
        <v>1</v>
      </c>
    </row>
    <row r="68" spans="1:17">
      <c r="A68" s="103">
        <v>65</v>
      </c>
      <c r="B68" s="103" t="s">
        <v>481</v>
      </c>
      <c r="C68" s="7" t="s">
        <v>922</v>
      </c>
      <c r="D68" s="109">
        <v>2</v>
      </c>
      <c r="E68" s="108"/>
      <c r="F68" s="105">
        <f t="shared" si="1"/>
        <v>2</v>
      </c>
      <c r="G68" s="105"/>
      <c r="H68" s="105">
        <f t="shared" si="2"/>
        <v>2</v>
      </c>
      <c r="I68" s="123"/>
      <c r="J68" s="107"/>
      <c r="K68" s="107">
        <f t="shared" ref="K68:K99" si="6">+H68+I68-J68</f>
        <v>2</v>
      </c>
      <c r="L68" s="106"/>
      <c r="M68" s="107"/>
      <c r="N68" s="107">
        <f t="shared" si="3"/>
        <v>2</v>
      </c>
      <c r="O68" s="106"/>
      <c r="P68" s="107"/>
      <c r="Q68" s="107">
        <f t="shared" si="4"/>
        <v>2</v>
      </c>
    </row>
    <row r="69" spans="1:17">
      <c r="A69" s="103">
        <v>66</v>
      </c>
      <c r="B69" s="103" t="s">
        <v>482</v>
      </c>
      <c r="C69" s="7" t="s">
        <v>132</v>
      </c>
      <c r="D69" s="109">
        <v>2</v>
      </c>
      <c r="E69" s="108"/>
      <c r="F69" s="105">
        <f t="shared" ref="F69:F132" si="7">SUM(D69:E69)</f>
        <v>2</v>
      </c>
      <c r="G69" s="105"/>
      <c r="H69" s="105">
        <f t="shared" ref="H69:H132" si="8">SUM(F69-G69)</f>
        <v>2</v>
      </c>
      <c r="I69" s="123"/>
      <c r="J69" s="107"/>
      <c r="K69" s="107">
        <f t="shared" si="6"/>
        <v>2</v>
      </c>
      <c r="L69" s="106"/>
      <c r="M69" s="107"/>
      <c r="N69" s="107">
        <f t="shared" ref="N69:N132" si="9">+K69+L69-M69</f>
        <v>2</v>
      </c>
      <c r="O69" s="106"/>
      <c r="P69" s="107"/>
      <c r="Q69" s="107">
        <f t="shared" ref="Q69:Q132" si="10">+N69+O69-P69</f>
        <v>2</v>
      </c>
    </row>
    <row r="70" spans="1:17">
      <c r="A70" s="103">
        <v>67</v>
      </c>
      <c r="B70" s="103" t="s">
        <v>483</v>
      </c>
      <c r="C70" s="7" t="s">
        <v>121</v>
      </c>
      <c r="D70" s="109">
        <v>4</v>
      </c>
      <c r="E70" s="108"/>
      <c r="F70" s="105">
        <f t="shared" si="7"/>
        <v>4</v>
      </c>
      <c r="G70" s="105"/>
      <c r="H70" s="105">
        <f t="shared" si="8"/>
        <v>4</v>
      </c>
      <c r="I70" s="123"/>
      <c r="J70" s="107"/>
      <c r="K70" s="107">
        <f t="shared" si="6"/>
        <v>4</v>
      </c>
      <c r="L70" s="106"/>
      <c r="M70" s="107"/>
      <c r="N70" s="107">
        <f t="shared" si="9"/>
        <v>4</v>
      </c>
      <c r="O70" s="106"/>
      <c r="P70" s="107"/>
      <c r="Q70" s="107">
        <f t="shared" si="10"/>
        <v>4</v>
      </c>
    </row>
    <row r="71" spans="1:17">
      <c r="A71" s="103">
        <v>68</v>
      </c>
      <c r="B71" s="103" t="s">
        <v>484</v>
      </c>
      <c r="C71" s="7" t="s">
        <v>119</v>
      </c>
      <c r="D71" s="109">
        <v>4</v>
      </c>
      <c r="E71" s="108"/>
      <c r="F71" s="105">
        <f t="shared" si="7"/>
        <v>4</v>
      </c>
      <c r="G71" s="105"/>
      <c r="H71" s="105">
        <f t="shared" si="8"/>
        <v>4</v>
      </c>
      <c r="I71" s="123"/>
      <c r="J71" s="107"/>
      <c r="K71" s="107">
        <f t="shared" si="6"/>
        <v>4</v>
      </c>
      <c r="L71" s="106"/>
      <c r="M71" s="107"/>
      <c r="N71" s="107">
        <f t="shared" si="9"/>
        <v>4</v>
      </c>
      <c r="O71" s="106"/>
      <c r="P71" s="107"/>
      <c r="Q71" s="107">
        <f t="shared" si="10"/>
        <v>4</v>
      </c>
    </row>
    <row r="72" spans="1:17">
      <c r="A72" s="103">
        <v>69</v>
      </c>
      <c r="B72" s="103" t="s">
        <v>485</v>
      </c>
      <c r="C72" s="7" t="s">
        <v>113</v>
      </c>
      <c r="D72" s="109">
        <v>1</v>
      </c>
      <c r="E72" s="108"/>
      <c r="F72" s="105">
        <f t="shared" si="7"/>
        <v>1</v>
      </c>
      <c r="G72" s="105"/>
      <c r="H72" s="105">
        <f t="shared" si="8"/>
        <v>1</v>
      </c>
      <c r="I72" s="123"/>
      <c r="J72" s="107"/>
      <c r="K72" s="107">
        <f t="shared" si="6"/>
        <v>1</v>
      </c>
      <c r="L72" s="106"/>
      <c r="M72" s="107"/>
      <c r="N72" s="107">
        <f t="shared" si="9"/>
        <v>1</v>
      </c>
      <c r="O72" s="106"/>
      <c r="P72" s="107"/>
      <c r="Q72" s="107">
        <f t="shared" si="10"/>
        <v>1</v>
      </c>
    </row>
    <row r="73" spans="1:17">
      <c r="A73" s="103">
        <v>70</v>
      </c>
      <c r="B73" s="103" t="s">
        <v>486</v>
      </c>
      <c r="C73" s="7" t="s">
        <v>80</v>
      </c>
      <c r="D73" s="109">
        <v>1</v>
      </c>
      <c r="E73" s="108"/>
      <c r="F73" s="105">
        <f t="shared" si="7"/>
        <v>1</v>
      </c>
      <c r="G73" s="105"/>
      <c r="H73" s="105">
        <f t="shared" si="8"/>
        <v>1</v>
      </c>
      <c r="I73" s="123"/>
      <c r="J73" s="107"/>
      <c r="K73" s="107">
        <f t="shared" si="6"/>
        <v>1</v>
      </c>
      <c r="L73" s="106"/>
      <c r="M73" s="107"/>
      <c r="N73" s="107">
        <f t="shared" si="9"/>
        <v>1</v>
      </c>
      <c r="O73" s="106"/>
      <c r="P73" s="107"/>
      <c r="Q73" s="107">
        <f t="shared" si="10"/>
        <v>1</v>
      </c>
    </row>
    <row r="74" spans="1:17">
      <c r="A74" s="103">
        <v>71</v>
      </c>
      <c r="B74" s="103" t="s">
        <v>487</v>
      </c>
      <c r="C74" s="7" t="s">
        <v>81</v>
      </c>
      <c r="D74" s="109">
        <v>3</v>
      </c>
      <c r="E74" s="108"/>
      <c r="F74" s="105">
        <f t="shared" si="7"/>
        <v>3</v>
      </c>
      <c r="G74" s="105"/>
      <c r="H74" s="105">
        <f t="shared" si="8"/>
        <v>3</v>
      </c>
      <c r="I74" s="123"/>
      <c r="J74" s="107"/>
      <c r="K74" s="107">
        <f t="shared" si="6"/>
        <v>3</v>
      </c>
      <c r="L74" s="106"/>
      <c r="M74" s="107"/>
      <c r="N74" s="107">
        <f t="shared" si="9"/>
        <v>3</v>
      </c>
      <c r="O74" s="106"/>
      <c r="P74" s="107"/>
      <c r="Q74" s="107">
        <f t="shared" si="10"/>
        <v>3</v>
      </c>
    </row>
    <row r="75" spans="1:17">
      <c r="A75" s="103">
        <v>72</v>
      </c>
      <c r="B75" s="103" t="s">
        <v>488</v>
      </c>
      <c r="C75" s="7" t="s">
        <v>98</v>
      </c>
      <c r="D75" s="109">
        <v>2</v>
      </c>
      <c r="E75" s="108"/>
      <c r="F75" s="105">
        <f t="shared" si="7"/>
        <v>2</v>
      </c>
      <c r="G75" s="105"/>
      <c r="H75" s="105">
        <f t="shared" si="8"/>
        <v>2</v>
      </c>
      <c r="I75" s="123"/>
      <c r="J75" s="107"/>
      <c r="K75" s="107">
        <f t="shared" si="6"/>
        <v>2</v>
      </c>
      <c r="L75" s="106"/>
      <c r="M75" s="107"/>
      <c r="N75" s="107">
        <f t="shared" si="9"/>
        <v>2</v>
      </c>
      <c r="O75" s="106"/>
      <c r="P75" s="107"/>
      <c r="Q75" s="107">
        <f t="shared" si="10"/>
        <v>2</v>
      </c>
    </row>
    <row r="76" spans="1:17">
      <c r="A76" s="103">
        <v>73</v>
      </c>
      <c r="B76" s="103" t="s">
        <v>489</v>
      </c>
      <c r="C76" s="7" t="s">
        <v>99</v>
      </c>
      <c r="D76" s="109">
        <v>10</v>
      </c>
      <c r="E76" s="108"/>
      <c r="F76" s="105">
        <f t="shared" si="7"/>
        <v>10</v>
      </c>
      <c r="G76" s="105"/>
      <c r="H76" s="105">
        <f t="shared" si="8"/>
        <v>10</v>
      </c>
      <c r="I76" s="123"/>
      <c r="J76" s="107"/>
      <c r="K76" s="107">
        <f t="shared" si="6"/>
        <v>10</v>
      </c>
      <c r="L76" s="106"/>
      <c r="M76" s="107"/>
      <c r="N76" s="107">
        <f t="shared" si="9"/>
        <v>10</v>
      </c>
      <c r="O76" s="106"/>
      <c r="P76" s="107"/>
      <c r="Q76" s="107">
        <f t="shared" si="10"/>
        <v>10</v>
      </c>
    </row>
    <row r="77" spans="1:17">
      <c r="A77" s="103">
        <v>74</v>
      </c>
      <c r="B77" s="103" t="s">
        <v>490</v>
      </c>
      <c r="C77" s="7" t="s">
        <v>116</v>
      </c>
      <c r="D77" s="109">
        <v>3</v>
      </c>
      <c r="E77" s="108"/>
      <c r="F77" s="105">
        <f t="shared" si="7"/>
        <v>3</v>
      </c>
      <c r="G77" s="105"/>
      <c r="H77" s="105">
        <f t="shared" si="8"/>
        <v>3</v>
      </c>
      <c r="I77" s="123"/>
      <c r="J77" s="107"/>
      <c r="K77" s="107">
        <f t="shared" si="6"/>
        <v>3</v>
      </c>
      <c r="L77" s="106"/>
      <c r="M77" s="107"/>
      <c r="N77" s="107">
        <f t="shared" si="9"/>
        <v>3</v>
      </c>
      <c r="O77" s="106"/>
      <c r="P77" s="107"/>
      <c r="Q77" s="107">
        <f t="shared" si="10"/>
        <v>3</v>
      </c>
    </row>
    <row r="78" spans="1:17">
      <c r="A78" s="103">
        <v>75</v>
      </c>
      <c r="B78" s="103" t="s">
        <v>491</v>
      </c>
      <c r="C78" s="7">
        <v>51109</v>
      </c>
      <c r="D78" s="109">
        <v>0</v>
      </c>
      <c r="E78" s="108"/>
      <c r="F78" s="105">
        <f t="shared" si="7"/>
        <v>0</v>
      </c>
      <c r="G78" s="105"/>
      <c r="H78" s="105">
        <f t="shared" si="8"/>
        <v>0</v>
      </c>
      <c r="I78" s="123"/>
      <c r="J78" s="107"/>
      <c r="K78" s="107">
        <f t="shared" si="6"/>
        <v>0</v>
      </c>
      <c r="L78" s="106"/>
      <c r="M78" s="107"/>
      <c r="N78" s="107">
        <f t="shared" si="9"/>
        <v>0</v>
      </c>
      <c r="O78" s="106"/>
      <c r="P78" s="107"/>
      <c r="Q78" s="107">
        <f t="shared" si="10"/>
        <v>0</v>
      </c>
    </row>
    <row r="79" spans="1:17">
      <c r="A79" s="103">
        <v>76</v>
      </c>
      <c r="B79" s="103" t="s">
        <v>492</v>
      </c>
      <c r="C79" s="7" t="s">
        <v>410</v>
      </c>
      <c r="D79" s="109">
        <v>1</v>
      </c>
      <c r="E79" s="108"/>
      <c r="F79" s="105">
        <f t="shared" si="7"/>
        <v>1</v>
      </c>
      <c r="G79" s="105"/>
      <c r="H79" s="105">
        <f t="shared" si="8"/>
        <v>1</v>
      </c>
      <c r="I79" s="123"/>
      <c r="J79" s="107"/>
      <c r="K79" s="107">
        <f t="shared" si="6"/>
        <v>1</v>
      </c>
      <c r="L79" s="106"/>
      <c r="M79" s="107"/>
      <c r="N79" s="107">
        <f t="shared" si="9"/>
        <v>1</v>
      </c>
      <c r="O79" s="106"/>
      <c r="P79" s="107"/>
      <c r="Q79" s="107">
        <f t="shared" si="10"/>
        <v>1</v>
      </c>
    </row>
    <row r="80" spans="1:17">
      <c r="A80" s="103">
        <v>77</v>
      </c>
      <c r="B80" s="103" t="s">
        <v>493</v>
      </c>
      <c r="C80" s="7" t="s">
        <v>147</v>
      </c>
      <c r="D80" s="109">
        <v>2</v>
      </c>
      <c r="E80" s="108"/>
      <c r="F80" s="105">
        <f t="shared" si="7"/>
        <v>2</v>
      </c>
      <c r="G80" s="105"/>
      <c r="H80" s="105">
        <f t="shared" si="8"/>
        <v>2</v>
      </c>
      <c r="I80" s="123"/>
      <c r="J80" s="107"/>
      <c r="K80" s="107">
        <f t="shared" si="6"/>
        <v>2</v>
      </c>
      <c r="L80" s="106"/>
      <c r="M80" s="107"/>
      <c r="N80" s="107">
        <f t="shared" si="9"/>
        <v>2</v>
      </c>
      <c r="O80" s="106"/>
      <c r="P80" s="107"/>
      <c r="Q80" s="107">
        <f t="shared" si="10"/>
        <v>2</v>
      </c>
    </row>
    <row r="81" spans="1:17">
      <c r="A81" s="103">
        <v>78</v>
      </c>
      <c r="B81" s="103" t="s">
        <v>494</v>
      </c>
      <c r="C81" s="7" t="s">
        <v>52</v>
      </c>
      <c r="D81" s="109">
        <v>0</v>
      </c>
      <c r="E81" s="108"/>
      <c r="F81" s="105">
        <f t="shared" si="7"/>
        <v>0</v>
      </c>
      <c r="G81" s="105"/>
      <c r="H81" s="105">
        <f t="shared" si="8"/>
        <v>0</v>
      </c>
      <c r="I81" s="123"/>
      <c r="J81" s="107"/>
      <c r="K81" s="107">
        <f t="shared" si="6"/>
        <v>0</v>
      </c>
      <c r="L81" s="106"/>
      <c r="M81" s="107"/>
      <c r="N81" s="107">
        <f t="shared" si="9"/>
        <v>0</v>
      </c>
      <c r="O81" s="106"/>
      <c r="P81" s="107"/>
      <c r="Q81" s="107">
        <f t="shared" si="10"/>
        <v>0</v>
      </c>
    </row>
    <row r="82" spans="1:17">
      <c r="A82" s="103">
        <v>79</v>
      </c>
      <c r="B82" s="103" t="s">
        <v>495</v>
      </c>
      <c r="C82" s="7" t="s">
        <v>103</v>
      </c>
      <c r="D82" s="109">
        <v>0</v>
      </c>
      <c r="E82" s="108"/>
      <c r="F82" s="105">
        <f t="shared" si="7"/>
        <v>0</v>
      </c>
      <c r="G82" s="105"/>
      <c r="H82" s="105">
        <f t="shared" si="8"/>
        <v>0</v>
      </c>
      <c r="I82" s="123"/>
      <c r="J82" s="107"/>
      <c r="K82" s="107">
        <f t="shared" si="6"/>
        <v>0</v>
      </c>
      <c r="L82" s="106"/>
      <c r="M82" s="107"/>
      <c r="N82" s="107">
        <f t="shared" si="9"/>
        <v>0</v>
      </c>
      <c r="O82" s="106"/>
      <c r="P82" s="107"/>
      <c r="Q82" s="107">
        <f t="shared" si="10"/>
        <v>0</v>
      </c>
    </row>
    <row r="83" spans="1:17">
      <c r="A83" s="103">
        <v>80</v>
      </c>
      <c r="B83" s="103" t="s">
        <v>496</v>
      </c>
      <c r="C83" s="7" t="s">
        <v>102</v>
      </c>
      <c r="D83" s="109">
        <v>2</v>
      </c>
      <c r="E83" s="108"/>
      <c r="F83" s="105">
        <f t="shared" si="7"/>
        <v>2</v>
      </c>
      <c r="G83" s="105"/>
      <c r="H83" s="105">
        <f t="shared" si="8"/>
        <v>2</v>
      </c>
      <c r="I83" s="123"/>
      <c r="J83" s="107"/>
      <c r="K83" s="107">
        <f t="shared" si="6"/>
        <v>2</v>
      </c>
      <c r="L83" s="106"/>
      <c r="M83" s="107"/>
      <c r="N83" s="107">
        <f t="shared" si="9"/>
        <v>2</v>
      </c>
      <c r="O83" s="106"/>
      <c r="P83" s="107"/>
      <c r="Q83" s="107">
        <f t="shared" si="10"/>
        <v>2</v>
      </c>
    </row>
    <row r="84" spans="1:17">
      <c r="A84" s="103">
        <v>81</v>
      </c>
      <c r="B84" s="103" t="s">
        <v>497</v>
      </c>
      <c r="C84" s="7" t="s">
        <v>414</v>
      </c>
      <c r="D84" s="109">
        <v>2</v>
      </c>
      <c r="E84" s="108"/>
      <c r="F84" s="105">
        <f t="shared" si="7"/>
        <v>2</v>
      </c>
      <c r="G84" s="105"/>
      <c r="H84" s="105">
        <f t="shared" si="8"/>
        <v>2</v>
      </c>
      <c r="I84" s="123"/>
      <c r="J84" s="107"/>
      <c r="K84" s="107">
        <f t="shared" si="6"/>
        <v>2</v>
      </c>
      <c r="L84" s="106"/>
      <c r="M84" s="107"/>
      <c r="N84" s="107">
        <f t="shared" si="9"/>
        <v>2</v>
      </c>
      <c r="O84" s="106"/>
      <c r="P84" s="107"/>
      <c r="Q84" s="107">
        <f t="shared" si="10"/>
        <v>2</v>
      </c>
    </row>
    <row r="85" spans="1:17">
      <c r="A85" s="103">
        <v>82</v>
      </c>
      <c r="B85" s="103" t="s">
        <v>498</v>
      </c>
      <c r="C85" s="7" t="s">
        <v>124</v>
      </c>
      <c r="D85" s="109">
        <v>1</v>
      </c>
      <c r="E85" s="108"/>
      <c r="F85" s="105">
        <f t="shared" si="7"/>
        <v>1</v>
      </c>
      <c r="G85" s="105"/>
      <c r="H85" s="105">
        <f t="shared" si="8"/>
        <v>1</v>
      </c>
      <c r="I85" s="123"/>
      <c r="J85" s="107"/>
      <c r="K85" s="107">
        <f t="shared" si="6"/>
        <v>1</v>
      </c>
      <c r="L85" s="106"/>
      <c r="M85" s="107"/>
      <c r="N85" s="107">
        <f t="shared" si="9"/>
        <v>1</v>
      </c>
      <c r="O85" s="106"/>
      <c r="P85" s="107"/>
      <c r="Q85" s="107">
        <f t="shared" si="10"/>
        <v>1</v>
      </c>
    </row>
    <row r="86" spans="1:17">
      <c r="A86" s="103">
        <v>83</v>
      </c>
      <c r="B86" s="103" t="s">
        <v>499</v>
      </c>
      <c r="C86" s="7" t="s">
        <v>1020</v>
      </c>
      <c r="D86" s="109">
        <v>0</v>
      </c>
      <c r="E86" s="108"/>
      <c r="F86" s="105">
        <f t="shared" si="7"/>
        <v>0</v>
      </c>
      <c r="G86" s="105"/>
      <c r="H86" s="105">
        <f t="shared" si="8"/>
        <v>0</v>
      </c>
      <c r="I86" s="123"/>
      <c r="J86" s="107"/>
      <c r="K86" s="107">
        <f t="shared" si="6"/>
        <v>0</v>
      </c>
      <c r="L86" s="106"/>
      <c r="M86" s="107"/>
      <c r="N86" s="107">
        <f t="shared" si="9"/>
        <v>0</v>
      </c>
      <c r="O86" s="106"/>
      <c r="P86" s="107"/>
      <c r="Q86" s="107">
        <f t="shared" si="10"/>
        <v>0</v>
      </c>
    </row>
    <row r="87" spans="1:17">
      <c r="A87" s="103">
        <v>84</v>
      </c>
      <c r="B87" s="103" t="s">
        <v>500</v>
      </c>
      <c r="C87" s="7" t="s">
        <v>108</v>
      </c>
      <c r="D87" s="109">
        <v>1</v>
      </c>
      <c r="E87" s="108"/>
      <c r="F87" s="105">
        <f t="shared" si="7"/>
        <v>1</v>
      </c>
      <c r="G87" s="105"/>
      <c r="H87" s="105">
        <f t="shared" si="8"/>
        <v>1</v>
      </c>
      <c r="I87" s="123"/>
      <c r="J87" s="107"/>
      <c r="K87" s="107">
        <f t="shared" si="6"/>
        <v>1</v>
      </c>
      <c r="L87" s="106"/>
      <c r="M87" s="107"/>
      <c r="N87" s="107">
        <f t="shared" si="9"/>
        <v>1</v>
      </c>
      <c r="O87" s="106"/>
      <c r="P87" s="107"/>
      <c r="Q87" s="107">
        <f t="shared" si="10"/>
        <v>1</v>
      </c>
    </row>
    <row r="88" spans="1:17">
      <c r="A88" s="103">
        <v>85</v>
      </c>
      <c r="B88" s="103" t="s">
        <v>501</v>
      </c>
      <c r="C88" s="7" t="s">
        <v>139</v>
      </c>
      <c r="D88" s="109">
        <v>1</v>
      </c>
      <c r="E88" s="108"/>
      <c r="F88" s="105">
        <f t="shared" si="7"/>
        <v>1</v>
      </c>
      <c r="G88" s="105"/>
      <c r="H88" s="105">
        <f t="shared" si="8"/>
        <v>1</v>
      </c>
      <c r="I88" s="123"/>
      <c r="J88" s="107"/>
      <c r="K88" s="107">
        <f t="shared" si="6"/>
        <v>1</v>
      </c>
      <c r="L88" s="106"/>
      <c r="M88" s="107"/>
      <c r="N88" s="107">
        <f t="shared" si="9"/>
        <v>1</v>
      </c>
      <c r="O88" s="106"/>
      <c r="P88" s="107"/>
      <c r="Q88" s="107">
        <f t="shared" si="10"/>
        <v>1</v>
      </c>
    </row>
    <row r="89" spans="1:17">
      <c r="A89" s="103">
        <v>86</v>
      </c>
      <c r="B89" s="103" t="s">
        <v>502</v>
      </c>
      <c r="C89" s="7" t="s">
        <v>67</v>
      </c>
      <c r="D89" s="109">
        <v>1</v>
      </c>
      <c r="E89" s="108"/>
      <c r="F89" s="105">
        <f t="shared" si="7"/>
        <v>1</v>
      </c>
      <c r="G89" s="105"/>
      <c r="H89" s="105">
        <f t="shared" si="8"/>
        <v>1</v>
      </c>
      <c r="I89" s="123"/>
      <c r="J89" s="107"/>
      <c r="K89" s="107">
        <f t="shared" si="6"/>
        <v>1</v>
      </c>
      <c r="L89" s="106"/>
      <c r="M89" s="107"/>
      <c r="N89" s="107">
        <f t="shared" si="9"/>
        <v>1</v>
      </c>
      <c r="O89" s="106"/>
      <c r="P89" s="107"/>
      <c r="Q89" s="107">
        <f t="shared" si="10"/>
        <v>1</v>
      </c>
    </row>
    <row r="90" spans="1:17">
      <c r="A90" s="103">
        <v>87</v>
      </c>
      <c r="B90" s="103" t="s">
        <v>503</v>
      </c>
      <c r="C90" s="7" t="s">
        <v>117</v>
      </c>
      <c r="D90" s="109">
        <v>5</v>
      </c>
      <c r="E90" s="108"/>
      <c r="F90" s="105">
        <f t="shared" si="7"/>
        <v>5</v>
      </c>
      <c r="G90" s="105"/>
      <c r="H90" s="105">
        <f t="shared" si="8"/>
        <v>5</v>
      </c>
      <c r="I90" s="123"/>
      <c r="J90" s="107"/>
      <c r="K90" s="107">
        <f t="shared" si="6"/>
        <v>5</v>
      </c>
      <c r="L90" s="106"/>
      <c r="M90" s="107"/>
      <c r="N90" s="107">
        <f t="shared" si="9"/>
        <v>5</v>
      </c>
      <c r="O90" s="106"/>
      <c r="P90" s="107"/>
      <c r="Q90" s="107">
        <f t="shared" si="10"/>
        <v>5</v>
      </c>
    </row>
    <row r="91" spans="1:17">
      <c r="A91" s="103">
        <v>88</v>
      </c>
      <c r="B91" s="103" t="s">
        <v>504</v>
      </c>
      <c r="C91" s="7" t="s">
        <v>130</v>
      </c>
      <c r="D91" s="109">
        <v>1</v>
      </c>
      <c r="E91" s="108"/>
      <c r="F91" s="105">
        <f t="shared" si="7"/>
        <v>1</v>
      </c>
      <c r="G91" s="105"/>
      <c r="H91" s="105">
        <f t="shared" si="8"/>
        <v>1</v>
      </c>
      <c r="I91" s="123"/>
      <c r="J91" s="107"/>
      <c r="K91" s="107">
        <f t="shared" si="6"/>
        <v>1</v>
      </c>
      <c r="L91" s="106"/>
      <c r="M91" s="107"/>
      <c r="N91" s="107">
        <f t="shared" si="9"/>
        <v>1</v>
      </c>
      <c r="O91" s="106"/>
      <c r="P91" s="107"/>
      <c r="Q91" s="107">
        <f t="shared" si="10"/>
        <v>1</v>
      </c>
    </row>
    <row r="92" spans="1:17">
      <c r="A92" s="103">
        <v>89</v>
      </c>
      <c r="B92" s="103" t="s">
        <v>505</v>
      </c>
      <c r="C92" s="7" t="s">
        <v>120</v>
      </c>
      <c r="D92" s="109">
        <v>2</v>
      </c>
      <c r="E92" s="108"/>
      <c r="F92" s="105">
        <f t="shared" si="7"/>
        <v>2</v>
      </c>
      <c r="G92" s="105"/>
      <c r="H92" s="105">
        <f t="shared" si="8"/>
        <v>2</v>
      </c>
      <c r="I92" s="123"/>
      <c r="J92" s="107"/>
      <c r="K92" s="107">
        <f t="shared" si="6"/>
        <v>2</v>
      </c>
      <c r="L92" s="106"/>
      <c r="M92" s="107"/>
      <c r="N92" s="107">
        <f t="shared" si="9"/>
        <v>2</v>
      </c>
      <c r="O92" s="106"/>
      <c r="P92" s="107"/>
      <c r="Q92" s="107">
        <f t="shared" si="10"/>
        <v>2</v>
      </c>
    </row>
    <row r="93" spans="1:17">
      <c r="A93" s="103">
        <v>90</v>
      </c>
      <c r="B93" s="103" t="s">
        <v>506</v>
      </c>
      <c r="C93" s="7" t="s">
        <v>131</v>
      </c>
      <c r="D93" s="109">
        <v>1</v>
      </c>
      <c r="E93" s="108"/>
      <c r="F93" s="105">
        <f t="shared" si="7"/>
        <v>1</v>
      </c>
      <c r="G93" s="105"/>
      <c r="H93" s="105">
        <f t="shared" si="8"/>
        <v>1</v>
      </c>
      <c r="I93" s="123"/>
      <c r="J93" s="107"/>
      <c r="K93" s="107">
        <f t="shared" si="6"/>
        <v>1</v>
      </c>
      <c r="L93" s="106"/>
      <c r="M93" s="107"/>
      <c r="N93" s="107">
        <f t="shared" si="9"/>
        <v>1</v>
      </c>
      <c r="O93" s="106"/>
      <c r="P93" s="107"/>
      <c r="Q93" s="107">
        <f t="shared" si="10"/>
        <v>1</v>
      </c>
    </row>
    <row r="94" spans="1:17">
      <c r="A94" s="103">
        <v>91</v>
      </c>
      <c r="B94" s="103" t="s">
        <v>507</v>
      </c>
      <c r="C94" s="7" t="s">
        <v>141</v>
      </c>
      <c r="D94" s="109">
        <v>5</v>
      </c>
      <c r="E94" s="108"/>
      <c r="F94" s="105">
        <f t="shared" si="7"/>
        <v>5</v>
      </c>
      <c r="G94" s="105"/>
      <c r="H94" s="105">
        <f t="shared" si="8"/>
        <v>5</v>
      </c>
      <c r="I94" s="123"/>
      <c r="J94" s="107"/>
      <c r="K94" s="107">
        <f t="shared" si="6"/>
        <v>5</v>
      </c>
      <c r="L94" s="106"/>
      <c r="M94" s="107"/>
      <c r="N94" s="107">
        <f t="shared" si="9"/>
        <v>5</v>
      </c>
      <c r="O94" s="106"/>
      <c r="P94" s="107"/>
      <c r="Q94" s="107">
        <f t="shared" si="10"/>
        <v>5</v>
      </c>
    </row>
    <row r="95" spans="1:17">
      <c r="A95" s="103">
        <v>92</v>
      </c>
      <c r="B95" s="103" t="s">
        <v>508</v>
      </c>
      <c r="C95" s="7" t="s">
        <v>142</v>
      </c>
      <c r="D95" s="109">
        <v>2</v>
      </c>
      <c r="E95" s="108"/>
      <c r="F95" s="105">
        <f t="shared" si="7"/>
        <v>2</v>
      </c>
      <c r="G95" s="105"/>
      <c r="H95" s="105">
        <f t="shared" si="8"/>
        <v>2</v>
      </c>
      <c r="I95" s="123"/>
      <c r="J95" s="107"/>
      <c r="K95" s="107">
        <f t="shared" si="6"/>
        <v>2</v>
      </c>
      <c r="L95" s="106"/>
      <c r="M95" s="107"/>
      <c r="N95" s="107">
        <f t="shared" si="9"/>
        <v>2</v>
      </c>
      <c r="O95" s="106"/>
      <c r="P95" s="107"/>
      <c r="Q95" s="107">
        <f t="shared" si="10"/>
        <v>2</v>
      </c>
    </row>
    <row r="96" spans="1:17">
      <c r="A96" s="103">
        <v>93</v>
      </c>
      <c r="B96" s="103" t="s">
        <v>509</v>
      </c>
      <c r="C96" s="7" t="s">
        <v>140</v>
      </c>
      <c r="D96" s="109">
        <v>3</v>
      </c>
      <c r="E96" s="108"/>
      <c r="F96" s="105">
        <f t="shared" si="7"/>
        <v>3</v>
      </c>
      <c r="G96" s="105"/>
      <c r="H96" s="105">
        <f t="shared" si="8"/>
        <v>3</v>
      </c>
      <c r="I96" s="123"/>
      <c r="J96" s="107"/>
      <c r="K96" s="107">
        <f t="shared" si="6"/>
        <v>3</v>
      </c>
      <c r="L96" s="106"/>
      <c r="M96" s="107"/>
      <c r="N96" s="107">
        <f t="shared" si="9"/>
        <v>3</v>
      </c>
      <c r="O96" s="106"/>
      <c r="P96" s="107"/>
      <c r="Q96" s="107">
        <f t="shared" si="10"/>
        <v>3</v>
      </c>
    </row>
    <row r="97" spans="1:17">
      <c r="A97" s="103">
        <v>94</v>
      </c>
      <c r="B97" s="103" t="s">
        <v>510</v>
      </c>
      <c r="C97" s="7" t="s">
        <v>146</v>
      </c>
      <c r="D97" s="109">
        <v>1</v>
      </c>
      <c r="E97" s="108"/>
      <c r="F97" s="105">
        <f t="shared" si="7"/>
        <v>1</v>
      </c>
      <c r="G97" s="105"/>
      <c r="H97" s="105">
        <f t="shared" si="8"/>
        <v>1</v>
      </c>
      <c r="I97" s="123"/>
      <c r="J97" s="107"/>
      <c r="K97" s="107">
        <f t="shared" si="6"/>
        <v>1</v>
      </c>
      <c r="L97" s="106"/>
      <c r="M97" s="107"/>
      <c r="N97" s="107">
        <f t="shared" si="9"/>
        <v>1</v>
      </c>
      <c r="O97" s="106"/>
      <c r="P97" s="107"/>
      <c r="Q97" s="107">
        <f t="shared" si="10"/>
        <v>1</v>
      </c>
    </row>
    <row r="98" spans="1:17">
      <c r="A98" s="103">
        <v>95</v>
      </c>
      <c r="B98" s="103" t="s">
        <v>511</v>
      </c>
      <c r="C98" s="7" t="s">
        <v>107</v>
      </c>
      <c r="D98" s="109">
        <v>3</v>
      </c>
      <c r="E98" s="108"/>
      <c r="F98" s="105">
        <f t="shared" si="7"/>
        <v>3</v>
      </c>
      <c r="G98" s="105"/>
      <c r="H98" s="105">
        <f t="shared" si="8"/>
        <v>3</v>
      </c>
      <c r="I98" s="123"/>
      <c r="J98" s="107">
        <v>1</v>
      </c>
      <c r="K98" s="107">
        <f t="shared" si="6"/>
        <v>2</v>
      </c>
      <c r="L98" s="106"/>
      <c r="M98" s="107">
        <v>1</v>
      </c>
      <c r="N98" s="107">
        <f t="shared" si="9"/>
        <v>1</v>
      </c>
      <c r="O98" s="106"/>
      <c r="P98" s="107"/>
      <c r="Q98" s="107">
        <f t="shared" si="10"/>
        <v>1</v>
      </c>
    </row>
    <row r="99" spans="1:17">
      <c r="A99" s="103">
        <v>96</v>
      </c>
      <c r="B99" s="103" t="s">
        <v>512</v>
      </c>
      <c r="C99" s="7" t="s">
        <v>1053</v>
      </c>
      <c r="D99" s="109">
        <v>0</v>
      </c>
      <c r="E99" s="108"/>
      <c r="F99" s="105">
        <f t="shared" si="7"/>
        <v>0</v>
      </c>
      <c r="G99" s="105"/>
      <c r="H99" s="105">
        <f t="shared" si="8"/>
        <v>0</v>
      </c>
      <c r="I99" s="123"/>
      <c r="J99" s="107"/>
      <c r="K99" s="107">
        <f t="shared" si="6"/>
        <v>0</v>
      </c>
      <c r="L99" s="106">
        <v>1</v>
      </c>
      <c r="M99" s="107"/>
      <c r="N99" s="107">
        <f t="shared" si="9"/>
        <v>1</v>
      </c>
      <c r="O99" s="106"/>
      <c r="P99" s="107"/>
      <c r="Q99" s="107">
        <f t="shared" si="10"/>
        <v>1</v>
      </c>
    </row>
    <row r="100" spans="1:17">
      <c r="A100" s="103">
        <v>97</v>
      </c>
      <c r="B100" s="103" t="s">
        <v>513</v>
      </c>
      <c r="C100" s="7" t="s">
        <v>143</v>
      </c>
      <c r="D100" s="109">
        <v>0</v>
      </c>
      <c r="E100" s="108"/>
      <c r="F100" s="105">
        <f t="shared" si="7"/>
        <v>0</v>
      </c>
      <c r="G100" s="105"/>
      <c r="H100" s="105">
        <f t="shared" si="8"/>
        <v>0</v>
      </c>
      <c r="I100" s="123"/>
      <c r="J100" s="107"/>
      <c r="K100" s="107">
        <f t="shared" ref="K100:K131" si="11">+H100+I100-J100</f>
        <v>0</v>
      </c>
      <c r="L100" s="106"/>
      <c r="M100" s="107"/>
      <c r="N100" s="107">
        <f t="shared" si="9"/>
        <v>0</v>
      </c>
      <c r="O100" s="106"/>
      <c r="P100" s="107"/>
      <c r="Q100" s="107">
        <f t="shared" si="10"/>
        <v>0</v>
      </c>
    </row>
    <row r="101" spans="1:17">
      <c r="A101" s="103">
        <v>98</v>
      </c>
      <c r="B101" s="103" t="s">
        <v>514</v>
      </c>
      <c r="C101" s="7" t="s">
        <v>51</v>
      </c>
      <c r="D101" s="109">
        <v>0</v>
      </c>
      <c r="E101" s="108"/>
      <c r="F101" s="105">
        <f t="shared" si="7"/>
        <v>0</v>
      </c>
      <c r="G101" s="105"/>
      <c r="H101" s="105">
        <f t="shared" si="8"/>
        <v>0</v>
      </c>
      <c r="I101" s="123"/>
      <c r="J101" s="107"/>
      <c r="K101" s="107">
        <f t="shared" si="11"/>
        <v>0</v>
      </c>
      <c r="L101" s="106"/>
      <c r="M101" s="107"/>
      <c r="N101" s="107">
        <f t="shared" si="9"/>
        <v>0</v>
      </c>
      <c r="O101" s="106"/>
      <c r="P101" s="107"/>
      <c r="Q101" s="107">
        <f t="shared" si="10"/>
        <v>0</v>
      </c>
    </row>
    <row r="102" spans="1:17">
      <c r="A102" s="103">
        <v>99</v>
      </c>
      <c r="B102" s="103" t="s">
        <v>515</v>
      </c>
      <c r="C102" s="7" t="s">
        <v>136</v>
      </c>
      <c r="D102" s="109">
        <v>2</v>
      </c>
      <c r="E102" s="108"/>
      <c r="F102" s="105">
        <f t="shared" si="7"/>
        <v>2</v>
      </c>
      <c r="G102" s="105"/>
      <c r="H102" s="105">
        <f t="shared" si="8"/>
        <v>2</v>
      </c>
      <c r="I102" s="123"/>
      <c r="J102" s="107"/>
      <c r="K102" s="107">
        <f t="shared" si="11"/>
        <v>2</v>
      </c>
      <c r="L102" s="106"/>
      <c r="M102" s="107"/>
      <c r="N102" s="107">
        <f t="shared" si="9"/>
        <v>2</v>
      </c>
      <c r="O102" s="106"/>
      <c r="P102" s="107"/>
      <c r="Q102" s="107">
        <f t="shared" si="10"/>
        <v>2</v>
      </c>
    </row>
    <row r="103" spans="1:17">
      <c r="A103" s="103">
        <v>100</v>
      </c>
      <c r="B103" s="103" t="s">
        <v>516</v>
      </c>
      <c r="C103" s="7" t="s">
        <v>34</v>
      </c>
      <c r="D103" s="109">
        <v>2</v>
      </c>
      <c r="E103" s="108"/>
      <c r="F103" s="105">
        <f t="shared" si="7"/>
        <v>2</v>
      </c>
      <c r="G103" s="105"/>
      <c r="H103" s="105">
        <f t="shared" si="8"/>
        <v>2</v>
      </c>
      <c r="I103" s="123"/>
      <c r="J103" s="107"/>
      <c r="K103" s="107">
        <f t="shared" si="11"/>
        <v>2</v>
      </c>
      <c r="L103" s="106"/>
      <c r="M103" s="107"/>
      <c r="N103" s="107">
        <f t="shared" si="9"/>
        <v>2</v>
      </c>
      <c r="O103" s="106"/>
      <c r="P103" s="107"/>
      <c r="Q103" s="107">
        <f t="shared" si="10"/>
        <v>2</v>
      </c>
    </row>
    <row r="104" spans="1:17">
      <c r="A104" s="103">
        <v>101</v>
      </c>
      <c r="B104" s="103" t="s">
        <v>517</v>
      </c>
      <c r="C104" s="7" t="s">
        <v>35</v>
      </c>
      <c r="D104" s="109">
        <v>3</v>
      </c>
      <c r="E104" s="108"/>
      <c r="F104" s="105">
        <f t="shared" si="7"/>
        <v>3</v>
      </c>
      <c r="G104" s="105"/>
      <c r="H104" s="105">
        <f t="shared" si="8"/>
        <v>3</v>
      </c>
      <c r="I104" s="123"/>
      <c r="J104" s="107"/>
      <c r="K104" s="107">
        <f t="shared" si="11"/>
        <v>3</v>
      </c>
      <c r="L104" s="106"/>
      <c r="M104" s="107"/>
      <c r="N104" s="107">
        <f t="shared" si="9"/>
        <v>3</v>
      </c>
      <c r="O104" s="106"/>
      <c r="P104" s="107"/>
      <c r="Q104" s="107">
        <f t="shared" si="10"/>
        <v>3</v>
      </c>
    </row>
    <row r="105" spans="1:17">
      <c r="A105" s="103">
        <v>102</v>
      </c>
      <c r="B105" s="103" t="s">
        <v>518</v>
      </c>
      <c r="C105" s="7" t="s">
        <v>36</v>
      </c>
      <c r="D105" s="109">
        <v>4</v>
      </c>
      <c r="E105" s="108"/>
      <c r="F105" s="105">
        <f t="shared" si="7"/>
        <v>4</v>
      </c>
      <c r="G105" s="105"/>
      <c r="H105" s="105">
        <f t="shared" si="8"/>
        <v>4</v>
      </c>
      <c r="I105" s="123"/>
      <c r="J105" s="107"/>
      <c r="K105" s="107">
        <f t="shared" si="11"/>
        <v>4</v>
      </c>
      <c r="L105" s="106"/>
      <c r="M105" s="107"/>
      <c r="N105" s="107">
        <f t="shared" si="9"/>
        <v>4</v>
      </c>
      <c r="O105" s="106"/>
      <c r="P105" s="107"/>
      <c r="Q105" s="107">
        <f t="shared" si="10"/>
        <v>4</v>
      </c>
    </row>
    <row r="106" spans="1:17">
      <c r="A106" s="103">
        <v>103</v>
      </c>
      <c r="B106" s="103" t="s">
        <v>519</v>
      </c>
      <c r="C106" s="7" t="s">
        <v>38</v>
      </c>
      <c r="D106" s="109">
        <v>7</v>
      </c>
      <c r="E106" s="108"/>
      <c r="F106" s="105">
        <f t="shared" si="7"/>
        <v>7</v>
      </c>
      <c r="G106" s="105"/>
      <c r="H106" s="105">
        <f t="shared" si="8"/>
        <v>7</v>
      </c>
      <c r="I106" s="123"/>
      <c r="J106" s="107"/>
      <c r="K106" s="107">
        <f t="shared" si="11"/>
        <v>7</v>
      </c>
      <c r="L106" s="106"/>
      <c r="M106" s="107"/>
      <c r="N106" s="107">
        <f t="shared" si="9"/>
        <v>7</v>
      </c>
      <c r="O106" s="106"/>
      <c r="P106" s="107"/>
      <c r="Q106" s="107">
        <f t="shared" si="10"/>
        <v>7</v>
      </c>
    </row>
    <row r="107" spans="1:17">
      <c r="A107" s="103">
        <v>104</v>
      </c>
      <c r="B107" s="103" t="s">
        <v>520</v>
      </c>
      <c r="C107" s="7" t="s">
        <v>39</v>
      </c>
      <c r="D107" s="109">
        <v>0</v>
      </c>
      <c r="E107" s="108"/>
      <c r="F107" s="105">
        <f t="shared" si="7"/>
        <v>0</v>
      </c>
      <c r="G107" s="105"/>
      <c r="H107" s="105">
        <f t="shared" si="8"/>
        <v>0</v>
      </c>
      <c r="I107" s="123"/>
      <c r="J107" s="107"/>
      <c r="K107" s="107">
        <f t="shared" si="11"/>
        <v>0</v>
      </c>
      <c r="L107" s="106"/>
      <c r="M107" s="107"/>
      <c r="N107" s="107">
        <f t="shared" si="9"/>
        <v>0</v>
      </c>
      <c r="O107" s="106"/>
      <c r="P107" s="107"/>
      <c r="Q107" s="107">
        <f t="shared" si="10"/>
        <v>0</v>
      </c>
    </row>
    <row r="108" spans="1:17">
      <c r="A108" s="103">
        <v>105</v>
      </c>
      <c r="B108" s="103" t="s">
        <v>521</v>
      </c>
      <c r="C108" s="7" t="s">
        <v>40</v>
      </c>
      <c r="D108" s="109">
        <v>4</v>
      </c>
      <c r="E108" s="108"/>
      <c r="F108" s="105">
        <f t="shared" si="7"/>
        <v>4</v>
      </c>
      <c r="G108" s="105"/>
      <c r="H108" s="105">
        <f t="shared" si="8"/>
        <v>4</v>
      </c>
      <c r="I108" s="123"/>
      <c r="J108" s="107"/>
      <c r="K108" s="107">
        <f t="shared" si="11"/>
        <v>4</v>
      </c>
      <c r="L108" s="106"/>
      <c r="M108" s="107"/>
      <c r="N108" s="107">
        <f t="shared" si="9"/>
        <v>4</v>
      </c>
      <c r="O108" s="106"/>
      <c r="P108" s="107"/>
      <c r="Q108" s="107">
        <f t="shared" si="10"/>
        <v>4</v>
      </c>
    </row>
    <row r="109" spans="1:17">
      <c r="A109" s="103">
        <v>106</v>
      </c>
      <c r="B109" s="103" t="s">
        <v>522</v>
      </c>
      <c r="C109" s="7" t="s">
        <v>37</v>
      </c>
      <c r="D109" s="109">
        <v>12</v>
      </c>
      <c r="E109" s="108"/>
      <c r="F109" s="105">
        <f t="shared" si="7"/>
        <v>12</v>
      </c>
      <c r="G109" s="105"/>
      <c r="H109" s="105">
        <f t="shared" si="8"/>
        <v>12</v>
      </c>
      <c r="I109" s="123"/>
      <c r="J109" s="107">
        <v>2</v>
      </c>
      <c r="K109" s="107">
        <f t="shared" si="11"/>
        <v>10</v>
      </c>
      <c r="L109" s="106"/>
      <c r="M109" s="107"/>
      <c r="N109" s="107">
        <f t="shared" si="9"/>
        <v>10</v>
      </c>
      <c r="O109" s="106"/>
      <c r="P109" s="107"/>
      <c r="Q109" s="107">
        <f t="shared" si="10"/>
        <v>10</v>
      </c>
    </row>
    <row r="110" spans="1:17">
      <c r="A110" s="103">
        <v>107</v>
      </c>
      <c r="B110" s="103" t="s">
        <v>523</v>
      </c>
      <c r="C110" s="7">
        <v>31316</v>
      </c>
      <c r="D110" s="109">
        <v>3</v>
      </c>
      <c r="E110" s="108"/>
      <c r="F110" s="105">
        <f>SUM(D110:E110)</f>
        <v>3</v>
      </c>
      <c r="G110" s="105"/>
      <c r="H110" s="105">
        <f t="shared" si="8"/>
        <v>3</v>
      </c>
      <c r="I110" s="123"/>
      <c r="J110" s="107"/>
      <c r="K110" s="107">
        <f t="shared" si="11"/>
        <v>3</v>
      </c>
      <c r="L110" s="106"/>
      <c r="M110" s="107"/>
      <c r="N110" s="107">
        <f t="shared" si="9"/>
        <v>3</v>
      </c>
      <c r="O110" s="106"/>
      <c r="P110" s="107"/>
      <c r="Q110" s="107">
        <f t="shared" si="10"/>
        <v>3</v>
      </c>
    </row>
    <row r="111" spans="1:17">
      <c r="A111" s="103">
        <v>108</v>
      </c>
      <c r="B111" s="103" t="s">
        <v>524</v>
      </c>
      <c r="C111" s="7" t="s">
        <v>41</v>
      </c>
      <c r="D111" s="109">
        <v>1</v>
      </c>
      <c r="E111" s="108"/>
      <c r="F111" s="105">
        <f t="shared" si="7"/>
        <v>1</v>
      </c>
      <c r="G111" s="105"/>
      <c r="H111" s="105">
        <f t="shared" si="8"/>
        <v>1</v>
      </c>
      <c r="I111" s="123"/>
      <c r="J111" s="107"/>
      <c r="K111" s="107">
        <f t="shared" si="11"/>
        <v>1</v>
      </c>
      <c r="L111" s="106"/>
      <c r="M111" s="107"/>
      <c r="N111" s="107">
        <f t="shared" si="9"/>
        <v>1</v>
      </c>
      <c r="O111" s="106"/>
      <c r="P111" s="107"/>
      <c r="Q111" s="107">
        <f t="shared" si="10"/>
        <v>1</v>
      </c>
    </row>
    <row r="112" spans="1:17">
      <c r="A112" s="103">
        <v>109</v>
      </c>
      <c r="B112" s="103" t="s">
        <v>525</v>
      </c>
      <c r="C112" s="7" t="s">
        <v>42</v>
      </c>
      <c r="D112" s="109">
        <v>1</v>
      </c>
      <c r="E112" s="108"/>
      <c r="F112" s="105">
        <f t="shared" si="7"/>
        <v>1</v>
      </c>
      <c r="G112" s="105"/>
      <c r="H112" s="105">
        <f t="shared" si="8"/>
        <v>1</v>
      </c>
      <c r="I112" s="123"/>
      <c r="J112" s="107"/>
      <c r="K112" s="107">
        <f t="shared" si="11"/>
        <v>1</v>
      </c>
      <c r="L112" s="106"/>
      <c r="M112" s="107"/>
      <c r="N112" s="107">
        <f t="shared" si="9"/>
        <v>1</v>
      </c>
      <c r="O112" s="106"/>
      <c r="P112" s="107"/>
      <c r="Q112" s="107">
        <f t="shared" si="10"/>
        <v>1</v>
      </c>
    </row>
    <row r="113" spans="1:17">
      <c r="A113" s="103">
        <v>110</v>
      </c>
      <c r="B113" s="103" t="s">
        <v>526</v>
      </c>
      <c r="C113" s="7" t="s">
        <v>43</v>
      </c>
      <c r="D113" s="109">
        <v>5</v>
      </c>
      <c r="E113" s="108"/>
      <c r="F113" s="105">
        <f t="shared" si="7"/>
        <v>5</v>
      </c>
      <c r="G113" s="105"/>
      <c r="H113" s="105">
        <f t="shared" si="8"/>
        <v>5</v>
      </c>
      <c r="I113" s="123"/>
      <c r="J113" s="107"/>
      <c r="K113" s="107">
        <f t="shared" si="11"/>
        <v>5</v>
      </c>
      <c r="L113" s="106"/>
      <c r="M113" s="107"/>
      <c r="N113" s="107">
        <f t="shared" si="9"/>
        <v>5</v>
      </c>
      <c r="O113" s="106"/>
      <c r="P113" s="107"/>
      <c r="Q113" s="107">
        <f t="shared" si="10"/>
        <v>5</v>
      </c>
    </row>
    <row r="114" spans="1:17">
      <c r="A114" s="103">
        <v>111</v>
      </c>
      <c r="B114" s="103" t="s">
        <v>527</v>
      </c>
      <c r="C114" s="7" t="s">
        <v>95</v>
      </c>
      <c r="D114" s="109">
        <v>2</v>
      </c>
      <c r="E114" s="108"/>
      <c r="F114" s="105">
        <f t="shared" si="7"/>
        <v>2</v>
      </c>
      <c r="G114" s="105"/>
      <c r="H114" s="105">
        <f t="shared" si="8"/>
        <v>2</v>
      </c>
      <c r="I114" s="123"/>
      <c r="J114" s="107"/>
      <c r="K114" s="107">
        <f t="shared" si="11"/>
        <v>2</v>
      </c>
      <c r="L114" s="106"/>
      <c r="M114" s="107"/>
      <c r="N114" s="107">
        <f t="shared" si="9"/>
        <v>2</v>
      </c>
      <c r="O114" s="106"/>
      <c r="P114" s="107"/>
      <c r="Q114" s="107">
        <f t="shared" si="10"/>
        <v>2</v>
      </c>
    </row>
    <row r="115" spans="1:17">
      <c r="A115" s="103">
        <v>112</v>
      </c>
      <c r="B115" s="103" t="s">
        <v>528</v>
      </c>
      <c r="C115" s="7" t="s">
        <v>89</v>
      </c>
      <c r="D115" s="109">
        <v>3</v>
      </c>
      <c r="E115" s="108"/>
      <c r="F115" s="105">
        <f t="shared" si="7"/>
        <v>3</v>
      </c>
      <c r="G115" s="105"/>
      <c r="H115" s="105">
        <f t="shared" si="8"/>
        <v>3</v>
      </c>
      <c r="I115" s="123"/>
      <c r="J115" s="107"/>
      <c r="K115" s="107">
        <f t="shared" si="11"/>
        <v>3</v>
      </c>
      <c r="L115" s="106"/>
      <c r="M115" s="107"/>
      <c r="N115" s="107">
        <f t="shared" si="9"/>
        <v>3</v>
      </c>
      <c r="O115" s="106"/>
      <c r="P115" s="107"/>
      <c r="Q115" s="107">
        <f t="shared" si="10"/>
        <v>3</v>
      </c>
    </row>
    <row r="116" spans="1:17">
      <c r="A116" s="103">
        <v>113</v>
      </c>
      <c r="B116" s="103" t="s">
        <v>529</v>
      </c>
      <c r="C116" s="7" t="s">
        <v>134</v>
      </c>
      <c r="D116" s="109">
        <v>2</v>
      </c>
      <c r="E116" s="108"/>
      <c r="F116" s="105">
        <f t="shared" si="7"/>
        <v>2</v>
      </c>
      <c r="G116" s="105"/>
      <c r="H116" s="105">
        <f t="shared" si="8"/>
        <v>2</v>
      </c>
      <c r="I116" s="123"/>
      <c r="J116" s="107"/>
      <c r="K116" s="107">
        <f t="shared" si="11"/>
        <v>2</v>
      </c>
      <c r="L116" s="106"/>
      <c r="M116" s="107"/>
      <c r="N116" s="107">
        <f t="shared" si="9"/>
        <v>2</v>
      </c>
      <c r="O116" s="106"/>
      <c r="P116" s="107"/>
      <c r="Q116" s="107">
        <f t="shared" si="10"/>
        <v>2</v>
      </c>
    </row>
    <row r="117" spans="1:17">
      <c r="A117" s="103">
        <v>114</v>
      </c>
      <c r="B117" s="103" t="s">
        <v>530</v>
      </c>
      <c r="C117" s="7" t="s">
        <v>133</v>
      </c>
      <c r="D117" s="109">
        <v>2</v>
      </c>
      <c r="E117" s="108"/>
      <c r="F117" s="105">
        <f t="shared" si="7"/>
        <v>2</v>
      </c>
      <c r="G117" s="105"/>
      <c r="H117" s="105">
        <f t="shared" si="8"/>
        <v>2</v>
      </c>
      <c r="I117" s="123"/>
      <c r="J117" s="107"/>
      <c r="K117" s="107">
        <f t="shared" si="11"/>
        <v>2</v>
      </c>
      <c r="L117" s="106"/>
      <c r="M117" s="107"/>
      <c r="N117" s="107">
        <f t="shared" si="9"/>
        <v>2</v>
      </c>
      <c r="O117" s="106"/>
      <c r="P117" s="107"/>
      <c r="Q117" s="107">
        <f t="shared" si="10"/>
        <v>2</v>
      </c>
    </row>
    <row r="118" spans="1:17">
      <c r="A118" s="103">
        <v>115</v>
      </c>
      <c r="B118" s="103" t="s">
        <v>531</v>
      </c>
      <c r="C118" s="7">
        <v>51105</v>
      </c>
      <c r="D118" s="109">
        <v>5</v>
      </c>
      <c r="E118" s="108"/>
      <c r="F118" s="105">
        <f t="shared" si="7"/>
        <v>5</v>
      </c>
      <c r="G118" s="105"/>
      <c r="H118" s="105">
        <f t="shared" si="8"/>
        <v>5</v>
      </c>
      <c r="I118" s="123"/>
      <c r="J118" s="107"/>
      <c r="K118" s="107">
        <f t="shared" si="11"/>
        <v>5</v>
      </c>
      <c r="L118" s="106"/>
      <c r="M118" s="107"/>
      <c r="N118" s="107">
        <f t="shared" si="9"/>
        <v>5</v>
      </c>
      <c r="O118" s="106"/>
      <c r="P118" s="107"/>
      <c r="Q118" s="107">
        <f t="shared" si="10"/>
        <v>5</v>
      </c>
    </row>
    <row r="119" spans="1:17">
      <c r="A119" s="103">
        <v>116</v>
      </c>
      <c r="B119" s="103" t="s">
        <v>532</v>
      </c>
      <c r="C119" s="7">
        <v>51211</v>
      </c>
      <c r="D119" s="109">
        <v>1</v>
      </c>
      <c r="E119" s="108"/>
      <c r="F119" s="105">
        <f t="shared" si="7"/>
        <v>1</v>
      </c>
      <c r="G119" s="105"/>
      <c r="H119" s="105">
        <f t="shared" si="8"/>
        <v>1</v>
      </c>
      <c r="I119" s="123"/>
      <c r="J119" s="107"/>
      <c r="K119" s="107">
        <f t="shared" si="11"/>
        <v>1</v>
      </c>
      <c r="L119" s="106"/>
      <c r="M119" s="107"/>
      <c r="N119" s="107">
        <f t="shared" si="9"/>
        <v>1</v>
      </c>
      <c r="O119" s="106"/>
      <c r="P119" s="107"/>
      <c r="Q119" s="107">
        <f t="shared" si="10"/>
        <v>1</v>
      </c>
    </row>
    <row r="120" spans="1:17">
      <c r="A120" s="103">
        <v>117</v>
      </c>
      <c r="B120" s="103" t="s">
        <v>533</v>
      </c>
      <c r="C120" s="7">
        <v>51212</v>
      </c>
      <c r="D120" s="109">
        <v>8</v>
      </c>
      <c r="E120" s="108"/>
      <c r="F120" s="105">
        <f t="shared" si="7"/>
        <v>8</v>
      </c>
      <c r="G120" s="105"/>
      <c r="H120" s="105">
        <f t="shared" si="8"/>
        <v>8</v>
      </c>
      <c r="I120" s="123"/>
      <c r="J120" s="107"/>
      <c r="K120" s="107">
        <f t="shared" si="11"/>
        <v>8</v>
      </c>
      <c r="L120" s="106"/>
      <c r="M120" s="107"/>
      <c r="N120" s="107">
        <f t="shared" si="9"/>
        <v>8</v>
      </c>
      <c r="O120" s="106"/>
      <c r="P120" s="107"/>
      <c r="Q120" s="107">
        <f t="shared" si="10"/>
        <v>8</v>
      </c>
    </row>
    <row r="121" spans="1:17">
      <c r="A121" s="103">
        <v>118</v>
      </c>
      <c r="B121" s="103" t="s">
        <v>534</v>
      </c>
      <c r="C121" s="7" t="s">
        <v>110</v>
      </c>
      <c r="D121" s="109">
        <v>1</v>
      </c>
      <c r="E121" s="108"/>
      <c r="F121" s="105">
        <f t="shared" si="7"/>
        <v>1</v>
      </c>
      <c r="G121" s="105"/>
      <c r="H121" s="105">
        <f t="shared" si="8"/>
        <v>1</v>
      </c>
      <c r="I121" s="123"/>
      <c r="J121" s="107">
        <v>1</v>
      </c>
      <c r="K121" s="107">
        <f t="shared" si="11"/>
        <v>0</v>
      </c>
      <c r="L121" s="106"/>
      <c r="M121" s="107"/>
      <c r="N121" s="107">
        <f t="shared" si="9"/>
        <v>0</v>
      </c>
      <c r="O121" s="106"/>
      <c r="P121" s="107"/>
      <c r="Q121" s="107">
        <f t="shared" si="10"/>
        <v>0</v>
      </c>
    </row>
    <row r="122" spans="1:17">
      <c r="A122" s="103">
        <v>119</v>
      </c>
      <c r="B122" s="103" t="s">
        <v>535</v>
      </c>
      <c r="C122" s="7" t="s">
        <v>109</v>
      </c>
      <c r="D122" s="109">
        <v>1</v>
      </c>
      <c r="E122" s="108"/>
      <c r="F122" s="105">
        <f t="shared" si="7"/>
        <v>1</v>
      </c>
      <c r="G122" s="105"/>
      <c r="H122" s="105">
        <f t="shared" si="8"/>
        <v>1</v>
      </c>
      <c r="I122" s="123"/>
      <c r="J122" s="107"/>
      <c r="K122" s="107">
        <f t="shared" si="11"/>
        <v>1</v>
      </c>
      <c r="L122" s="106"/>
      <c r="M122" s="107"/>
      <c r="N122" s="107">
        <f t="shared" si="9"/>
        <v>1</v>
      </c>
      <c r="O122" s="106"/>
      <c r="P122" s="107"/>
      <c r="Q122" s="107">
        <f t="shared" si="10"/>
        <v>1</v>
      </c>
    </row>
    <row r="123" spans="1:17">
      <c r="A123" s="103">
        <v>120</v>
      </c>
      <c r="B123" s="103" t="s">
        <v>536</v>
      </c>
      <c r="C123" s="7" t="s">
        <v>30</v>
      </c>
      <c r="D123" s="109">
        <v>2</v>
      </c>
      <c r="E123" s="108"/>
      <c r="F123" s="105">
        <f t="shared" si="7"/>
        <v>2</v>
      </c>
      <c r="G123" s="105"/>
      <c r="H123" s="105">
        <f t="shared" si="8"/>
        <v>2</v>
      </c>
      <c r="I123" s="123"/>
      <c r="J123" s="107"/>
      <c r="K123" s="107">
        <f t="shared" si="11"/>
        <v>2</v>
      </c>
      <c r="L123" s="106"/>
      <c r="M123" s="107"/>
      <c r="N123" s="107">
        <f t="shared" si="9"/>
        <v>2</v>
      </c>
      <c r="O123" s="106"/>
      <c r="P123" s="107"/>
      <c r="Q123" s="107">
        <f t="shared" si="10"/>
        <v>2</v>
      </c>
    </row>
    <row r="124" spans="1:17">
      <c r="A124" s="103">
        <v>121</v>
      </c>
      <c r="B124" s="103" t="s">
        <v>537</v>
      </c>
      <c r="C124" s="7" t="s">
        <v>87</v>
      </c>
      <c r="D124" s="109">
        <v>8</v>
      </c>
      <c r="E124" s="108"/>
      <c r="F124" s="105">
        <f t="shared" si="7"/>
        <v>8</v>
      </c>
      <c r="G124" s="105"/>
      <c r="H124" s="105">
        <f t="shared" si="8"/>
        <v>8</v>
      </c>
      <c r="I124" s="123"/>
      <c r="J124" s="107"/>
      <c r="K124" s="107">
        <f t="shared" si="11"/>
        <v>8</v>
      </c>
      <c r="L124" s="106"/>
      <c r="M124" s="107"/>
      <c r="N124" s="107">
        <f t="shared" si="9"/>
        <v>8</v>
      </c>
      <c r="O124" s="106"/>
      <c r="P124" s="107"/>
      <c r="Q124" s="107">
        <f t="shared" si="10"/>
        <v>8</v>
      </c>
    </row>
    <row r="125" spans="1:17">
      <c r="A125" s="103">
        <v>122</v>
      </c>
      <c r="B125" s="103" t="s">
        <v>538</v>
      </c>
      <c r="C125" s="7" t="s">
        <v>70</v>
      </c>
      <c r="D125" s="109">
        <v>0</v>
      </c>
      <c r="E125" s="108"/>
      <c r="F125" s="105">
        <f t="shared" si="7"/>
        <v>0</v>
      </c>
      <c r="G125" s="105"/>
      <c r="H125" s="105">
        <f t="shared" si="8"/>
        <v>0</v>
      </c>
      <c r="I125" s="123"/>
      <c r="J125" s="107"/>
      <c r="K125" s="107">
        <f t="shared" si="11"/>
        <v>0</v>
      </c>
      <c r="L125" s="106"/>
      <c r="M125" s="107"/>
      <c r="N125" s="107">
        <f t="shared" si="9"/>
        <v>0</v>
      </c>
      <c r="O125" s="106"/>
      <c r="P125" s="107"/>
      <c r="Q125" s="107">
        <f t="shared" si="10"/>
        <v>0</v>
      </c>
    </row>
    <row r="126" spans="1:17">
      <c r="A126" s="103">
        <v>123</v>
      </c>
      <c r="B126" s="103" t="s">
        <v>539</v>
      </c>
      <c r="C126" s="7" t="s">
        <v>88</v>
      </c>
      <c r="D126" s="109">
        <v>1</v>
      </c>
      <c r="E126" s="108"/>
      <c r="F126" s="105">
        <f t="shared" si="7"/>
        <v>1</v>
      </c>
      <c r="G126" s="105"/>
      <c r="H126" s="105">
        <f t="shared" si="8"/>
        <v>1</v>
      </c>
      <c r="I126" s="123"/>
      <c r="J126" s="107"/>
      <c r="K126" s="107">
        <f t="shared" si="11"/>
        <v>1</v>
      </c>
      <c r="L126" s="106"/>
      <c r="M126" s="107"/>
      <c r="N126" s="107">
        <f t="shared" si="9"/>
        <v>1</v>
      </c>
      <c r="O126" s="106"/>
      <c r="P126" s="107"/>
      <c r="Q126" s="107">
        <f t="shared" si="10"/>
        <v>1</v>
      </c>
    </row>
    <row r="127" spans="1:17">
      <c r="A127" s="103">
        <v>124</v>
      </c>
      <c r="B127" s="103" t="s">
        <v>540</v>
      </c>
      <c r="C127" s="7" t="s">
        <v>409</v>
      </c>
      <c r="D127" s="109">
        <v>3</v>
      </c>
      <c r="E127" s="108"/>
      <c r="F127" s="105">
        <f t="shared" si="7"/>
        <v>3</v>
      </c>
      <c r="G127" s="105"/>
      <c r="H127" s="105">
        <f t="shared" si="8"/>
        <v>3</v>
      </c>
      <c r="I127" s="123"/>
      <c r="J127" s="107"/>
      <c r="K127" s="107">
        <f t="shared" si="11"/>
        <v>3</v>
      </c>
      <c r="L127" s="106"/>
      <c r="M127" s="107"/>
      <c r="N127" s="107">
        <f t="shared" si="9"/>
        <v>3</v>
      </c>
      <c r="O127" s="106"/>
      <c r="P127" s="107"/>
      <c r="Q127" s="107">
        <f t="shared" si="10"/>
        <v>3</v>
      </c>
    </row>
    <row r="128" spans="1:17">
      <c r="A128" s="103">
        <v>125</v>
      </c>
      <c r="B128" s="103" t="s">
        <v>541</v>
      </c>
      <c r="C128" s="7" t="s">
        <v>47</v>
      </c>
      <c r="D128" s="109">
        <v>4</v>
      </c>
      <c r="E128" s="108"/>
      <c r="F128" s="105">
        <f t="shared" si="7"/>
        <v>4</v>
      </c>
      <c r="G128" s="105"/>
      <c r="H128" s="105">
        <f t="shared" si="8"/>
        <v>4</v>
      </c>
      <c r="I128" s="123"/>
      <c r="J128" s="107"/>
      <c r="K128" s="107">
        <f t="shared" si="11"/>
        <v>4</v>
      </c>
      <c r="L128" s="106"/>
      <c r="M128" s="107"/>
      <c r="N128" s="107">
        <f t="shared" si="9"/>
        <v>4</v>
      </c>
      <c r="O128" s="106"/>
      <c r="P128" s="107"/>
      <c r="Q128" s="107">
        <f t="shared" si="10"/>
        <v>4</v>
      </c>
    </row>
    <row r="129" spans="1:17">
      <c r="A129" s="103">
        <v>126</v>
      </c>
      <c r="B129" s="103" t="s">
        <v>542</v>
      </c>
      <c r="C129" s="7" t="s">
        <v>44</v>
      </c>
      <c r="D129" s="109">
        <v>1</v>
      </c>
      <c r="E129" s="108"/>
      <c r="F129" s="105">
        <f t="shared" si="7"/>
        <v>1</v>
      </c>
      <c r="G129" s="105"/>
      <c r="H129" s="105">
        <f t="shared" si="8"/>
        <v>1</v>
      </c>
      <c r="I129" s="123"/>
      <c r="J129" s="107"/>
      <c r="K129" s="107">
        <f t="shared" si="11"/>
        <v>1</v>
      </c>
      <c r="L129" s="106"/>
      <c r="M129" s="107"/>
      <c r="N129" s="107">
        <f t="shared" si="9"/>
        <v>1</v>
      </c>
      <c r="O129" s="106"/>
      <c r="P129" s="107"/>
      <c r="Q129" s="107">
        <f t="shared" si="10"/>
        <v>1</v>
      </c>
    </row>
    <row r="130" spans="1:17">
      <c r="A130" s="103">
        <v>127</v>
      </c>
      <c r="B130" s="103" t="s">
        <v>543</v>
      </c>
      <c r="C130" s="7" t="s">
        <v>48</v>
      </c>
      <c r="D130" s="109">
        <v>1</v>
      </c>
      <c r="E130" s="108"/>
      <c r="F130" s="105">
        <f t="shared" si="7"/>
        <v>1</v>
      </c>
      <c r="G130" s="105"/>
      <c r="H130" s="105">
        <f t="shared" si="8"/>
        <v>1</v>
      </c>
      <c r="I130" s="123"/>
      <c r="J130" s="107"/>
      <c r="K130" s="107">
        <f t="shared" si="11"/>
        <v>1</v>
      </c>
      <c r="L130" s="106"/>
      <c r="M130" s="107"/>
      <c r="N130" s="107">
        <f t="shared" si="9"/>
        <v>1</v>
      </c>
      <c r="O130" s="106"/>
      <c r="P130" s="107"/>
      <c r="Q130" s="107">
        <f t="shared" si="10"/>
        <v>1</v>
      </c>
    </row>
    <row r="131" spans="1:17">
      <c r="A131" s="103">
        <v>128</v>
      </c>
      <c r="B131" s="103" t="s">
        <v>544</v>
      </c>
      <c r="C131" s="7" t="s">
        <v>104</v>
      </c>
      <c r="D131" s="109">
        <v>3</v>
      </c>
      <c r="E131" s="108"/>
      <c r="F131" s="105">
        <f t="shared" si="7"/>
        <v>3</v>
      </c>
      <c r="G131" s="105"/>
      <c r="H131" s="105">
        <f t="shared" si="8"/>
        <v>3</v>
      </c>
      <c r="I131" s="123"/>
      <c r="J131" s="107"/>
      <c r="K131" s="107">
        <f t="shared" si="11"/>
        <v>3</v>
      </c>
      <c r="L131" s="106"/>
      <c r="M131" s="107"/>
      <c r="N131" s="107">
        <f t="shared" si="9"/>
        <v>3</v>
      </c>
      <c r="O131" s="106"/>
      <c r="P131" s="107"/>
      <c r="Q131" s="107">
        <f t="shared" si="10"/>
        <v>3</v>
      </c>
    </row>
    <row r="132" spans="1:17">
      <c r="A132" s="103">
        <v>129</v>
      </c>
      <c r="B132" s="103" t="s">
        <v>545</v>
      </c>
      <c r="C132" s="7" t="s">
        <v>68</v>
      </c>
      <c r="D132" s="109">
        <v>0</v>
      </c>
      <c r="E132" s="108"/>
      <c r="F132" s="105">
        <f t="shared" si="7"/>
        <v>0</v>
      </c>
      <c r="G132" s="105"/>
      <c r="H132" s="105">
        <f t="shared" si="8"/>
        <v>0</v>
      </c>
      <c r="I132" s="123"/>
      <c r="J132" s="107"/>
      <c r="K132" s="107">
        <f t="shared" ref="K132:K163" si="12">+H132+I132-J132</f>
        <v>0</v>
      </c>
      <c r="L132" s="106"/>
      <c r="M132" s="107"/>
      <c r="N132" s="107">
        <f t="shared" si="9"/>
        <v>0</v>
      </c>
      <c r="O132" s="106"/>
      <c r="P132" s="107"/>
      <c r="Q132" s="107">
        <f t="shared" si="10"/>
        <v>0</v>
      </c>
    </row>
    <row r="133" spans="1:17">
      <c r="A133" s="103">
        <v>130</v>
      </c>
      <c r="B133" s="103" t="s">
        <v>546</v>
      </c>
      <c r="C133" s="7" t="s">
        <v>82</v>
      </c>
      <c r="D133" s="109">
        <v>1</v>
      </c>
      <c r="E133" s="108"/>
      <c r="F133" s="105">
        <f t="shared" ref="F133:F176" si="13">SUM(D133:E133)</f>
        <v>1</v>
      </c>
      <c r="G133" s="105"/>
      <c r="H133" s="105">
        <f t="shared" ref="H133:H176" si="14">SUM(F133-G133)</f>
        <v>1</v>
      </c>
      <c r="I133" s="123"/>
      <c r="J133" s="107"/>
      <c r="K133" s="107">
        <f t="shared" si="12"/>
        <v>1</v>
      </c>
      <c r="L133" s="106"/>
      <c r="M133" s="107"/>
      <c r="N133" s="107">
        <f t="shared" ref="N133:N176" si="15">+K133+L133-M133</f>
        <v>1</v>
      </c>
      <c r="O133" s="106"/>
      <c r="P133" s="107"/>
      <c r="Q133" s="107">
        <f t="shared" ref="Q133:Q176" si="16">+N133+O133-P133</f>
        <v>1</v>
      </c>
    </row>
    <row r="134" spans="1:17">
      <c r="A134" s="103">
        <v>131</v>
      </c>
      <c r="B134" s="103" t="s">
        <v>547</v>
      </c>
      <c r="C134" s="7" t="s">
        <v>135</v>
      </c>
      <c r="D134" s="109">
        <v>0</v>
      </c>
      <c r="E134" s="108"/>
      <c r="F134" s="105">
        <f t="shared" si="13"/>
        <v>0</v>
      </c>
      <c r="G134" s="105"/>
      <c r="H134" s="105">
        <f t="shared" si="14"/>
        <v>0</v>
      </c>
      <c r="I134" s="123"/>
      <c r="J134" s="107"/>
      <c r="K134" s="107">
        <f t="shared" si="12"/>
        <v>0</v>
      </c>
      <c r="L134" s="106"/>
      <c r="M134" s="107"/>
      <c r="N134" s="107">
        <f t="shared" si="15"/>
        <v>0</v>
      </c>
      <c r="O134" s="106"/>
      <c r="P134" s="107"/>
      <c r="Q134" s="107">
        <f t="shared" si="16"/>
        <v>0</v>
      </c>
    </row>
    <row r="135" spans="1:17">
      <c r="A135" s="103">
        <v>132</v>
      </c>
      <c r="B135" s="103" t="s">
        <v>548</v>
      </c>
      <c r="C135" s="7" t="s">
        <v>115</v>
      </c>
      <c r="D135" s="109">
        <v>0</v>
      </c>
      <c r="E135" s="108"/>
      <c r="F135" s="105">
        <f t="shared" si="13"/>
        <v>0</v>
      </c>
      <c r="G135" s="105"/>
      <c r="H135" s="105">
        <f t="shared" si="14"/>
        <v>0</v>
      </c>
      <c r="I135" s="123"/>
      <c r="J135" s="107"/>
      <c r="K135" s="107">
        <f t="shared" si="12"/>
        <v>0</v>
      </c>
      <c r="L135" s="106"/>
      <c r="M135" s="107"/>
      <c r="N135" s="107">
        <f t="shared" si="15"/>
        <v>0</v>
      </c>
      <c r="O135" s="106"/>
      <c r="P135" s="107"/>
      <c r="Q135" s="107">
        <f t="shared" si="16"/>
        <v>0</v>
      </c>
    </row>
    <row r="136" spans="1:17">
      <c r="A136" s="103">
        <v>133</v>
      </c>
      <c r="B136" s="103" t="s">
        <v>549</v>
      </c>
      <c r="C136" s="7" t="s">
        <v>111</v>
      </c>
      <c r="D136" s="109">
        <v>0</v>
      </c>
      <c r="E136" s="108"/>
      <c r="F136" s="105">
        <f t="shared" si="13"/>
        <v>0</v>
      </c>
      <c r="G136" s="105"/>
      <c r="H136" s="105">
        <f t="shared" si="14"/>
        <v>0</v>
      </c>
      <c r="I136" s="123"/>
      <c r="J136" s="107"/>
      <c r="K136" s="107">
        <f t="shared" si="12"/>
        <v>0</v>
      </c>
      <c r="L136" s="106"/>
      <c r="M136" s="107"/>
      <c r="N136" s="107">
        <f t="shared" si="15"/>
        <v>0</v>
      </c>
      <c r="O136" s="106">
        <v>1</v>
      </c>
      <c r="P136" s="107"/>
      <c r="Q136" s="107">
        <f t="shared" si="16"/>
        <v>1</v>
      </c>
    </row>
    <row r="137" spans="1:17">
      <c r="A137" s="103">
        <v>134</v>
      </c>
      <c r="B137" s="103" t="s">
        <v>550</v>
      </c>
      <c r="C137" s="7" t="s">
        <v>123</v>
      </c>
      <c r="D137" s="109">
        <v>4</v>
      </c>
      <c r="E137" s="108"/>
      <c r="F137" s="105">
        <f t="shared" si="13"/>
        <v>4</v>
      </c>
      <c r="G137" s="105"/>
      <c r="H137" s="105">
        <f t="shared" si="14"/>
        <v>4</v>
      </c>
      <c r="I137" s="123"/>
      <c r="J137" s="107"/>
      <c r="K137" s="107">
        <f t="shared" si="12"/>
        <v>4</v>
      </c>
      <c r="L137" s="106"/>
      <c r="M137" s="107"/>
      <c r="N137" s="107">
        <f t="shared" si="15"/>
        <v>4</v>
      </c>
      <c r="O137" s="106"/>
      <c r="P137" s="107"/>
      <c r="Q137" s="107">
        <f t="shared" si="16"/>
        <v>4</v>
      </c>
    </row>
    <row r="138" spans="1:17">
      <c r="A138" s="103">
        <v>135</v>
      </c>
      <c r="B138" s="103" t="s">
        <v>551</v>
      </c>
      <c r="C138" s="7" t="s">
        <v>53</v>
      </c>
      <c r="D138" s="109">
        <v>0</v>
      </c>
      <c r="E138" s="108"/>
      <c r="F138" s="105">
        <f t="shared" si="13"/>
        <v>0</v>
      </c>
      <c r="G138" s="105"/>
      <c r="H138" s="105">
        <f t="shared" si="14"/>
        <v>0</v>
      </c>
      <c r="I138" s="123"/>
      <c r="J138" s="107"/>
      <c r="K138" s="107">
        <f t="shared" si="12"/>
        <v>0</v>
      </c>
      <c r="L138" s="106"/>
      <c r="M138" s="107"/>
      <c r="N138" s="107">
        <f t="shared" si="15"/>
        <v>0</v>
      </c>
      <c r="O138" s="106"/>
      <c r="P138" s="107"/>
      <c r="Q138" s="107">
        <f t="shared" si="16"/>
        <v>0</v>
      </c>
    </row>
    <row r="139" spans="1:17">
      <c r="A139" s="103">
        <v>136</v>
      </c>
      <c r="B139" s="103" t="s">
        <v>552</v>
      </c>
      <c r="C139" s="7" t="s">
        <v>93</v>
      </c>
      <c r="D139" s="109">
        <v>1</v>
      </c>
      <c r="E139" s="108"/>
      <c r="F139" s="105">
        <f t="shared" si="13"/>
        <v>1</v>
      </c>
      <c r="G139" s="105"/>
      <c r="H139" s="105">
        <f t="shared" si="14"/>
        <v>1</v>
      </c>
      <c r="I139" s="123"/>
      <c r="J139" s="107"/>
      <c r="K139" s="107">
        <f t="shared" si="12"/>
        <v>1</v>
      </c>
      <c r="L139" s="106"/>
      <c r="M139" s="107"/>
      <c r="N139" s="107">
        <f t="shared" si="15"/>
        <v>1</v>
      </c>
      <c r="O139" s="106"/>
      <c r="P139" s="107"/>
      <c r="Q139" s="107">
        <f t="shared" si="16"/>
        <v>1</v>
      </c>
    </row>
    <row r="140" spans="1:17">
      <c r="A140" s="103">
        <v>137</v>
      </c>
      <c r="B140" s="103" t="s">
        <v>553</v>
      </c>
      <c r="C140" s="7" t="s">
        <v>55</v>
      </c>
      <c r="D140" s="109">
        <v>3</v>
      </c>
      <c r="E140" s="108"/>
      <c r="F140" s="105">
        <f t="shared" si="13"/>
        <v>3</v>
      </c>
      <c r="G140" s="105"/>
      <c r="H140" s="105">
        <f t="shared" si="14"/>
        <v>3</v>
      </c>
      <c r="I140" s="123"/>
      <c r="J140" s="107"/>
      <c r="K140" s="107">
        <f t="shared" si="12"/>
        <v>3</v>
      </c>
      <c r="L140" s="106"/>
      <c r="M140" s="107"/>
      <c r="N140" s="107">
        <f t="shared" si="15"/>
        <v>3</v>
      </c>
      <c r="O140" s="106"/>
      <c r="P140" s="107"/>
      <c r="Q140" s="107">
        <f t="shared" si="16"/>
        <v>3</v>
      </c>
    </row>
    <row r="141" spans="1:17">
      <c r="A141" s="103">
        <v>138</v>
      </c>
      <c r="B141" s="103" t="s">
        <v>554</v>
      </c>
      <c r="C141" s="7" t="s">
        <v>57</v>
      </c>
      <c r="D141" s="109">
        <v>7</v>
      </c>
      <c r="E141" s="108"/>
      <c r="F141" s="105">
        <f t="shared" si="13"/>
        <v>7</v>
      </c>
      <c r="G141" s="105"/>
      <c r="H141" s="105">
        <f t="shared" si="14"/>
        <v>7</v>
      </c>
      <c r="I141" s="123"/>
      <c r="J141" s="107"/>
      <c r="K141" s="107">
        <f t="shared" si="12"/>
        <v>7</v>
      </c>
      <c r="L141" s="106"/>
      <c r="M141" s="107">
        <v>1</v>
      </c>
      <c r="N141" s="107">
        <f t="shared" si="15"/>
        <v>6</v>
      </c>
      <c r="O141" s="106"/>
      <c r="P141" s="107"/>
      <c r="Q141" s="107">
        <f t="shared" si="16"/>
        <v>6</v>
      </c>
    </row>
    <row r="142" spans="1:17">
      <c r="A142" s="103">
        <v>139</v>
      </c>
      <c r="B142" s="103" t="s">
        <v>555</v>
      </c>
      <c r="C142" s="7" t="s">
        <v>45</v>
      </c>
      <c r="D142" s="109">
        <v>1</v>
      </c>
      <c r="E142" s="108"/>
      <c r="F142" s="105">
        <f t="shared" si="13"/>
        <v>1</v>
      </c>
      <c r="G142" s="105"/>
      <c r="H142" s="105">
        <f t="shared" si="14"/>
        <v>1</v>
      </c>
      <c r="I142" s="123"/>
      <c r="J142" s="107"/>
      <c r="K142" s="107">
        <f t="shared" si="12"/>
        <v>1</v>
      </c>
      <c r="L142" s="106"/>
      <c r="M142" s="107"/>
      <c r="N142" s="107">
        <f t="shared" si="15"/>
        <v>1</v>
      </c>
      <c r="O142" s="106"/>
      <c r="P142" s="107"/>
      <c r="Q142" s="107">
        <f t="shared" si="16"/>
        <v>1</v>
      </c>
    </row>
    <row r="143" spans="1:17">
      <c r="A143" s="103">
        <v>140</v>
      </c>
      <c r="B143" s="103" t="s">
        <v>556</v>
      </c>
      <c r="C143" s="7" t="s">
        <v>49</v>
      </c>
      <c r="D143" s="109">
        <v>9</v>
      </c>
      <c r="E143" s="108"/>
      <c r="F143" s="105">
        <f t="shared" si="13"/>
        <v>9</v>
      </c>
      <c r="G143" s="105"/>
      <c r="H143" s="105">
        <f t="shared" si="14"/>
        <v>9</v>
      </c>
      <c r="I143" s="123"/>
      <c r="J143" s="107"/>
      <c r="K143" s="107">
        <f t="shared" si="12"/>
        <v>9</v>
      </c>
      <c r="L143" s="106"/>
      <c r="M143" s="107"/>
      <c r="N143" s="107">
        <f t="shared" si="15"/>
        <v>9</v>
      </c>
      <c r="O143" s="106"/>
      <c r="P143" s="107"/>
      <c r="Q143" s="107">
        <f t="shared" si="16"/>
        <v>9</v>
      </c>
    </row>
    <row r="144" spans="1:17">
      <c r="A144" s="103">
        <v>141</v>
      </c>
      <c r="B144" s="103" t="s">
        <v>557</v>
      </c>
      <c r="C144" s="7" t="s">
        <v>105</v>
      </c>
      <c r="D144" s="109">
        <v>1</v>
      </c>
      <c r="E144" s="108"/>
      <c r="F144" s="105">
        <f t="shared" si="13"/>
        <v>1</v>
      </c>
      <c r="G144" s="105"/>
      <c r="H144" s="105">
        <f t="shared" si="14"/>
        <v>1</v>
      </c>
      <c r="I144" s="123"/>
      <c r="J144" s="107"/>
      <c r="K144" s="107">
        <f t="shared" si="12"/>
        <v>1</v>
      </c>
      <c r="L144" s="106"/>
      <c r="M144" s="107"/>
      <c r="N144" s="107">
        <f t="shared" si="15"/>
        <v>1</v>
      </c>
      <c r="O144" s="106"/>
      <c r="P144" s="107"/>
      <c r="Q144" s="107">
        <f t="shared" si="16"/>
        <v>1</v>
      </c>
    </row>
    <row r="145" spans="1:17">
      <c r="A145" s="103">
        <v>142</v>
      </c>
      <c r="B145" s="103" t="s">
        <v>558</v>
      </c>
      <c r="C145" s="7" t="s">
        <v>106</v>
      </c>
      <c r="D145" s="109">
        <v>5</v>
      </c>
      <c r="E145" s="108"/>
      <c r="F145" s="105">
        <f t="shared" si="13"/>
        <v>5</v>
      </c>
      <c r="G145" s="105"/>
      <c r="H145" s="105">
        <f t="shared" si="14"/>
        <v>5</v>
      </c>
      <c r="I145" s="123"/>
      <c r="J145" s="107"/>
      <c r="K145" s="107">
        <f t="shared" si="12"/>
        <v>5</v>
      </c>
      <c r="L145" s="106"/>
      <c r="M145" s="107"/>
      <c r="N145" s="107">
        <f t="shared" si="15"/>
        <v>5</v>
      </c>
      <c r="O145" s="106"/>
      <c r="P145" s="107"/>
      <c r="Q145" s="107">
        <f t="shared" si="16"/>
        <v>5</v>
      </c>
    </row>
    <row r="146" spans="1:17">
      <c r="A146" s="103">
        <v>143</v>
      </c>
      <c r="B146" s="103" t="s">
        <v>559</v>
      </c>
      <c r="C146" s="7" t="s">
        <v>46</v>
      </c>
      <c r="D146" s="109">
        <v>3</v>
      </c>
      <c r="E146" s="108"/>
      <c r="F146" s="105">
        <f t="shared" si="13"/>
        <v>3</v>
      </c>
      <c r="G146" s="105"/>
      <c r="H146" s="105">
        <f t="shared" si="14"/>
        <v>3</v>
      </c>
      <c r="I146" s="123"/>
      <c r="J146" s="107"/>
      <c r="K146" s="107">
        <f t="shared" si="12"/>
        <v>3</v>
      </c>
      <c r="L146" s="106"/>
      <c r="M146" s="107"/>
      <c r="N146" s="107">
        <f t="shared" si="15"/>
        <v>3</v>
      </c>
      <c r="O146" s="106"/>
      <c r="P146" s="107"/>
      <c r="Q146" s="107">
        <f t="shared" si="16"/>
        <v>3</v>
      </c>
    </row>
    <row r="147" spans="1:17">
      <c r="A147" s="103">
        <v>144</v>
      </c>
      <c r="B147" s="103" t="s">
        <v>560</v>
      </c>
      <c r="C147" s="7" t="s">
        <v>112</v>
      </c>
      <c r="D147" s="109">
        <v>0</v>
      </c>
      <c r="E147" s="108"/>
      <c r="F147" s="105">
        <f t="shared" si="13"/>
        <v>0</v>
      </c>
      <c r="G147" s="105"/>
      <c r="H147" s="105">
        <f t="shared" si="14"/>
        <v>0</v>
      </c>
      <c r="I147" s="123"/>
      <c r="J147" s="107"/>
      <c r="K147" s="107">
        <f t="shared" si="12"/>
        <v>0</v>
      </c>
      <c r="L147" s="106"/>
      <c r="M147" s="107"/>
      <c r="N147" s="107">
        <f t="shared" si="15"/>
        <v>0</v>
      </c>
      <c r="O147" s="106">
        <v>1</v>
      </c>
      <c r="P147" s="107"/>
      <c r="Q147" s="107">
        <f t="shared" si="16"/>
        <v>1</v>
      </c>
    </row>
    <row r="148" spans="1:17">
      <c r="A148" s="103">
        <v>145</v>
      </c>
      <c r="B148" s="103" t="s">
        <v>561</v>
      </c>
      <c r="C148" s="7" t="s">
        <v>91</v>
      </c>
      <c r="D148" s="109">
        <v>0</v>
      </c>
      <c r="E148" s="108"/>
      <c r="F148" s="105">
        <f t="shared" si="13"/>
        <v>0</v>
      </c>
      <c r="G148" s="105"/>
      <c r="H148" s="105">
        <f t="shared" si="14"/>
        <v>0</v>
      </c>
      <c r="I148" s="123"/>
      <c r="J148" s="107"/>
      <c r="K148" s="107">
        <f t="shared" si="12"/>
        <v>0</v>
      </c>
      <c r="L148" s="106"/>
      <c r="M148" s="107"/>
      <c r="N148" s="107">
        <f t="shared" si="15"/>
        <v>0</v>
      </c>
      <c r="O148" s="106"/>
      <c r="P148" s="107"/>
      <c r="Q148" s="107">
        <f t="shared" si="16"/>
        <v>0</v>
      </c>
    </row>
    <row r="149" spans="1:17">
      <c r="A149" s="103">
        <v>146</v>
      </c>
      <c r="B149" s="103" t="s">
        <v>562</v>
      </c>
      <c r="C149" s="7" t="s">
        <v>92</v>
      </c>
      <c r="D149" s="109">
        <v>0</v>
      </c>
      <c r="E149" s="108"/>
      <c r="F149" s="105">
        <f t="shared" si="13"/>
        <v>0</v>
      </c>
      <c r="G149" s="105"/>
      <c r="H149" s="105">
        <f t="shared" si="14"/>
        <v>0</v>
      </c>
      <c r="I149" s="123"/>
      <c r="J149" s="107"/>
      <c r="K149" s="107">
        <f t="shared" si="12"/>
        <v>0</v>
      </c>
      <c r="L149" s="106"/>
      <c r="M149" s="107"/>
      <c r="N149" s="107">
        <f t="shared" si="15"/>
        <v>0</v>
      </c>
      <c r="O149" s="106"/>
      <c r="P149" s="107"/>
      <c r="Q149" s="107">
        <f t="shared" si="16"/>
        <v>0</v>
      </c>
    </row>
    <row r="150" spans="1:17">
      <c r="A150" s="103">
        <v>147</v>
      </c>
      <c r="B150" s="103" t="s">
        <v>563</v>
      </c>
      <c r="C150" s="7" t="s">
        <v>79</v>
      </c>
      <c r="D150" s="109">
        <v>1</v>
      </c>
      <c r="E150" s="108"/>
      <c r="F150" s="105">
        <f t="shared" si="13"/>
        <v>1</v>
      </c>
      <c r="G150" s="105"/>
      <c r="H150" s="105">
        <f t="shared" si="14"/>
        <v>1</v>
      </c>
      <c r="I150" s="123"/>
      <c r="J150" s="107"/>
      <c r="K150" s="107">
        <f t="shared" si="12"/>
        <v>1</v>
      </c>
      <c r="L150" s="106"/>
      <c r="M150" s="107"/>
      <c r="N150" s="107">
        <f t="shared" si="15"/>
        <v>1</v>
      </c>
      <c r="O150" s="106"/>
      <c r="P150" s="107"/>
      <c r="Q150" s="107">
        <f t="shared" si="16"/>
        <v>1</v>
      </c>
    </row>
    <row r="151" spans="1:17">
      <c r="A151" s="103">
        <v>148</v>
      </c>
      <c r="B151" s="103" t="s">
        <v>564</v>
      </c>
      <c r="C151" s="7" t="s">
        <v>72</v>
      </c>
      <c r="D151" s="109">
        <v>2</v>
      </c>
      <c r="E151" s="108"/>
      <c r="F151" s="105">
        <f t="shared" si="13"/>
        <v>2</v>
      </c>
      <c r="G151" s="105"/>
      <c r="H151" s="105">
        <f t="shared" si="14"/>
        <v>2</v>
      </c>
      <c r="I151" s="123"/>
      <c r="J151" s="107"/>
      <c r="K151" s="107">
        <f t="shared" si="12"/>
        <v>2</v>
      </c>
      <c r="L151" s="106"/>
      <c r="M151" s="107"/>
      <c r="N151" s="107">
        <f t="shared" si="15"/>
        <v>2</v>
      </c>
      <c r="O151" s="106"/>
      <c r="P151" s="107"/>
      <c r="Q151" s="107">
        <f t="shared" si="16"/>
        <v>2</v>
      </c>
    </row>
    <row r="152" spans="1:17">
      <c r="A152" s="103">
        <v>149</v>
      </c>
      <c r="B152" s="103" t="s">
        <v>565</v>
      </c>
      <c r="C152" s="7" t="s">
        <v>73</v>
      </c>
      <c r="D152" s="109">
        <v>3</v>
      </c>
      <c r="E152" s="108"/>
      <c r="F152" s="105">
        <f t="shared" si="13"/>
        <v>3</v>
      </c>
      <c r="G152" s="105"/>
      <c r="H152" s="105">
        <f t="shared" si="14"/>
        <v>3</v>
      </c>
      <c r="I152" s="123"/>
      <c r="J152" s="107"/>
      <c r="K152" s="107">
        <f t="shared" si="12"/>
        <v>3</v>
      </c>
      <c r="L152" s="106"/>
      <c r="M152" s="107"/>
      <c r="N152" s="107">
        <f t="shared" si="15"/>
        <v>3</v>
      </c>
      <c r="O152" s="106"/>
      <c r="P152" s="107"/>
      <c r="Q152" s="107">
        <f t="shared" si="16"/>
        <v>3</v>
      </c>
    </row>
    <row r="153" spans="1:17">
      <c r="A153" s="103">
        <v>150</v>
      </c>
      <c r="B153" s="103" t="s">
        <v>566</v>
      </c>
      <c r="C153" s="7" t="s">
        <v>27</v>
      </c>
      <c r="D153" s="109">
        <v>0</v>
      </c>
      <c r="E153" s="108"/>
      <c r="F153" s="105">
        <f t="shared" si="13"/>
        <v>0</v>
      </c>
      <c r="G153" s="105"/>
      <c r="H153" s="105">
        <f t="shared" si="14"/>
        <v>0</v>
      </c>
      <c r="I153" s="123"/>
      <c r="J153" s="107"/>
      <c r="K153" s="107">
        <f t="shared" si="12"/>
        <v>0</v>
      </c>
      <c r="L153" s="106"/>
      <c r="M153" s="107"/>
      <c r="N153" s="107">
        <f t="shared" si="15"/>
        <v>0</v>
      </c>
      <c r="O153" s="106"/>
      <c r="P153" s="107"/>
      <c r="Q153" s="107">
        <f t="shared" si="16"/>
        <v>0</v>
      </c>
    </row>
    <row r="154" spans="1:17">
      <c r="A154" s="103">
        <v>151</v>
      </c>
      <c r="B154" s="103" t="s">
        <v>567</v>
      </c>
      <c r="C154" s="7" t="s">
        <v>61</v>
      </c>
      <c r="D154" s="109">
        <v>3</v>
      </c>
      <c r="E154" s="108"/>
      <c r="F154" s="105">
        <f t="shared" si="13"/>
        <v>3</v>
      </c>
      <c r="G154" s="105"/>
      <c r="H154" s="105">
        <f t="shared" si="14"/>
        <v>3</v>
      </c>
      <c r="I154" s="123"/>
      <c r="J154" s="107"/>
      <c r="K154" s="107">
        <f t="shared" si="12"/>
        <v>3</v>
      </c>
      <c r="L154" s="106"/>
      <c r="M154" s="107"/>
      <c r="N154" s="107">
        <f t="shared" si="15"/>
        <v>3</v>
      </c>
      <c r="O154" s="106"/>
      <c r="P154" s="107"/>
      <c r="Q154" s="107">
        <f t="shared" si="16"/>
        <v>3</v>
      </c>
    </row>
    <row r="155" spans="1:17">
      <c r="A155" s="103">
        <v>152</v>
      </c>
      <c r="B155" s="103" t="s">
        <v>568</v>
      </c>
      <c r="C155" s="7" t="s">
        <v>64</v>
      </c>
      <c r="D155" s="109">
        <v>7</v>
      </c>
      <c r="E155" s="108"/>
      <c r="F155" s="105">
        <f t="shared" si="13"/>
        <v>7</v>
      </c>
      <c r="G155" s="105"/>
      <c r="H155" s="105">
        <f t="shared" si="14"/>
        <v>7</v>
      </c>
      <c r="I155" s="123"/>
      <c r="J155" s="107"/>
      <c r="K155" s="107">
        <f t="shared" si="12"/>
        <v>7</v>
      </c>
      <c r="L155" s="106"/>
      <c r="M155" s="107"/>
      <c r="N155" s="107">
        <f t="shared" si="15"/>
        <v>7</v>
      </c>
      <c r="O155" s="106"/>
      <c r="P155" s="107"/>
      <c r="Q155" s="107">
        <f t="shared" si="16"/>
        <v>7</v>
      </c>
    </row>
    <row r="156" spans="1:17">
      <c r="A156" s="103">
        <v>153</v>
      </c>
      <c r="B156" s="103" t="s">
        <v>569</v>
      </c>
      <c r="C156" s="7" t="s">
        <v>71</v>
      </c>
      <c r="D156" s="109">
        <v>3</v>
      </c>
      <c r="E156" s="108"/>
      <c r="F156" s="105">
        <f t="shared" si="13"/>
        <v>3</v>
      </c>
      <c r="G156" s="105"/>
      <c r="H156" s="105">
        <f t="shared" si="14"/>
        <v>3</v>
      </c>
      <c r="I156" s="123"/>
      <c r="J156" s="107"/>
      <c r="K156" s="107">
        <f t="shared" si="12"/>
        <v>3</v>
      </c>
      <c r="L156" s="106"/>
      <c r="M156" s="107"/>
      <c r="N156" s="107">
        <f t="shared" si="15"/>
        <v>3</v>
      </c>
      <c r="O156" s="106"/>
      <c r="P156" s="107"/>
      <c r="Q156" s="107">
        <f t="shared" si="16"/>
        <v>3</v>
      </c>
    </row>
    <row r="157" spans="1:17">
      <c r="A157" s="103">
        <v>154</v>
      </c>
      <c r="B157" s="103" t="s">
        <v>570</v>
      </c>
      <c r="C157" s="7" t="s">
        <v>31</v>
      </c>
      <c r="D157" s="109">
        <v>7</v>
      </c>
      <c r="E157" s="108"/>
      <c r="F157" s="105">
        <f t="shared" si="13"/>
        <v>7</v>
      </c>
      <c r="G157" s="105"/>
      <c r="H157" s="105">
        <f t="shared" si="14"/>
        <v>7</v>
      </c>
      <c r="I157" s="123"/>
      <c r="J157" s="107"/>
      <c r="K157" s="107">
        <f t="shared" si="12"/>
        <v>7</v>
      </c>
      <c r="L157" s="106"/>
      <c r="M157" s="107"/>
      <c r="N157" s="107">
        <f t="shared" si="15"/>
        <v>7</v>
      </c>
      <c r="O157" s="106"/>
      <c r="P157" s="107"/>
      <c r="Q157" s="107">
        <f t="shared" si="16"/>
        <v>7</v>
      </c>
    </row>
    <row r="158" spans="1:17">
      <c r="A158" s="103">
        <v>155</v>
      </c>
      <c r="B158" s="103" t="s">
        <v>571</v>
      </c>
      <c r="C158" s="7" t="s">
        <v>74</v>
      </c>
      <c r="D158" s="109">
        <v>2</v>
      </c>
      <c r="E158" s="108"/>
      <c r="F158" s="105">
        <f t="shared" si="13"/>
        <v>2</v>
      </c>
      <c r="G158" s="105"/>
      <c r="H158" s="105">
        <f t="shared" si="14"/>
        <v>2</v>
      </c>
      <c r="I158" s="123"/>
      <c r="J158" s="107"/>
      <c r="K158" s="107">
        <f t="shared" si="12"/>
        <v>2</v>
      </c>
      <c r="L158" s="106"/>
      <c r="M158" s="107"/>
      <c r="N158" s="107">
        <f t="shared" si="15"/>
        <v>2</v>
      </c>
      <c r="O158" s="106"/>
      <c r="P158" s="107"/>
      <c r="Q158" s="107">
        <f t="shared" si="16"/>
        <v>2</v>
      </c>
    </row>
    <row r="159" spans="1:17">
      <c r="A159" s="103">
        <v>156</v>
      </c>
      <c r="B159" s="103" t="s">
        <v>572</v>
      </c>
      <c r="C159" s="7" t="s">
        <v>75</v>
      </c>
      <c r="D159" s="109">
        <v>2</v>
      </c>
      <c r="E159" s="108"/>
      <c r="F159" s="105">
        <f t="shared" si="13"/>
        <v>2</v>
      </c>
      <c r="G159" s="105"/>
      <c r="H159" s="105">
        <f t="shared" si="14"/>
        <v>2</v>
      </c>
      <c r="I159" s="123"/>
      <c r="J159" s="107"/>
      <c r="K159" s="107">
        <f t="shared" si="12"/>
        <v>2</v>
      </c>
      <c r="L159" s="106"/>
      <c r="M159" s="107"/>
      <c r="N159" s="107">
        <f t="shared" si="15"/>
        <v>2</v>
      </c>
      <c r="O159" s="106"/>
      <c r="P159" s="107"/>
      <c r="Q159" s="107">
        <f t="shared" si="16"/>
        <v>2</v>
      </c>
    </row>
    <row r="160" spans="1:17">
      <c r="A160" s="103">
        <v>157</v>
      </c>
      <c r="B160" s="103" t="s">
        <v>573</v>
      </c>
      <c r="C160" s="7" t="s">
        <v>62</v>
      </c>
      <c r="D160" s="109">
        <v>1</v>
      </c>
      <c r="E160" s="108"/>
      <c r="F160" s="105">
        <f t="shared" si="13"/>
        <v>1</v>
      </c>
      <c r="G160" s="105"/>
      <c r="H160" s="105">
        <f t="shared" si="14"/>
        <v>1</v>
      </c>
      <c r="I160" s="123"/>
      <c r="J160" s="107"/>
      <c r="K160" s="107">
        <f t="shared" si="12"/>
        <v>1</v>
      </c>
      <c r="L160" s="106"/>
      <c r="M160" s="107"/>
      <c r="N160" s="107">
        <f t="shared" si="15"/>
        <v>1</v>
      </c>
      <c r="O160" s="106"/>
      <c r="P160" s="107"/>
      <c r="Q160" s="107">
        <f t="shared" si="16"/>
        <v>1</v>
      </c>
    </row>
    <row r="161" spans="1:17">
      <c r="A161" s="103">
        <v>158</v>
      </c>
      <c r="B161" s="103" t="s">
        <v>574</v>
      </c>
      <c r="C161" s="7" t="s">
        <v>29</v>
      </c>
      <c r="D161" s="109">
        <v>0</v>
      </c>
      <c r="E161" s="108"/>
      <c r="F161" s="105">
        <f t="shared" si="13"/>
        <v>0</v>
      </c>
      <c r="G161" s="105"/>
      <c r="H161" s="105">
        <f t="shared" si="14"/>
        <v>0</v>
      </c>
      <c r="I161" s="123"/>
      <c r="J161" s="107"/>
      <c r="K161" s="107">
        <f t="shared" si="12"/>
        <v>0</v>
      </c>
      <c r="L161" s="106"/>
      <c r="M161" s="107"/>
      <c r="N161" s="107">
        <f t="shared" si="15"/>
        <v>0</v>
      </c>
      <c r="O161" s="106"/>
      <c r="P161" s="107"/>
      <c r="Q161" s="107">
        <f t="shared" si="16"/>
        <v>0</v>
      </c>
    </row>
    <row r="162" spans="1:17">
      <c r="A162" s="103">
        <v>159</v>
      </c>
      <c r="B162" s="103" t="s">
        <v>575</v>
      </c>
      <c r="C162" s="7" t="s">
        <v>59</v>
      </c>
      <c r="D162" s="109">
        <v>4</v>
      </c>
      <c r="E162" s="108"/>
      <c r="F162" s="105">
        <f t="shared" si="13"/>
        <v>4</v>
      </c>
      <c r="G162" s="105"/>
      <c r="H162" s="105">
        <f t="shared" si="14"/>
        <v>4</v>
      </c>
      <c r="I162" s="123"/>
      <c r="J162" s="107"/>
      <c r="K162" s="107">
        <f t="shared" si="12"/>
        <v>4</v>
      </c>
      <c r="L162" s="106"/>
      <c r="M162" s="107"/>
      <c r="N162" s="107">
        <f t="shared" si="15"/>
        <v>4</v>
      </c>
      <c r="O162" s="106"/>
      <c r="P162" s="107"/>
      <c r="Q162" s="107">
        <f t="shared" si="16"/>
        <v>4</v>
      </c>
    </row>
    <row r="163" spans="1:17">
      <c r="A163" s="103">
        <v>160</v>
      </c>
      <c r="B163" s="103" t="s">
        <v>576</v>
      </c>
      <c r="C163" s="7" t="s">
        <v>65</v>
      </c>
      <c r="D163" s="109">
        <v>10</v>
      </c>
      <c r="E163" s="108"/>
      <c r="F163" s="105">
        <f t="shared" si="13"/>
        <v>10</v>
      </c>
      <c r="G163" s="105"/>
      <c r="H163" s="105">
        <f t="shared" si="14"/>
        <v>10</v>
      </c>
      <c r="I163" s="123"/>
      <c r="J163" s="107"/>
      <c r="K163" s="107">
        <f t="shared" si="12"/>
        <v>10</v>
      </c>
      <c r="L163" s="106"/>
      <c r="M163" s="107"/>
      <c r="N163" s="107">
        <f t="shared" si="15"/>
        <v>10</v>
      </c>
      <c r="O163" s="106"/>
      <c r="P163" s="107"/>
      <c r="Q163" s="107">
        <f t="shared" si="16"/>
        <v>10</v>
      </c>
    </row>
    <row r="164" spans="1:17">
      <c r="A164" s="103">
        <v>161</v>
      </c>
      <c r="B164" s="103" t="s">
        <v>577</v>
      </c>
      <c r="C164" s="7" t="s">
        <v>60</v>
      </c>
      <c r="D164" s="109">
        <v>10</v>
      </c>
      <c r="E164" s="108"/>
      <c r="F164" s="105">
        <f t="shared" si="13"/>
        <v>10</v>
      </c>
      <c r="G164" s="105"/>
      <c r="H164" s="105">
        <f t="shared" si="14"/>
        <v>10</v>
      </c>
      <c r="I164" s="123"/>
      <c r="J164" s="107"/>
      <c r="K164" s="107">
        <f t="shared" ref="K164:K176" si="17">+H164+I164-J164</f>
        <v>10</v>
      </c>
      <c r="L164" s="106"/>
      <c r="M164" s="107"/>
      <c r="N164" s="107">
        <f t="shared" si="15"/>
        <v>10</v>
      </c>
      <c r="O164" s="106"/>
      <c r="P164" s="107"/>
      <c r="Q164" s="107">
        <f t="shared" si="16"/>
        <v>10</v>
      </c>
    </row>
    <row r="165" spans="1:17">
      <c r="A165" s="103">
        <v>162</v>
      </c>
      <c r="B165" s="103" t="s">
        <v>578</v>
      </c>
      <c r="C165" s="7" t="s">
        <v>63</v>
      </c>
      <c r="D165" s="109">
        <v>1</v>
      </c>
      <c r="E165" s="108"/>
      <c r="F165" s="105">
        <f t="shared" si="13"/>
        <v>1</v>
      </c>
      <c r="G165" s="105"/>
      <c r="H165" s="105">
        <f t="shared" si="14"/>
        <v>1</v>
      </c>
      <c r="I165" s="123"/>
      <c r="J165" s="107"/>
      <c r="K165" s="107">
        <f t="shared" si="17"/>
        <v>1</v>
      </c>
      <c r="L165" s="106"/>
      <c r="M165" s="107"/>
      <c r="N165" s="107">
        <f t="shared" si="15"/>
        <v>1</v>
      </c>
      <c r="O165" s="106"/>
      <c r="P165" s="107"/>
      <c r="Q165" s="107">
        <f t="shared" si="16"/>
        <v>1</v>
      </c>
    </row>
    <row r="166" spans="1:17">
      <c r="A166" s="103">
        <v>163</v>
      </c>
      <c r="B166" s="103" t="s">
        <v>579</v>
      </c>
      <c r="C166" s="7" t="s">
        <v>413</v>
      </c>
      <c r="D166" s="109">
        <v>1</v>
      </c>
      <c r="E166" s="108"/>
      <c r="F166" s="105">
        <f t="shared" si="13"/>
        <v>1</v>
      </c>
      <c r="G166" s="105"/>
      <c r="H166" s="105">
        <f t="shared" si="14"/>
        <v>1</v>
      </c>
      <c r="I166" s="123"/>
      <c r="J166" s="107"/>
      <c r="K166" s="107">
        <f t="shared" si="17"/>
        <v>1</v>
      </c>
      <c r="L166" s="106"/>
      <c r="M166" s="107"/>
      <c r="N166" s="107">
        <f t="shared" si="15"/>
        <v>1</v>
      </c>
      <c r="O166" s="106"/>
      <c r="P166" s="107"/>
      <c r="Q166" s="107">
        <f t="shared" si="16"/>
        <v>1</v>
      </c>
    </row>
    <row r="167" spans="1:17">
      <c r="A167" s="103">
        <v>164</v>
      </c>
      <c r="B167" s="103" t="s">
        <v>580</v>
      </c>
      <c r="C167" s="7" t="s">
        <v>69</v>
      </c>
      <c r="D167" s="109">
        <v>6</v>
      </c>
      <c r="E167" s="108"/>
      <c r="F167" s="105">
        <f t="shared" si="13"/>
        <v>6</v>
      </c>
      <c r="G167" s="105"/>
      <c r="H167" s="105">
        <f t="shared" si="14"/>
        <v>6</v>
      </c>
      <c r="I167" s="123"/>
      <c r="J167" s="107"/>
      <c r="K167" s="107">
        <f t="shared" si="17"/>
        <v>6</v>
      </c>
      <c r="L167" s="106"/>
      <c r="M167" s="107"/>
      <c r="N167" s="107">
        <f t="shared" si="15"/>
        <v>6</v>
      </c>
      <c r="O167" s="106"/>
      <c r="P167" s="107"/>
      <c r="Q167" s="107">
        <f t="shared" si="16"/>
        <v>6</v>
      </c>
    </row>
    <row r="168" spans="1:17">
      <c r="A168" s="103">
        <v>165</v>
      </c>
      <c r="B168" s="103" t="s">
        <v>581</v>
      </c>
      <c r="C168" s="7" t="s">
        <v>32</v>
      </c>
      <c r="D168" s="109">
        <v>2</v>
      </c>
      <c r="E168" s="108"/>
      <c r="F168" s="105">
        <f t="shared" si="13"/>
        <v>2</v>
      </c>
      <c r="G168" s="105"/>
      <c r="H168" s="105">
        <f t="shared" si="14"/>
        <v>2</v>
      </c>
      <c r="I168" s="123"/>
      <c r="J168" s="107"/>
      <c r="K168" s="107">
        <f t="shared" si="17"/>
        <v>2</v>
      </c>
      <c r="L168" s="106"/>
      <c r="M168" s="107"/>
      <c r="N168" s="107">
        <f t="shared" si="15"/>
        <v>2</v>
      </c>
      <c r="O168" s="106"/>
      <c r="P168" s="107"/>
      <c r="Q168" s="107">
        <f t="shared" si="16"/>
        <v>2</v>
      </c>
    </row>
    <row r="169" spans="1:17">
      <c r="A169" s="103">
        <v>166</v>
      </c>
      <c r="B169" s="103" t="s">
        <v>582</v>
      </c>
      <c r="C169" s="7" t="s">
        <v>76</v>
      </c>
      <c r="D169" s="109">
        <v>2</v>
      </c>
      <c r="E169" s="108"/>
      <c r="F169" s="105">
        <f t="shared" si="13"/>
        <v>2</v>
      </c>
      <c r="G169" s="105"/>
      <c r="H169" s="105">
        <f t="shared" si="14"/>
        <v>2</v>
      </c>
      <c r="I169" s="123"/>
      <c r="J169" s="107"/>
      <c r="K169" s="107">
        <f t="shared" si="17"/>
        <v>2</v>
      </c>
      <c r="L169" s="106"/>
      <c r="M169" s="107"/>
      <c r="N169" s="107">
        <f t="shared" si="15"/>
        <v>2</v>
      </c>
      <c r="O169" s="106"/>
      <c r="P169" s="107"/>
      <c r="Q169" s="107">
        <f t="shared" si="16"/>
        <v>2</v>
      </c>
    </row>
    <row r="170" spans="1:17">
      <c r="A170" s="103">
        <v>167</v>
      </c>
      <c r="B170" s="103" t="s">
        <v>583</v>
      </c>
      <c r="C170" s="7" t="s">
        <v>77</v>
      </c>
      <c r="D170" s="109">
        <v>4</v>
      </c>
      <c r="E170" s="108"/>
      <c r="F170" s="105">
        <f t="shared" si="13"/>
        <v>4</v>
      </c>
      <c r="G170" s="105"/>
      <c r="H170" s="105">
        <f t="shared" si="14"/>
        <v>4</v>
      </c>
      <c r="I170" s="123"/>
      <c r="J170" s="107"/>
      <c r="K170" s="107">
        <f t="shared" si="17"/>
        <v>4</v>
      </c>
      <c r="L170" s="106"/>
      <c r="M170" s="107"/>
      <c r="N170" s="107">
        <f t="shared" si="15"/>
        <v>4</v>
      </c>
      <c r="O170" s="106"/>
      <c r="P170" s="107"/>
      <c r="Q170" s="107">
        <f t="shared" si="16"/>
        <v>4</v>
      </c>
    </row>
    <row r="171" spans="1:17">
      <c r="A171" s="103">
        <v>168</v>
      </c>
      <c r="B171" s="103" t="s">
        <v>584</v>
      </c>
      <c r="C171" s="7" t="s">
        <v>78</v>
      </c>
      <c r="D171" s="109">
        <v>3</v>
      </c>
      <c r="E171" s="108"/>
      <c r="F171" s="105">
        <f t="shared" si="13"/>
        <v>3</v>
      </c>
      <c r="G171" s="105"/>
      <c r="H171" s="105">
        <f t="shared" si="14"/>
        <v>3</v>
      </c>
      <c r="I171" s="123"/>
      <c r="J171" s="107"/>
      <c r="K171" s="107">
        <f t="shared" si="17"/>
        <v>3</v>
      </c>
      <c r="L171" s="106"/>
      <c r="M171" s="107"/>
      <c r="N171" s="107">
        <f t="shared" si="15"/>
        <v>3</v>
      </c>
      <c r="O171" s="106"/>
      <c r="P171" s="107"/>
      <c r="Q171" s="107">
        <f t="shared" si="16"/>
        <v>3</v>
      </c>
    </row>
    <row r="172" spans="1:17">
      <c r="A172" s="103">
        <v>169</v>
      </c>
      <c r="B172" s="103" t="s">
        <v>585</v>
      </c>
      <c r="C172" s="7" t="s">
        <v>28</v>
      </c>
      <c r="D172" s="109">
        <v>3</v>
      </c>
      <c r="E172" s="108"/>
      <c r="F172" s="105">
        <f t="shared" si="13"/>
        <v>3</v>
      </c>
      <c r="G172" s="105"/>
      <c r="H172" s="105">
        <f t="shared" si="14"/>
        <v>3</v>
      </c>
      <c r="I172" s="123"/>
      <c r="J172" s="107"/>
      <c r="K172" s="107">
        <f t="shared" si="17"/>
        <v>3</v>
      </c>
      <c r="L172" s="106"/>
      <c r="M172" s="107"/>
      <c r="N172" s="107">
        <f t="shared" si="15"/>
        <v>3</v>
      </c>
      <c r="O172" s="106"/>
      <c r="P172" s="107"/>
      <c r="Q172" s="107">
        <f t="shared" si="16"/>
        <v>3</v>
      </c>
    </row>
    <row r="173" spans="1:17">
      <c r="A173" s="155">
        <v>170</v>
      </c>
      <c r="B173" s="155" t="s">
        <v>586</v>
      </c>
      <c r="C173" s="156" t="s">
        <v>138</v>
      </c>
      <c r="D173" s="157">
        <v>10</v>
      </c>
      <c r="E173" s="158"/>
      <c r="F173" s="159">
        <f t="shared" si="13"/>
        <v>10</v>
      </c>
      <c r="G173" s="159"/>
      <c r="H173" s="159">
        <f t="shared" si="14"/>
        <v>10</v>
      </c>
      <c r="I173" s="159"/>
      <c r="J173" s="160"/>
      <c r="K173" s="160">
        <f t="shared" si="17"/>
        <v>10</v>
      </c>
      <c r="L173" s="160"/>
      <c r="M173" s="160"/>
      <c r="N173" s="160">
        <f t="shared" si="15"/>
        <v>10</v>
      </c>
      <c r="O173" s="160"/>
      <c r="P173" s="160"/>
      <c r="Q173" s="160">
        <f t="shared" si="16"/>
        <v>10</v>
      </c>
    </row>
    <row r="174" spans="1:17">
      <c r="A174" s="103">
        <v>171</v>
      </c>
      <c r="B174" s="123" t="s">
        <v>1415</v>
      </c>
      <c r="C174" s="167" t="s">
        <v>1416</v>
      </c>
      <c r="D174" s="107">
        <v>0</v>
      </c>
      <c r="E174" s="107"/>
      <c r="F174" s="107">
        <f t="shared" si="13"/>
        <v>0</v>
      </c>
      <c r="G174" s="107"/>
      <c r="H174" s="107">
        <f t="shared" si="14"/>
        <v>0</v>
      </c>
      <c r="I174" s="123"/>
      <c r="J174" s="107"/>
      <c r="K174" s="107">
        <f t="shared" si="17"/>
        <v>0</v>
      </c>
      <c r="L174" s="107"/>
      <c r="M174" s="107"/>
      <c r="N174" s="107">
        <f t="shared" si="15"/>
        <v>0</v>
      </c>
      <c r="O174" s="107">
        <v>3</v>
      </c>
      <c r="P174" s="107">
        <v>3</v>
      </c>
      <c r="Q174" s="107">
        <f t="shared" si="16"/>
        <v>0</v>
      </c>
    </row>
    <row r="175" spans="1:17">
      <c r="A175" s="103">
        <v>172</v>
      </c>
      <c r="B175" s="123" t="s">
        <v>1417</v>
      </c>
      <c r="C175" s="167" t="s">
        <v>1418</v>
      </c>
      <c r="D175" s="107">
        <v>0</v>
      </c>
      <c r="E175" s="107"/>
      <c r="F175" s="107">
        <f t="shared" si="13"/>
        <v>0</v>
      </c>
      <c r="G175" s="107"/>
      <c r="H175" s="107">
        <f t="shared" si="14"/>
        <v>0</v>
      </c>
      <c r="I175" s="123"/>
      <c r="J175" s="107"/>
      <c r="K175" s="107">
        <f t="shared" si="17"/>
        <v>0</v>
      </c>
      <c r="L175" s="107"/>
      <c r="M175" s="107"/>
      <c r="N175" s="107">
        <f t="shared" si="15"/>
        <v>0</v>
      </c>
      <c r="O175" s="107">
        <v>2</v>
      </c>
      <c r="P175" s="107">
        <v>1</v>
      </c>
      <c r="Q175" s="107">
        <f t="shared" si="16"/>
        <v>1</v>
      </c>
    </row>
    <row r="176" spans="1:17">
      <c r="A176" s="103">
        <v>173</v>
      </c>
      <c r="B176" s="123" t="s">
        <v>1419</v>
      </c>
      <c r="C176" s="167" t="s">
        <v>1420</v>
      </c>
      <c r="D176" s="107">
        <v>0</v>
      </c>
      <c r="E176" s="107"/>
      <c r="F176" s="107">
        <f t="shared" si="13"/>
        <v>0</v>
      </c>
      <c r="G176" s="107"/>
      <c r="H176" s="107">
        <f t="shared" si="14"/>
        <v>0</v>
      </c>
      <c r="I176" s="123"/>
      <c r="J176" s="107"/>
      <c r="K176" s="107">
        <f t="shared" si="17"/>
        <v>0</v>
      </c>
      <c r="L176" s="107"/>
      <c r="M176" s="107"/>
      <c r="N176" s="107">
        <f t="shared" si="15"/>
        <v>0</v>
      </c>
      <c r="O176" s="107">
        <v>2</v>
      </c>
      <c r="P176" s="107">
        <v>1</v>
      </c>
      <c r="Q176" s="107">
        <f t="shared" si="16"/>
        <v>1</v>
      </c>
    </row>
  </sheetData>
  <autoFilter ref="L3:Q173"/>
  <sortState ref="C2:D171">
    <sortCondition ref="C2"/>
  </sortState>
  <mergeCells count="5">
    <mergeCell ref="A2:C2"/>
    <mergeCell ref="D2:H2"/>
    <mergeCell ref="I2:K2"/>
    <mergeCell ref="L2:N2"/>
    <mergeCell ref="O2:Q2"/>
  </mergeCells>
  <pageMargins left="0.25" right="0.25" top="0.75" bottom="0.75" header="0.3" footer="0.3"/>
  <pageSetup paperSize="9" orientation="portrait" r:id="rId1"/>
  <ignoredErrors>
    <ignoredError sqref="F78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2:K12"/>
  <sheetViews>
    <sheetView workbookViewId="0">
      <selection activeCell="C15" sqref="C15"/>
    </sheetView>
  </sheetViews>
  <sheetFormatPr defaultRowHeight="15"/>
  <cols>
    <col min="1" max="1" width="5.7109375" style="59" bestFit="1" customWidth="1"/>
    <col min="2" max="2" width="9.140625" style="59" bestFit="1" customWidth="1"/>
    <col min="3" max="3" width="85" style="59" bestFit="1" customWidth="1"/>
    <col min="4" max="4" width="12.28515625" style="59" bestFit="1" customWidth="1"/>
    <col min="5" max="5" width="8.140625" style="59" customWidth="1"/>
    <col min="6" max="6" width="10" style="59" customWidth="1"/>
    <col min="7" max="7" width="11" style="59" customWidth="1"/>
    <col min="8" max="8" width="11.5703125" style="59" customWidth="1"/>
    <col min="9" max="9" width="10.28515625" style="59" hidden="1" customWidth="1"/>
    <col min="10" max="10" width="6.85546875" style="59" hidden="1" customWidth="1"/>
    <col min="11" max="11" width="11.140625" style="59" hidden="1" customWidth="1"/>
    <col min="12" max="16384" width="9.140625" style="59"/>
  </cols>
  <sheetData>
    <row r="2" spans="1:11">
      <c r="C2" s="60" t="s">
        <v>1700</v>
      </c>
    </row>
    <row r="3" spans="1:11" ht="31.5">
      <c r="A3" s="43" t="s">
        <v>370</v>
      </c>
      <c r="B3" s="61" t="s">
        <v>232</v>
      </c>
      <c r="C3" s="49" t="s">
        <v>371</v>
      </c>
      <c r="D3" s="50" t="s">
        <v>361</v>
      </c>
      <c r="E3" s="62" t="s">
        <v>372</v>
      </c>
      <c r="F3" s="63" t="s">
        <v>374</v>
      </c>
      <c r="G3" s="63" t="s">
        <v>376</v>
      </c>
      <c r="H3" s="64" t="s">
        <v>375</v>
      </c>
      <c r="I3" s="89" t="s">
        <v>218</v>
      </c>
      <c r="J3" s="89" t="s">
        <v>770</v>
      </c>
      <c r="K3" s="89" t="s">
        <v>219</v>
      </c>
    </row>
    <row r="4" spans="1:11" s="66" customFormat="1" ht="21.75" customHeight="1">
      <c r="A4" s="50">
        <v>1</v>
      </c>
      <c r="B4" s="50" t="s">
        <v>377</v>
      </c>
      <c r="C4" s="45" t="s">
        <v>1701</v>
      </c>
      <c r="D4" s="45" t="s">
        <v>369</v>
      </c>
      <c r="E4" s="49">
        <v>1</v>
      </c>
      <c r="F4" s="58">
        <v>235171</v>
      </c>
      <c r="G4" s="58">
        <f>F4*5%</f>
        <v>11758.550000000001</v>
      </c>
      <c r="H4" s="65">
        <f>+F4+G4</f>
        <v>246929.55</v>
      </c>
      <c r="I4" s="89"/>
      <c r="J4" s="89"/>
      <c r="K4" s="89"/>
    </row>
    <row r="5" spans="1:11" s="66" customFormat="1" ht="21.75" customHeight="1">
      <c r="A5" s="50">
        <v>2</v>
      </c>
      <c r="B5" s="50" t="s">
        <v>384</v>
      </c>
      <c r="C5" s="45" t="s">
        <v>1702</v>
      </c>
      <c r="D5" s="45" t="s">
        <v>369</v>
      </c>
      <c r="E5" s="49">
        <v>1</v>
      </c>
      <c r="F5" s="58">
        <v>507516</v>
      </c>
      <c r="G5" s="58">
        <f>F5*5%</f>
        <v>25375.800000000003</v>
      </c>
      <c r="H5" s="65">
        <f>+F5+G5</f>
        <v>532891.80000000005</v>
      </c>
      <c r="I5" s="89"/>
      <c r="J5" s="89"/>
      <c r="K5" s="89"/>
    </row>
    <row r="6" spans="1:11" s="66" customFormat="1" ht="21.75" customHeight="1">
      <c r="A6" s="50">
        <v>3</v>
      </c>
      <c r="B6" s="50" t="s">
        <v>380</v>
      </c>
      <c r="C6" s="45" t="s">
        <v>1703</v>
      </c>
      <c r="D6" s="45" t="s">
        <v>373</v>
      </c>
      <c r="E6" s="49">
        <v>1</v>
      </c>
      <c r="F6" s="58">
        <v>243858.71</v>
      </c>
      <c r="G6" s="58">
        <f>F6*5%</f>
        <v>12192.9355</v>
      </c>
      <c r="H6" s="67">
        <f>+F6+G6</f>
        <v>256051.64549999998</v>
      </c>
      <c r="I6" s="89"/>
      <c r="J6" s="89"/>
      <c r="K6" s="89"/>
    </row>
    <row r="7" spans="1:11" s="66" customFormat="1" ht="21.75" customHeight="1">
      <c r="A7" s="50">
        <v>4</v>
      </c>
      <c r="B7" s="50" t="s">
        <v>382</v>
      </c>
      <c r="C7" s="45" t="s">
        <v>1704</v>
      </c>
      <c r="D7" s="45" t="s">
        <v>369</v>
      </c>
      <c r="E7" s="49">
        <v>1</v>
      </c>
      <c r="F7" s="58">
        <v>158847</v>
      </c>
      <c r="G7" s="58">
        <f>F7*5%</f>
        <v>7942.35</v>
      </c>
      <c r="H7" s="67">
        <f>+F7+G7</f>
        <v>166789.35</v>
      </c>
      <c r="I7" s="89"/>
      <c r="J7" s="89"/>
      <c r="K7" s="89"/>
    </row>
    <row r="8" spans="1:11" s="66" customFormat="1" ht="21.75" customHeight="1">
      <c r="A8" s="50">
        <v>5</v>
      </c>
      <c r="B8" s="50" t="s">
        <v>383</v>
      </c>
      <c r="C8" s="45" t="s">
        <v>1705</v>
      </c>
      <c r="D8" s="45" t="s">
        <v>369</v>
      </c>
      <c r="E8" s="49">
        <v>2</v>
      </c>
      <c r="F8" s="58">
        <v>175280</v>
      </c>
      <c r="G8" s="58">
        <f>F8*5%</f>
        <v>8764</v>
      </c>
      <c r="H8" s="67">
        <f>+F8+G8</f>
        <v>184044</v>
      </c>
      <c r="I8" s="89"/>
      <c r="J8" s="89"/>
      <c r="K8" s="89"/>
    </row>
    <row r="9" spans="1:11" s="66" customFormat="1" ht="21.75" customHeight="1">
      <c r="A9" s="50">
        <v>6</v>
      </c>
      <c r="B9" s="50" t="s">
        <v>381</v>
      </c>
      <c r="C9" s="45" t="s">
        <v>1706</v>
      </c>
      <c r="D9" s="45" t="s">
        <v>373</v>
      </c>
      <c r="E9" s="49">
        <v>1</v>
      </c>
      <c r="F9" s="67">
        <v>273543.21999999997</v>
      </c>
      <c r="G9" s="58">
        <f t="shared" ref="G9" si="0">F9*5%</f>
        <v>13677.161</v>
      </c>
      <c r="H9" s="67">
        <f t="shared" ref="H9" si="1">+F9+G9</f>
        <v>287220.38099999999</v>
      </c>
      <c r="I9" s="89"/>
      <c r="J9" s="89"/>
      <c r="K9" s="89"/>
    </row>
    <row r="10" spans="1:11" s="66" customFormat="1" ht="21.75" customHeight="1">
      <c r="A10" s="50">
        <v>7</v>
      </c>
      <c r="B10" s="50" t="s">
        <v>378</v>
      </c>
      <c r="C10" s="45" t="s">
        <v>1707</v>
      </c>
      <c r="D10" s="45" t="s">
        <v>373</v>
      </c>
      <c r="E10" s="49">
        <v>2</v>
      </c>
      <c r="F10" s="58">
        <v>230430.49</v>
      </c>
      <c r="G10" s="58">
        <f>+F10*5%</f>
        <v>11521.5245</v>
      </c>
      <c r="H10" s="67">
        <f>+F10+G10</f>
        <v>241952.01449999999</v>
      </c>
      <c r="I10" s="89"/>
      <c r="J10" s="89"/>
      <c r="K10" s="89"/>
    </row>
    <row r="11" spans="1:11" s="66" customFormat="1" ht="21.75" customHeight="1">
      <c r="A11" s="50">
        <v>8</v>
      </c>
      <c r="B11" s="50" t="s">
        <v>379</v>
      </c>
      <c r="C11" s="45" t="s">
        <v>1708</v>
      </c>
      <c r="D11" s="45" t="s">
        <v>373</v>
      </c>
      <c r="E11" s="49">
        <v>2</v>
      </c>
      <c r="F11" s="58">
        <v>261152.62</v>
      </c>
      <c r="G11" s="58">
        <f>+F11*5%</f>
        <v>13057.631000000001</v>
      </c>
      <c r="H11" s="67">
        <f>+F11+G11</f>
        <v>274210.25099999999</v>
      </c>
      <c r="I11" s="89"/>
      <c r="J11" s="89"/>
      <c r="K11" s="89"/>
    </row>
    <row r="12" spans="1:11" s="66" customFormat="1" ht="21.75" customHeight="1">
      <c r="A12" s="50"/>
      <c r="B12" s="50"/>
      <c r="C12" s="45"/>
      <c r="D12" s="45"/>
      <c r="E12" s="50"/>
      <c r="F12" s="58"/>
      <c r="G12" s="58"/>
      <c r="H12" s="58"/>
      <c r="I12" s="89"/>
      <c r="J12" s="89"/>
      <c r="K12" s="8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2:I13"/>
  <sheetViews>
    <sheetView workbookViewId="0">
      <selection activeCell="J1" sqref="J1:J1048576"/>
    </sheetView>
  </sheetViews>
  <sheetFormatPr defaultRowHeight="15"/>
  <cols>
    <col min="1" max="1" width="6.85546875" bestFit="1" customWidth="1"/>
    <col min="2" max="2" width="9.7109375" customWidth="1"/>
    <col min="3" max="3" width="23.28515625" customWidth="1"/>
    <col min="4" max="4" width="13.28515625" customWidth="1"/>
    <col min="5" max="5" width="11.28515625" hidden="1" customWidth="1"/>
    <col min="6" max="6" width="11" hidden="1" customWidth="1"/>
    <col min="7" max="8" width="0" hidden="1" customWidth="1"/>
    <col min="9" max="9" width="11.85546875" bestFit="1" customWidth="1"/>
  </cols>
  <sheetData>
    <row r="2" spans="1:9" ht="18.75">
      <c r="A2" s="224" t="s">
        <v>603</v>
      </c>
      <c r="B2" s="224"/>
      <c r="C2" s="224"/>
      <c r="D2" s="224"/>
      <c r="E2" s="225"/>
      <c r="F2" s="224"/>
      <c r="G2" s="224"/>
      <c r="H2" s="224"/>
      <c r="I2" s="224"/>
    </row>
    <row r="3" spans="1:9" ht="31.5">
      <c r="A3" s="35" t="s">
        <v>404</v>
      </c>
      <c r="B3" s="36" t="s">
        <v>232</v>
      </c>
      <c r="C3" s="35" t="s">
        <v>1</v>
      </c>
      <c r="D3" s="35" t="s">
        <v>361</v>
      </c>
      <c r="E3" s="36" t="s">
        <v>233</v>
      </c>
      <c r="F3" s="56" t="s">
        <v>218</v>
      </c>
      <c r="G3" s="56" t="s">
        <v>769</v>
      </c>
      <c r="H3" s="56" t="s">
        <v>770</v>
      </c>
      <c r="I3" s="56" t="s">
        <v>219</v>
      </c>
    </row>
    <row r="4" spans="1:9" ht="15.75">
      <c r="A4" s="37">
        <v>1</v>
      </c>
      <c r="B4" s="37" t="s">
        <v>394</v>
      </c>
      <c r="C4" s="38" t="s">
        <v>405</v>
      </c>
      <c r="D4" s="38" t="s">
        <v>407</v>
      </c>
      <c r="E4" s="37">
        <v>1</v>
      </c>
      <c r="F4" s="50"/>
      <c r="G4" s="49">
        <f>SUM(E4:F4)</f>
        <v>1</v>
      </c>
      <c r="H4" s="49"/>
      <c r="I4" s="49">
        <f>SUM(G4-H4)</f>
        <v>1</v>
      </c>
    </row>
    <row r="5" spans="1:9" ht="15.75">
      <c r="A5" s="37">
        <v>2</v>
      </c>
      <c r="B5" s="37" t="s">
        <v>395</v>
      </c>
      <c r="C5" s="38" t="s">
        <v>391</v>
      </c>
      <c r="D5" s="38" t="s">
        <v>407</v>
      </c>
      <c r="E5" s="37">
        <v>7</v>
      </c>
      <c r="F5" s="23"/>
      <c r="G5" s="49">
        <f t="shared" ref="G5:G13" si="0">SUM(E5:F5)</f>
        <v>7</v>
      </c>
      <c r="H5" s="23"/>
      <c r="I5" s="49">
        <f t="shared" ref="I5:I13" si="1">SUM(G5-H5)</f>
        <v>7</v>
      </c>
    </row>
    <row r="6" spans="1:9" ht="15.75">
      <c r="A6" s="37">
        <v>3</v>
      </c>
      <c r="B6" s="37" t="s">
        <v>396</v>
      </c>
      <c r="C6" s="38" t="s">
        <v>406</v>
      </c>
      <c r="D6" s="38" t="s">
        <v>407</v>
      </c>
      <c r="E6" s="37">
        <v>7</v>
      </c>
      <c r="F6" s="23"/>
      <c r="G6" s="49">
        <f t="shared" si="0"/>
        <v>7</v>
      </c>
      <c r="H6" s="23"/>
      <c r="I6" s="49">
        <f t="shared" si="1"/>
        <v>7</v>
      </c>
    </row>
    <row r="7" spans="1:9" ht="15.75">
      <c r="A7" s="37">
        <v>4</v>
      </c>
      <c r="B7" s="37" t="s">
        <v>397</v>
      </c>
      <c r="C7" s="38" t="s">
        <v>392</v>
      </c>
      <c r="D7" s="38" t="s">
        <v>407</v>
      </c>
      <c r="E7" s="37">
        <v>1</v>
      </c>
      <c r="F7" s="23"/>
      <c r="G7" s="49">
        <f t="shared" si="0"/>
        <v>1</v>
      </c>
      <c r="H7" s="23"/>
      <c r="I7" s="49">
        <f t="shared" si="1"/>
        <v>1</v>
      </c>
    </row>
    <row r="8" spans="1:9" ht="15.75">
      <c r="A8" s="37">
        <v>5</v>
      </c>
      <c r="B8" s="37" t="s">
        <v>398</v>
      </c>
      <c r="C8" s="38" t="s">
        <v>393</v>
      </c>
      <c r="D8" s="38" t="s">
        <v>407</v>
      </c>
      <c r="E8" s="37">
        <v>2</v>
      </c>
      <c r="F8" s="23"/>
      <c r="G8" s="49">
        <f t="shared" si="0"/>
        <v>2</v>
      </c>
      <c r="H8" s="23"/>
      <c r="I8" s="49">
        <f t="shared" si="1"/>
        <v>2</v>
      </c>
    </row>
    <row r="9" spans="1:9" ht="15.75">
      <c r="A9" s="37">
        <v>6</v>
      </c>
      <c r="B9" s="37" t="s">
        <v>399</v>
      </c>
      <c r="C9" s="38" t="s">
        <v>386</v>
      </c>
      <c r="D9" s="38" t="s">
        <v>407</v>
      </c>
      <c r="E9" s="37">
        <v>2</v>
      </c>
      <c r="F9" s="23"/>
      <c r="G9" s="49">
        <f t="shared" si="0"/>
        <v>2</v>
      </c>
      <c r="H9" s="23"/>
      <c r="I9" s="49">
        <f t="shared" si="1"/>
        <v>2</v>
      </c>
    </row>
    <row r="10" spans="1:9" ht="15.75">
      <c r="A10" s="37">
        <v>7</v>
      </c>
      <c r="B10" s="37" t="s">
        <v>400</v>
      </c>
      <c r="C10" s="38" t="s">
        <v>387</v>
      </c>
      <c r="D10" s="38" t="s">
        <v>407</v>
      </c>
      <c r="E10" s="37">
        <v>7</v>
      </c>
      <c r="F10" s="23"/>
      <c r="G10" s="49">
        <f t="shared" si="0"/>
        <v>7</v>
      </c>
      <c r="H10" s="23"/>
      <c r="I10" s="49">
        <f t="shared" si="1"/>
        <v>7</v>
      </c>
    </row>
    <row r="11" spans="1:9" ht="15.75">
      <c r="A11" s="37">
        <v>8</v>
      </c>
      <c r="B11" s="37" t="s">
        <v>401</v>
      </c>
      <c r="C11" s="38" t="s">
        <v>388</v>
      </c>
      <c r="D11" s="38" t="s">
        <v>407</v>
      </c>
      <c r="E11" s="37">
        <v>8</v>
      </c>
      <c r="F11" s="23"/>
      <c r="G11" s="49">
        <f t="shared" si="0"/>
        <v>8</v>
      </c>
      <c r="H11" s="23"/>
      <c r="I11" s="49">
        <f t="shared" si="1"/>
        <v>8</v>
      </c>
    </row>
    <row r="12" spans="1:9" ht="15.75">
      <c r="A12" s="37">
        <v>9</v>
      </c>
      <c r="B12" s="37" t="s">
        <v>402</v>
      </c>
      <c r="C12" s="38" t="s">
        <v>389</v>
      </c>
      <c r="D12" s="38" t="s">
        <v>407</v>
      </c>
      <c r="E12" s="37">
        <v>4</v>
      </c>
      <c r="F12" s="23"/>
      <c r="G12" s="49">
        <f t="shared" si="0"/>
        <v>4</v>
      </c>
      <c r="H12" s="23"/>
      <c r="I12" s="49">
        <f t="shared" si="1"/>
        <v>4</v>
      </c>
    </row>
    <row r="13" spans="1:9" ht="15.75">
      <c r="A13" s="37">
        <v>10</v>
      </c>
      <c r="B13" s="37" t="s">
        <v>403</v>
      </c>
      <c r="C13" s="38" t="s">
        <v>390</v>
      </c>
      <c r="D13" s="38" t="s">
        <v>407</v>
      </c>
      <c r="E13" s="37">
        <v>6</v>
      </c>
      <c r="F13" s="23"/>
      <c r="G13" s="49">
        <f t="shared" si="0"/>
        <v>6</v>
      </c>
      <c r="H13" s="23"/>
      <c r="I13" s="49">
        <f t="shared" si="1"/>
        <v>6</v>
      </c>
    </row>
  </sheetData>
  <sortState ref="A4:D13">
    <sortCondition ref="C4"/>
  </sortState>
  <mergeCells count="2">
    <mergeCell ref="A2:D2"/>
    <mergeCell ref="E2:I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2:I16"/>
  <sheetViews>
    <sheetView workbookViewId="0">
      <selection activeCell="J1" sqref="J1:J1048576"/>
    </sheetView>
  </sheetViews>
  <sheetFormatPr defaultRowHeight="15"/>
  <cols>
    <col min="1" max="1" width="7.42578125" bestFit="1" customWidth="1"/>
    <col min="2" max="2" width="10" customWidth="1"/>
    <col min="3" max="3" width="47.7109375" bestFit="1" customWidth="1"/>
    <col min="4" max="4" width="11.42578125" hidden="1" customWidth="1"/>
    <col min="5" max="5" width="0" hidden="1" customWidth="1"/>
    <col min="6" max="6" width="11.28515625" hidden="1" customWidth="1"/>
    <col min="7" max="8" width="0" hidden="1" customWidth="1"/>
    <col min="9" max="9" width="11.85546875" bestFit="1" customWidth="1"/>
  </cols>
  <sheetData>
    <row r="2" spans="1:9">
      <c r="A2" s="227" t="s">
        <v>601</v>
      </c>
      <c r="B2" s="227"/>
      <c r="C2" s="227"/>
      <c r="D2" s="199"/>
      <c r="E2" s="68"/>
    </row>
    <row r="3" spans="1:9" s="204" customFormat="1" ht="25.5">
      <c r="A3" s="201" t="s">
        <v>0</v>
      </c>
      <c r="B3" s="201" t="s">
        <v>232</v>
      </c>
      <c r="C3" s="202" t="s">
        <v>1</v>
      </c>
      <c r="D3" s="202" t="s">
        <v>361</v>
      </c>
      <c r="E3" s="201" t="s">
        <v>233</v>
      </c>
      <c r="F3" s="203" t="s">
        <v>218</v>
      </c>
      <c r="G3" s="203" t="s">
        <v>769</v>
      </c>
      <c r="H3" s="203" t="s">
        <v>770</v>
      </c>
      <c r="I3" s="203" t="s">
        <v>219</v>
      </c>
    </row>
    <row r="4" spans="1:9" ht="21.75" customHeight="1">
      <c r="A4" s="39">
        <v>1</v>
      </c>
      <c r="B4" s="39" t="s">
        <v>593</v>
      </c>
      <c r="C4" s="69" t="s">
        <v>587</v>
      </c>
      <c r="D4" s="69"/>
      <c r="E4" s="39">
        <v>1</v>
      </c>
      <c r="F4" s="50"/>
      <c r="G4" s="49">
        <f>SUM(E4:F4)</f>
        <v>1</v>
      </c>
      <c r="H4" s="49"/>
      <c r="I4" s="49">
        <f>SUM(G4-H4)</f>
        <v>1</v>
      </c>
    </row>
    <row r="5" spans="1:9" ht="21.75" customHeight="1">
      <c r="A5" s="39">
        <v>2</v>
      </c>
      <c r="B5" s="39" t="s">
        <v>594</v>
      </c>
      <c r="C5" s="69" t="s">
        <v>588</v>
      </c>
      <c r="D5" s="69"/>
      <c r="E5" s="39">
        <v>1</v>
      </c>
      <c r="F5" s="23"/>
      <c r="G5" s="49">
        <f t="shared" ref="G5:G16" si="0">SUM(E5:F5)</f>
        <v>1</v>
      </c>
      <c r="H5" s="23"/>
      <c r="I5" s="49">
        <f t="shared" ref="I5:I16" si="1">SUM(G5-H5)</f>
        <v>1</v>
      </c>
    </row>
    <row r="6" spans="1:9" ht="21.75" customHeight="1">
      <c r="A6" s="39">
        <v>3</v>
      </c>
      <c r="B6" s="39" t="s">
        <v>595</v>
      </c>
      <c r="C6" s="69" t="s">
        <v>589</v>
      </c>
      <c r="D6" s="69"/>
      <c r="E6" s="39">
        <v>0</v>
      </c>
      <c r="F6" s="23"/>
      <c r="G6" s="49">
        <f t="shared" si="0"/>
        <v>0</v>
      </c>
      <c r="H6" s="23"/>
      <c r="I6" s="49">
        <f t="shared" si="1"/>
        <v>0</v>
      </c>
    </row>
    <row r="7" spans="1:9" ht="21.75" customHeight="1">
      <c r="A7" s="39">
        <v>4</v>
      </c>
      <c r="B7" s="39" t="s">
        <v>596</v>
      </c>
      <c r="C7" s="69" t="s">
        <v>590</v>
      </c>
      <c r="D7" s="69"/>
      <c r="E7" s="39">
        <v>1</v>
      </c>
      <c r="F7" s="23"/>
      <c r="G7" s="49">
        <f t="shared" si="0"/>
        <v>1</v>
      </c>
      <c r="H7" s="23"/>
      <c r="I7" s="49">
        <f t="shared" si="1"/>
        <v>1</v>
      </c>
    </row>
    <row r="8" spans="1:9" ht="21.75" customHeight="1">
      <c r="A8" s="39">
        <v>5</v>
      </c>
      <c r="B8" s="39" t="s">
        <v>597</v>
      </c>
      <c r="C8" s="69" t="s">
        <v>591</v>
      </c>
      <c r="D8" s="69"/>
      <c r="E8" s="39">
        <v>0</v>
      </c>
      <c r="F8" s="23"/>
      <c r="G8" s="49">
        <f t="shared" si="0"/>
        <v>0</v>
      </c>
      <c r="H8" s="23"/>
      <c r="I8" s="49">
        <f t="shared" si="1"/>
        <v>0</v>
      </c>
    </row>
    <row r="9" spans="1:9" ht="21.75" customHeight="1">
      <c r="A9" s="39">
        <v>6</v>
      </c>
      <c r="B9" s="39" t="s">
        <v>598</v>
      </c>
      <c r="C9" s="69" t="s">
        <v>592</v>
      </c>
      <c r="D9" s="69"/>
      <c r="E9" s="39">
        <v>0</v>
      </c>
      <c r="F9" s="23"/>
      <c r="G9" s="49">
        <f t="shared" si="0"/>
        <v>0</v>
      </c>
      <c r="H9" s="23"/>
      <c r="I9" s="49">
        <f t="shared" si="1"/>
        <v>0</v>
      </c>
    </row>
    <row r="10" spans="1:9" ht="21.75" customHeight="1">
      <c r="A10" s="39">
        <v>7</v>
      </c>
      <c r="B10" s="39" t="s">
        <v>599</v>
      </c>
      <c r="C10" s="69" t="s">
        <v>600</v>
      </c>
      <c r="D10" s="69"/>
      <c r="E10" s="39">
        <v>0</v>
      </c>
      <c r="F10" s="23"/>
      <c r="G10" s="49">
        <f t="shared" si="0"/>
        <v>0</v>
      </c>
      <c r="H10" s="23"/>
      <c r="I10" s="49">
        <f t="shared" si="1"/>
        <v>0</v>
      </c>
    </row>
    <row r="11" spans="1:9" ht="15.75">
      <c r="E11" s="71"/>
      <c r="F11" s="71"/>
      <c r="G11" s="72"/>
      <c r="H11" s="71"/>
      <c r="I11" s="72"/>
    </row>
    <row r="12" spans="1:9" ht="15.75">
      <c r="A12" s="226" t="s">
        <v>602</v>
      </c>
      <c r="B12" s="226"/>
      <c r="C12" s="226"/>
      <c r="D12" s="200"/>
      <c r="E12" s="73"/>
      <c r="F12" s="71"/>
      <c r="G12" s="72"/>
      <c r="H12" s="71"/>
      <c r="I12" s="72"/>
    </row>
    <row r="13" spans="1:9" ht="21.75" customHeight="1">
      <c r="A13" s="24">
        <v>1</v>
      </c>
      <c r="B13" s="24" t="s">
        <v>604</v>
      </c>
      <c r="C13" s="70" t="s">
        <v>608</v>
      </c>
      <c r="D13" s="70"/>
      <c r="E13" s="24">
        <v>2</v>
      </c>
      <c r="F13" s="23"/>
      <c r="G13" s="49">
        <f t="shared" si="0"/>
        <v>2</v>
      </c>
      <c r="H13" s="23"/>
      <c r="I13" s="49">
        <f t="shared" si="1"/>
        <v>2</v>
      </c>
    </row>
    <row r="14" spans="1:9" ht="21.75" customHeight="1">
      <c r="A14" s="24">
        <v>2</v>
      </c>
      <c r="B14" s="24" t="s">
        <v>605</v>
      </c>
      <c r="C14" s="70" t="s">
        <v>607</v>
      </c>
      <c r="D14" s="70"/>
      <c r="E14" s="24">
        <v>1</v>
      </c>
      <c r="F14" s="23"/>
      <c r="G14" s="49">
        <f t="shared" si="0"/>
        <v>1</v>
      </c>
      <c r="H14" s="23"/>
      <c r="I14" s="49">
        <f t="shared" si="1"/>
        <v>1</v>
      </c>
    </row>
    <row r="15" spans="1:9" ht="21.75" customHeight="1">
      <c r="A15" s="24">
        <v>3</v>
      </c>
      <c r="B15" s="24" t="s">
        <v>606</v>
      </c>
      <c r="C15" s="70" t="s">
        <v>610</v>
      </c>
      <c r="D15" s="70"/>
      <c r="E15" s="24">
        <v>1</v>
      </c>
      <c r="F15" s="23"/>
      <c r="G15" s="49">
        <f t="shared" si="0"/>
        <v>1</v>
      </c>
      <c r="H15" s="23"/>
      <c r="I15" s="49">
        <f t="shared" si="1"/>
        <v>1</v>
      </c>
    </row>
    <row r="16" spans="1:9" ht="21.75" customHeight="1">
      <c r="A16" s="24">
        <v>4</v>
      </c>
      <c r="B16" s="24" t="s">
        <v>609</v>
      </c>
      <c r="C16" s="70" t="s">
        <v>663</v>
      </c>
      <c r="D16" s="70"/>
      <c r="E16" s="24">
        <v>1</v>
      </c>
      <c r="F16" s="23"/>
      <c r="G16" s="49">
        <f t="shared" si="0"/>
        <v>1</v>
      </c>
      <c r="H16" s="23"/>
      <c r="I16" s="49">
        <f t="shared" si="1"/>
        <v>1</v>
      </c>
    </row>
  </sheetData>
  <mergeCells count="2">
    <mergeCell ref="A12:C12"/>
    <mergeCell ref="A2:C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2:N30"/>
  <sheetViews>
    <sheetView workbookViewId="0">
      <selection activeCell="D1" sqref="D1:L1048576"/>
    </sheetView>
  </sheetViews>
  <sheetFormatPr defaultColWidth="9.5703125" defaultRowHeight="15"/>
  <cols>
    <col min="1" max="1" width="6.85546875" style="74" bestFit="1" customWidth="1"/>
    <col min="2" max="2" width="10.5703125" style="74" customWidth="1"/>
    <col min="3" max="3" width="49.28515625" style="74" bestFit="1" customWidth="1"/>
    <col min="4" max="4" width="9.140625" style="74" hidden="1" customWidth="1"/>
    <col min="5" max="5" width="11.28515625" style="74" hidden="1" customWidth="1"/>
    <col min="6" max="6" width="8.5703125" style="74" hidden="1" customWidth="1"/>
    <col min="7" max="7" width="7.42578125" style="74" hidden="1" customWidth="1"/>
    <col min="8" max="8" width="11.85546875" style="74" hidden="1" customWidth="1"/>
    <col min="9" max="9" width="12.7109375" style="74" hidden="1" customWidth="1"/>
    <col min="10" max="10" width="11" style="74" hidden="1" customWidth="1"/>
    <col min="11" max="11" width="11.85546875" style="74" hidden="1" customWidth="1"/>
    <col min="12" max="12" width="11.28515625" style="74" hidden="1" customWidth="1"/>
    <col min="13" max="13" width="9.28515625" style="74" hidden="1" customWidth="1"/>
    <col min="14" max="14" width="11.85546875" style="74" bestFit="1" customWidth="1"/>
    <col min="15" max="16384" width="9.5703125" style="74"/>
  </cols>
  <sheetData>
    <row r="2" spans="1:14">
      <c r="A2" s="228" t="s">
        <v>632</v>
      </c>
      <c r="B2" s="228"/>
      <c r="C2" s="228"/>
      <c r="D2" s="229">
        <v>46220</v>
      </c>
      <c r="E2" s="228"/>
      <c r="F2" s="228"/>
      <c r="G2" s="228"/>
      <c r="H2" s="228"/>
      <c r="I2" s="229">
        <v>46221</v>
      </c>
      <c r="J2" s="228"/>
      <c r="K2" s="228"/>
      <c r="L2" s="229"/>
      <c r="M2" s="228"/>
      <c r="N2" s="228"/>
    </row>
    <row r="3" spans="1:14" s="60" customFormat="1" ht="31.5">
      <c r="A3" s="75" t="s">
        <v>611</v>
      </c>
      <c r="B3" s="76" t="s">
        <v>232</v>
      </c>
      <c r="C3" s="55" t="s">
        <v>612</v>
      </c>
      <c r="D3" s="54" t="s">
        <v>233</v>
      </c>
      <c r="E3" s="56" t="s">
        <v>218</v>
      </c>
      <c r="F3" s="56" t="s">
        <v>769</v>
      </c>
      <c r="G3" s="56" t="s">
        <v>770</v>
      </c>
      <c r="H3" s="56" t="s">
        <v>219</v>
      </c>
      <c r="I3" s="55" t="s">
        <v>218</v>
      </c>
      <c r="J3" s="56" t="s">
        <v>770</v>
      </c>
      <c r="K3" s="56" t="s">
        <v>219</v>
      </c>
      <c r="L3" s="55" t="s">
        <v>218</v>
      </c>
      <c r="M3" s="56" t="s">
        <v>770</v>
      </c>
      <c r="N3" s="56" t="s">
        <v>219</v>
      </c>
    </row>
    <row r="4" spans="1:14" ht="21.75" customHeight="1">
      <c r="A4" s="77">
        <v>1</v>
      </c>
      <c r="B4" s="77" t="s">
        <v>633</v>
      </c>
      <c r="C4" s="44" t="s">
        <v>613</v>
      </c>
      <c r="D4" s="40">
        <v>4</v>
      </c>
      <c r="E4" s="50"/>
      <c r="F4" s="49">
        <f>SUM(D4:E4)</f>
        <v>4</v>
      </c>
      <c r="G4" s="49"/>
      <c r="H4" s="49">
        <f>SUM(F4-G4)</f>
        <v>4</v>
      </c>
      <c r="I4" s="49"/>
      <c r="J4" s="89"/>
      <c r="K4" s="89">
        <f t="shared" ref="K4:K30" si="0">SUM(H4+I4)-J4</f>
        <v>4</v>
      </c>
      <c r="L4" s="79"/>
      <c r="M4" s="79"/>
      <c r="N4" s="89">
        <f>SUM(K4+L4)-M4</f>
        <v>4</v>
      </c>
    </row>
    <row r="5" spans="1:14" ht="21.75" customHeight="1">
      <c r="A5" s="77">
        <v>2</v>
      </c>
      <c r="B5" s="77" t="s">
        <v>634</v>
      </c>
      <c r="C5" s="44" t="s">
        <v>614</v>
      </c>
      <c r="D5" s="40">
        <v>5</v>
      </c>
      <c r="E5" s="79"/>
      <c r="F5" s="49">
        <f t="shared" ref="F5:F30" si="1">SUM(D5:E5)</f>
        <v>5</v>
      </c>
      <c r="G5" s="49"/>
      <c r="H5" s="49">
        <f t="shared" ref="H5:H30" si="2">SUM(F5-G5)</f>
        <v>5</v>
      </c>
      <c r="I5" s="89"/>
      <c r="J5" s="89"/>
      <c r="K5" s="89">
        <f t="shared" si="0"/>
        <v>5</v>
      </c>
      <c r="L5" s="79"/>
      <c r="M5" s="79"/>
      <c r="N5" s="89">
        <f t="shared" ref="N5:N30" si="3">SUM(K5+L5)-M5</f>
        <v>5</v>
      </c>
    </row>
    <row r="6" spans="1:14" ht="21.75" customHeight="1">
      <c r="A6" s="77">
        <v>3</v>
      </c>
      <c r="B6" s="77" t="s">
        <v>635</v>
      </c>
      <c r="C6" s="44" t="s">
        <v>912</v>
      </c>
      <c r="D6" s="40">
        <v>1</v>
      </c>
      <c r="E6" s="79"/>
      <c r="F6" s="49">
        <f t="shared" si="1"/>
        <v>1</v>
      </c>
      <c r="G6" s="49"/>
      <c r="H6" s="49">
        <f t="shared" si="2"/>
        <v>1</v>
      </c>
      <c r="I6" s="89"/>
      <c r="J6" s="89"/>
      <c r="K6" s="89">
        <f t="shared" si="0"/>
        <v>1</v>
      </c>
      <c r="L6" s="79"/>
      <c r="M6" s="79"/>
      <c r="N6" s="89">
        <f t="shared" si="3"/>
        <v>1</v>
      </c>
    </row>
    <row r="7" spans="1:14" ht="21.75" customHeight="1">
      <c r="A7" s="77">
        <v>4</v>
      </c>
      <c r="B7" s="77" t="s">
        <v>636</v>
      </c>
      <c r="C7" s="44" t="s">
        <v>662</v>
      </c>
      <c r="D7" s="40">
        <v>1</v>
      </c>
      <c r="E7" s="79"/>
      <c r="F7" s="49">
        <f t="shared" si="1"/>
        <v>1</v>
      </c>
      <c r="G7" s="49"/>
      <c r="H7" s="49">
        <f t="shared" si="2"/>
        <v>1</v>
      </c>
      <c r="I7" s="89"/>
      <c r="J7" s="89"/>
      <c r="K7" s="89">
        <f t="shared" si="0"/>
        <v>1</v>
      </c>
      <c r="L7" s="79"/>
      <c r="M7" s="79"/>
      <c r="N7" s="89">
        <f t="shared" si="3"/>
        <v>1</v>
      </c>
    </row>
    <row r="8" spans="1:14" ht="21.75" customHeight="1">
      <c r="A8" s="77">
        <v>5</v>
      </c>
      <c r="B8" s="77" t="s">
        <v>637</v>
      </c>
      <c r="C8" s="44" t="s">
        <v>615</v>
      </c>
      <c r="D8" s="40">
        <v>3</v>
      </c>
      <c r="E8" s="79"/>
      <c r="F8" s="49">
        <f t="shared" si="1"/>
        <v>3</v>
      </c>
      <c r="G8" s="49"/>
      <c r="H8" s="49">
        <f t="shared" si="2"/>
        <v>3</v>
      </c>
      <c r="I8" s="89"/>
      <c r="J8" s="89"/>
      <c r="K8" s="89">
        <f t="shared" si="0"/>
        <v>3</v>
      </c>
      <c r="L8" s="79"/>
      <c r="M8" s="79"/>
      <c r="N8" s="89">
        <f t="shared" si="3"/>
        <v>3</v>
      </c>
    </row>
    <row r="9" spans="1:14" ht="21.75" customHeight="1">
      <c r="A9" s="77">
        <v>6</v>
      </c>
      <c r="B9" s="77" t="s">
        <v>638</v>
      </c>
      <c r="C9" s="44" t="s">
        <v>616</v>
      </c>
      <c r="D9" s="40">
        <v>4</v>
      </c>
      <c r="E9" s="79"/>
      <c r="F9" s="49">
        <f t="shared" si="1"/>
        <v>4</v>
      </c>
      <c r="G9" s="49"/>
      <c r="H9" s="49">
        <f t="shared" si="2"/>
        <v>4</v>
      </c>
      <c r="I9" s="89"/>
      <c r="J9" s="89"/>
      <c r="K9" s="89">
        <f t="shared" si="0"/>
        <v>4</v>
      </c>
      <c r="L9" s="79"/>
      <c r="M9" s="79"/>
      <c r="N9" s="89">
        <f t="shared" si="3"/>
        <v>4</v>
      </c>
    </row>
    <row r="10" spans="1:14" ht="21.75" customHeight="1">
      <c r="A10" s="77">
        <v>7</v>
      </c>
      <c r="B10" s="77" t="s">
        <v>639</v>
      </c>
      <c r="C10" s="44" t="s">
        <v>617</v>
      </c>
      <c r="D10" s="40">
        <v>2</v>
      </c>
      <c r="E10" s="79"/>
      <c r="F10" s="49">
        <f t="shared" si="1"/>
        <v>2</v>
      </c>
      <c r="G10" s="49">
        <v>1</v>
      </c>
      <c r="H10" s="49">
        <f t="shared" si="2"/>
        <v>1</v>
      </c>
      <c r="I10" s="89"/>
      <c r="J10" s="89"/>
      <c r="K10" s="89">
        <f t="shared" si="0"/>
        <v>1</v>
      </c>
      <c r="L10" s="79"/>
      <c r="M10" s="79"/>
      <c r="N10" s="89">
        <f t="shared" si="3"/>
        <v>1</v>
      </c>
    </row>
    <row r="11" spans="1:14" ht="21.75" customHeight="1">
      <c r="A11" s="77">
        <v>8</v>
      </c>
      <c r="B11" s="77" t="s">
        <v>640</v>
      </c>
      <c r="C11" s="44" t="s">
        <v>618</v>
      </c>
      <c r="D11" s="40">
        <v>1</v>
      </c>
      <c r="E11" s="79"/>
      <c r="F11" s="49">
        <f t="shared" si="1"/>
        <v>1</v>
      </c>
      <c r="G11" s="49"/>
      <c r="H11" s="49">
        <f t="shared" si="2"/>
        <v>1</v>
      </c>
      <c r="I11" s="89"/>
      <c r="J11" s="89"/>
      <c r="K11" s="89">
        <f t="shared" si="0"/>
        <v>1</v>
      </c>
      <c r="L11" s="79"/>
      <c r="M11" s="79"/>
      <c r="N11" s="89">
        <f t="shared" si="3"/>
        <v>1</v>
      </c>
    </row>
    <row r="12" spans="1:14" ht="21.75" customHeight="1">
      <c r="A12" s="77">
        <v>9</v>
      </c>
      <c r="B12" s="77" t="s">
        <v>641</v>
      </c>
      <c r="C12" s="44" t="s">
        <v>619</v>
      </c>
      <c r="D12" s="40">
        <v>1</v>
      </c>
      <c r="E12" s="79"/>
      <c r="F12" s="49">
        <f t="shared" si="1"/>
        <v>1</v>
      </c>
      <c r="G12" s="49"/>
      <c r="H12" s="49">
        <f t="shared" si="2"/>
        <v>1</v>
      </c>
      <c r="I12" s="89"/>
      <c r="J12" s="89"/>
      <c r="K12" s="89">
        <f t="shared" si="0"/>
        <v>1</v>
      </c>
      <c r="L12" s="79"/>
      <c r="M12" s="79"/>
      <c r="N12" s="89">
        <f t="shared" si="3"/>
        <v>1</v>
      </c>
    </row>
    <row r="13" spans="1:14" ht="21.75" customHeight="1">
      <c r="A13" s="77">
        <v>10</v>
      </c>
      <c r="B13" s="77" t="s">
        <v>642</v>
      </c>
      <c r="C13" s="44" t="s">
        <v>620</v>
      </c>
      <c r="D13" s="40">
        <v>11</v>
      </c>
      <c r="E13" s="79"/>
      <c r="F13" s="49">
        <f t="shared" si="1"/>
        <v>11</v>
      </c>
      <c r="G13" s="49">
        <v>1</v>
      </c>
      <c r="H13" s="49">
        <f t="shared" si="2"/>
        <v>10</v>
      </c>
      <c r="I13" s="89"/>
      <c r="J13" s="89"/>
      <c r="K13" s="89">
        <f t="shared" si="0"/>
        <v>10</v>
      </c>
      <c r="L13" s="79"/>
      <c r="M13" s="79"/>
      <c r="N13" s="89">
        <f t="shared" si="3"/>
        <v>10</v>
      </c>
    </row>
    <row r="14" spans="1:14" ht="21.75" customHeight="1">
      <c r="A14" s="77">
        <v>11</v>
      </c>
      <c r="B14" s="77" t="s">
        <v>643</v>
      </c>
      <c r="C14" s="44" t="s">
        <v>621</v>
      </c>
      <c r="D14" s="40">
        <v>0</v>
      </c>
      <c r="E14" s="79"/>
      <c r="F14" s="49">
        <f t="shared" si="1"/>
        <v>0</v>
      </c>
      <c r="G14" s="49"/>
      <c r="H14" s="49">
        <f t="shared" si="2"/>
        <v>0</v>
      </c>
      <c r="I14" s="89"/>
      <c r="J14" s="89"/>
      <c r="K14" s="89">
        <f t="shared" si="0"/>
        <v>0</v>
      </c>
      <c r="L14" s="79"/>
      <c r="M14" s="79"/>
      <c r="N14" s="89">
        <f t="shared" si="3"/>
        <v>0</v>
      </c>
    </row>
    <row r="15" spans="1:14" ht="21.75" customHeight="1">
      <c r="A15" s="77">
        <v>12</v>
      </c>
      <c r="B15" s="77" t="s">
        <v>644</v>
      </c>
      <c r="C15" s="44" t="s">
        <v>622</v>
      </c>
      <c r="D15" s="40">
        <v>1</v>
      </c>
      <c r="E15" s="79"/>
      <c r="F15" s="49">
        <f t="shared" si="1"/>
        <v>1</v>
      </c>
      <c r="G15" s="49"/>
      <c r="H15" s="49">
        <f t="shared" si="2"/>
        <v>1</v>
      </c>
      <c r="I15" s="89">
        <v>2</v>
      </c>
      <c r="J15" s="89"/>
      <c r="K15" s="89">
        <f t="shared" si="0"/>
        <v>3</v>
      </c>
      <c r="L15" s="79"/>
      <c r="M15" s="79"/>
      <c r="N15" s="89">
        <f t="shared" si="3"/>
        <v>3</v>
      </c>
    </row>
    <row r="16" spans="1:14" ht="21.75" customHeight="1">
      <c r="A16" s="77">
        <v>13</v>
      </c>
      <c r="B16" s="77" t="s">
        <v>645</v>
      </c>
      <c r="C16" s="44" t="s">
        <v>623</v>
      </c>
      <c r="D16" s="40">
        <v>1</v>
      </c>
      <c r="E16" s="79"/>
      <c r="F16" s="49">
        <f t="shared" si="1"/>
        <v>1</v>
      </c>
      <c r="G16" s="49"/>
      <c r="H16" s="49">
        <f t="shared" si="2"/>
        <v>1</v>
      </c>
      <c r="I16" s="89"/>
      <c r="J16" s="89"/>
      <c r="K16" s="89">
        <f t="shared" si="0"/>
        <v>1</v>
      </c>
      <c r="L16" s="79"/>
      <c r="M16" s="79"/>
      <c r="N16" s="89">
        <f t="shared" si="3"/>
        <v>1</v>
      </c>
    </row>
    <row r="17" spans="1:14" ht="21.75" customHeight="1">
      <c r="A17" s="77">
        <v>14</v>
      </c>
      <c r="B17" s="77" t="s">
        <v>646</v>
      </c>
      <c r="C17" s="44" t="s">
        <v>624</v>
      </c>
      <c r="D17" s="40">
        <v>0</v>
      </c>
      <c r="E17" s="79"/>
      <c r="F17" s="49">
        <f t="shared" si="1"/>
        <v>0</v>
      </c>
      <c r="G17" s="49"/>
      <c r="H17" s="49">
        <f t="shared" si="2"/>
        <v>0</v>
      </c>
      <c r="I17" s="89">
        <v>2</v>
      </c>
      <c r="J17" s="89"/>
      <c r="K17" s="89">
        <f t="shared" si="0"/>
        <v>2</v>
      </c>
      <c r="L17" s="79"/>
      <c r="M17" s="79"/>
      <c r="N17" s="89">
        <f t="shared" si="3"/>
        <v>2</v>
      </c>
    </row>
    <row r="18" spans="1:14" ht="21.75" customHeight="1">
      <c r="A18" s="77">
        <v>15</v>
      </c>
      <c r="B18" s="77" t="s">
        <v>647</v>
      </c>
      <c r="C18" s="44" t="s">
        <v>625</v>
      </c>
      <c r="D18" s="40">
        <v>6</v>
      </c>
      <c r="E18" s="79"/>
      <c r="F18" s="49">
        <f t="shared" si="1"/>
        <v>6</v>
      </c>
      <c r="G18" s="49"/>
      <c r="H18" s="49">
        <f t="shared" si="2"/>
        <v>6</v>
      </c>
      <c r="I18" s="89"/>
      <c r="J18" s="89"/>
      <c r="K18" s="89">
        <f t="shared" si="0"/>
        <v>6</v>
      </c>
      <c r="L18" s="79"/>
      <c r="M18" s="79"/>
      <c r="N18" s="89">
        <f t="shared" si="3"/>
        <v>6</v>
      </c>
    </row>
    <row r="19" spans="1:14" ht="21.75" customHeight="1">
      <c r="A19" s="77">
        <v>16</v>
      </c>
      <c r="B19" s="77" t="s">
        <v>648</v>
      </c>
      <c r="C19" s="44" t="s">
        <v>839</v>
      </c>
      <c r="D19" s="40">
        <v>4</v>
      </c>
      <c r="E19" s="79"/>
      <c r="F19" s="49">
        <f t="shared" si="1"/>
        <v>4</v>
      </c>
      <c r="G19" s="49"/>
      <c r="H19" s="49">
        <f t="shared" si="2"/>
        <v>4</v>
      </c>
      <c r="I19" s="89"/>
      <c r="J19" s="89"/>
      <c r="K19" s="89">
        <f t="shared" si="0"/>
        <v>4</v>
      </c>
      <c r="L19" s="79"/>
      <c r="M19" s="79">
        <v>1</v>
      </c>
      <c r="N19" s="89">
        <f t="shared" si="3"/>
        <v>3</v>
      </c>
    </row>
    <row r="20" spans="1:14" ht="21.75" customHeight="1">
      <c r="A20" s="77">
        <v>17</v>
      </c>
      <c r="B20" s="77" t="s">
        <v>649</v>
      </c>
      <c r="C20" s="44" t="s">
        <v>626</v>
      </c>
      <c r="D20" s="40">
        <v>1</v>
      </c>
      <c r="E20" s="79"/>
      <c r="F20" s="49">
        <f t="shared" si="1"/>
        <v>1</v>
      </c>
      <c r="G20" s="49"/>
      <c r="H20" s="49">
        <f t="shared" si="2"/>
        <v>1</v>
      </c>
      <c r="I20" s="89"/>
      <c r="J20" s="89"/>
      <c r="K20" s="89">
        <f t="shared" si="0"/>
        <v>1</v>
      </c>
      <c r="L20" s="79"/>
      <c r="M20" s="79"/>
      <c r="N20" s="89">
        <f t="shared" si="3"/>
        <v>1</v>
      </c>
    </row>
    <row r="21" spans="1:14" ht="21.75" customHeight="1">
      <c r="A21" s="77">
        <v>18</v>
      </c>
      <c r="B21" s="77" t="s">
        <v>650</v>
      </c>
      <c r="C21" s="44" t="s">
        <v>627</v>
      </c>
      <c r="D21" s="40">
        <v>0</v>
      </c>
      <c r="E21" s="79"/>
      <c r="F21" s="49">
        <f t="shared" si="1"/>
        <v>0</v>
      </c>
      <c r="G21" s="49"/>
      <c r="H21" s="49">
        <f t="shared" si="2"/>
        <v>0</v>
      </c>
      <c r="I21" s="89"/>
      <c r="J21" s="89"/>
      <c r="K21" s="89">
        <f t="shared" si="0"/>
        <v>0</v>
      </c>
      <c r="L21" s="79"/>
      <c r="M21" s="79"/>
      <c r="N21" s="89">
        <f t="shared" si="3"/>
        <v>0</v>
      </c>
    </row>
    <row r="22" spans="1:14" ht="21.75" customHeight="1">
      <c r="A22" s="77">
        <v>19</v>
      </c>
      <c r="B22" s="77" t="s">
        <v>651</v>
      </c>
      <c r="C22" s="44" t="s">
        <v>628</v>
      </c>
      <c r="D22" s="40">
        <v>0</v>
      </c>
      <c r="E22" s="79"/>
      <c r="F22" s="49">
        <f t="shared" si="1"/>
        <v>0</v>
      </c>
      <c r="G22" s="49"/>
      <c r="H22" s="49">
        <f t="shared" si="2"/>
        <v>0</v>
      </c>
      <c r="I22" s="89"/>
      <c r="J22" s="89"/>
      <c r="K22" s="89">
        <f t="shared" si="0"/>
        <v>0</v>
      </c>
      <c r="L22" s="79"/>
      <c r="M22" s="79"/>
      <c r="N22" s="89">
        <f t="shared" si="3"/>
        <v>0</v>
      </c>
    </row>
    <row r="23" spans="1:14" ht="21.75" customHeight="1">
      <c r="A23" s="77">
        <v>20</v>
      </c>
      <c r="B23" s="77" t="s">
        <v>652</v>
      </c>
      <c r="C23" s="44" t="s">
        <v>629</v>
      </c>
      <c r="D23" s="40">
        <v>0</v>
      </c>
      <c r="E23" s="79"/>
      <c r="F23" s="49">
        <f t="shared" si="1"/>
        <v>0</v>
      </c>
      <c r="G23" s="49"/>
      <c r="H23" s="49">
        <f t="shared" si="2"/>
        <v>0</v>
      </c>
      <c r="I23" s="89">
        <v>3</v>
      </c>
      <c r="J23" s="89"/>
      <c r="K23" s="89">
        <f t="shared" si="0"/>
        <v>3</v>
      </c>
      <c r="L23" s="79"/>
      <c r="M23" s="79"/>
      <c r="N23" s="89">
        <f t="shared" si="3"/>
        <v>3</v>
      </c>
    </row>
    <row r="24" spans="1:14" ht="21.75" customHeight="1">
      <c r="A24" s="77">
        <v>21</v>
      </c>
      <c r="B24" s="77" t="s">
        <v>653</v>
      </c>
      <c r="C24" s="44" t="s">
        <v>630</v>
      </c>
      <c r="D24" s="40">
        <v>5</v>
      </c>
      <c r="E24" s="79"/>
      <c r="F24" s="49">
        <f t="shared" si="1"/>
        <v>5</v>
      </c>
      <c r="G24" s="49"/>
      <c r="H24" s="49">
        <f t="shared" si="2"/>
        <v>5</v>
      </c>
      <c r="I24" s="89"/>
      <c r="J24" s="89"/>
      <c r="K24" s="89">
        <f t="shared" si="0"/>
        <v>5</v>
      </c>
      <c r="L24" s="79"/>
      <c r="M24" s="79"/>
      <c r="N24" s="89">
        <f t="shared" si="3"/>
        <v>5</v>
      </c>
    </row>
    <row r="25" spans="1:14" ht="31.5">
      <c r="A25" s="77">
        <v>22</v>
      </c>
      <c r="B25" s="77" t="s">
        <v>654</v>
      </c>
      <c r="C25" s="78" t="s">
        <v>664</v>
      </c>
      <c r="D25" s="40">
        <v>3</v>
      </c>
      <c r="E25" s="79"/>
      <c r="F25" s="49">
        <f t="shared" si="1"/>
        <v>3</v>
      </c>
      <c r="G25" s="49"/>
      <c r="H25" s="49">
        <f t="shared" si="2"/>
        <v>3</v>
      </c>
      <c r="I25" s="89"/>
      <c r="J25" s="89"/>
      <c r="K25" s="89">
        <f t="shared" si="0"/>
        <v>3</v>
      </c>
      <c r="L25" s="79"/>
      <c r="M25" s="79"/>
      <c r="N25" s="89">
        <f t="shared" si="3"/>
        <v>3</v>
      </c>
    </row>
    <row r="26" spans="1:14" ht="31.5">
      <c r="A26" s="77">
        <v>23</v>
      </c>
      <c r="B26" s="77" t="s">
        <v>655</v>
      </c>
      <c r="C26" s="78" t="s">
        <v>911</v>
      </c>
      <c r="D26" s="40">
        <v>4</v>
      </c>
      <c r="E26" s="79"/>
      <c r="F26" s="49">
        <f t="shared" si="1"/>
        <v>4</v>
      </c>
      <c r="G26" s="49"/>
      <c r="H26" s="49">
        <f t="shared" si="2"/>
        <v>4</v>
      </c>
      <c r="I26" s="89"/>
      <c r="J26" s="89"/>
      <c r="K26" s="89">
        <f t="shared" si="0"/>
        <v>4</v>
      </c>
      <c r="L26" s="79"/>
      <c r="M26" s="79"/>
      <c r="N26" s="89">
        <f t="shared" si="3"/>
        <v>4</v>
      </c>
    </row>
    <row r="27" spans="1:14" ht="21.75" customHeight="1">
      <c r="A27" s="77">
        <v>24</v>
      </c>
      <c r="B27" s="77" t="s">
        <v>656</v>
      </c>
      <c r="C27" s="44" t="s">
        <v>741</v>
      </c>
      <c r="D27" s="40">
        <v>2</v>
      </c>
      <c r="E27" s="79"/>
      <c r="F27" s="49">
        <f t="shared" si="1"/>
        <v>2</v>
      </c>
      <c r="G27" s="49"/>
      <c r="H27" s="49">
        <f t="shared" si="2"/>
        <v>2</v>
      </c>
      <c r="I27" s="89"/>
      <c r="J27" s="89"/>
      <c r="K27" s="89">
        <f t="shared" si="0"/>
        <v>2</v>
      </c>
      <c r="L27" s="79"/>
      <c r="M27" s="79"/>
      <c r="N27" s="89">
        <f t="shared" si="3"/>
        <v>2</v>
      </c>
    </row>
    <row r="28" spans="1:14" ht="21.75" customHeight="1">
      <c r="A28" s="77">
        <v>25</v>
      </c>
      <c r="B28" s="77" t="s">
        <v>657</v>
      </c>
      <c r="C28" s="44" t="s">
        <v>631</v>
      </c>
      <c r="D28" s="40">
        <v>2</v>
      </c>
      <c r="E28" s="79"/>
      <c r="F28" s="49">
        <f t="shared" si="1"/>
        <v>2</v>
      </c>
      <c r="G28" s="49"/>
      <c r="H28" s="49">
        <f t="shared" si="2"/>
        <v>2</v>
      </c>
      <c r="I28" s="89"/>
      <c r="J28" s="89"/>
      <c r="K28" s="89">
        <f t="shared" si="0"/>
        <v>2</v>
      </c>
      <c r="L28" s="79"/>
      <c r="M28" s="79"/>
      <c r="N28" s="89">
        <f t="shared" si="3"/>
        <v>2</v>
      </c>
    </row>
    <row r="29" spans="1:14" ht="21.75" customHeight="1">
      <c r="A29" s="77">
        <v>26</v>
      </c>
      <c r="B29" s="77" t="s">
        <v>658</v>
      </c>
      <c r="C29" s="44" t="s">
        <v>660</v>
      </c>
      <c r="D29" s="40">
        <v>4</v>
      </c>
      <c r="E29" s="79"/>
      <c r="F29" s="49">
        <f t="shared" si="1"/>
        <v>4</v>
      </c>
      <c r="G29" s="49"/>
      <c r="H29" s="49">
        <f t="shared" si="2"/>
        <v>4</v>
      </c>
      <c r="I29" s="89"/>
      <c r="J29" s="89"/>
      <c r="K29" s="89">
        <f t="shared" si="0"/>
        <v>4</v>
      </c>
      <c r="L29" s="79"/>
      <c r="M29" s="79"/>
      <c r="N29" s="89">
        <f t="shared" si="3"/>
        <v>4</v>
      </c>
    </row>
    <row r="30" spans="1:14" ht="21.75" customHeight="1">
      <c r="A30" s="77">
        <v>27</v>
      </c>
      <c r="B30" s="77" t="s">
        <v>659</v>
      </c>
      <c r="C30" s="44" t="s">
        <v>661</v>
      </c>
      <c r="D30" s="40">
        <v>1</v>
      </c>
      <c r="E30" s="79"/>
      <c r="F30" s="49">
        <f t="shared" si="1"/>
        <v>1</v>
      </c>
      <c r="G30" s="49">
        <v>1</v>
      </c>
      <c r="H30" s="49">
        <f t="shared" si="2"/>
        <v>0</v>
      </c>
      <c r="I30" s="89">
        <v>6</v>
      </c>
      <c r="J30" s="89"/>
      <c r="K30" s="89">
        <f t="shared" si="0"/>
        <v>6</v>
      </c>
      <c r="L30" s="58"/>
      <c r="M30" s="79"/>
      <c r="N30" s="89">
        <f t="shared" si="3"/>
        <v>6</v>
      </c>
    </row>
  </sheetData>
  <mergeCells count="4">
    <mergeCell ref="A2:C2"/>
    <mergeCell ref="D2:H2"/>
    <mergeCell ref="I2:K2"/>
    <mergeCell ref="L2:N2"/>
  </mergeCells>
  <hyperlinks>
    <hyperlink ref="A3" r:id="rId1" display="http://s.no/"/>
  </hyperlinks>
  <pageMargins left="0.7" right="0.7" top="0.75" bottom="0.75" header="0.3" footer="0.3"/>
  <pageSetup paperSize="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H30"/>
  <sheetViews>
    <sheetView workbookViewId="0">
      <selection activeCell="E2" sqref="E2:H2"/>
    </sheetView>
  </sheetViews>
  <sheetFormatPr defaultRowHeight="12"/>
  <cols>
    <col min="1" max="1" width="4.85546875" style="111" bestFit="1" customWidth="1"/>
    <col min="2" max="2" width="10.5703125" style="111" bestFit="1" customWidth="1"/>
    <col min="3" max="3" width="34.28515625" style="111" bestFit="1" customWidth="1"/>
    <col min="4" max="4" width="8" style="121" hidden="1" customWidth="1"/>
    <col min="5" max="5" width="8.42578125" style="111" hidden="1" customWidth="1"/>
    <col min="6" max="6" width="6.85546875" style="111" hidden="1" customWidth="1"/>
    <col min="7" max="7" width="6" style="111" hidden="1" customWidth="1"/>
    <col min="8" max="8" width="9" style="111" bestFit="1" customWidth="1"/>
    <col min="9" max="16384" width="9.140625" style="111"/>
  </cols>
  <sheetData>
    <row r="1" spans="1:8">
      <c r="D1" s="111"/>
    </row>
    <row r="2" spans="1:8">
      <c r="A2" s="230" t="s">
        <v>665</v>
      </c>
      <c r="B2" s="230"/>
      <c r="C2" s="230"/>
      <c r="D2" s="230"/>
      <c r="E2" s="231"/>
      <c r="F2" s="230"/>
      <c r="G2" s="230"/>
      <c r="H2" s="230"/>
    </row>
    <row r="3" spans="1:8" ht="24">
      <c r="A3" s="112" t="s">
        <v>404</v>
      </c>
      <c r="B3" s="101" t="s">
        <v>232</v>
      </c>
      <c r="C3" s="122" t="s">
        <v>1</v>
      </c>
      <c r="D3" s="101" t="s">
        <v>233</v>
      </c>
      <c r="E3" s="100" t="s">
        <v>218</v>
      </c>
      <c r="F3" s="100" t="s">
        <v>769</v>
      </c>
      <c r="G3" s="100" t="s">
        <v>770</v>
      </c>
      <c r="H3" s="100" t="s">
        <v>219</v>
      </c>
    </row>
    <row r="4" spans="1:8" ht="21.75" customHeight="1">
      <c r="A4" s="118">
        <v>1</v>
      </c>
      <c r="B4" s="118" t="s">
        <v>683</v>
      </c>
      <c r="C4" s="119" t="s">
        <v>742</v>
      </c>
      <c r="D4" s="120">
        <v>3</v>
      </c>
      <c r="E4" s="105"/>
      <c r="F4" s="105">
        <f>SUM(D4:E4)</f>
        <v>3</v>
      </c>
      <c r="G4" s="105"/>
      <c r="H4" s="105">
        <f>SUM(F4-G4)</f>
        <v>3</v>
      </c>
    </row>
    <row r="5" spans="1:8" ht="21.75" customHeight="1">
      <c r="A5" s="118">
        <v>2</v>
      </c>
      <c r="B5" s="118" t="s">
        <v>684</v>
      </c>
      <c r="C5" s="119" t="s">
        <v>744</v>
      </c>
      <c r="D5" s="120">
        <v>0</v>
      </c>
      <c r="E5" s="105">
        <v>8</v>
      </c>
      <c r="F5" s="105">
        <f t="shared" ref="F5:F30" si="0">SUM(D5:E5)</f>
        <v>8</v>
      </c>
      <c r="G5" s="105"/>
      <c r="H5" s="105">
        <f t="shared" ref="H5:H30" si="1">SUM(F5-G5)</f>
        <v>8</v>
      </c>
    </row>
    <row r="6" spans="1:8" ht="21.75" customHeight="1">
      <c r="A6" s="118">
        <v>3</v>
      </c>
      <c r="B6" s="118" t="s">
        <v>685</v>
      </c>
      <c r="C6" s="119" t="s">
        <v>743</v>
      </c>
      <c r="D6" s="120">
        <v>3</v>
      </c>
      <c r="E6" s="105"/>
      <c r="F6" s="105">
        <f t="shared" si="0"/>
        <v>3</v>
      </c>
      <c r="G6" s="105"/>
      <c r="H6" s="105">
        <f t="shared" si="1"/>
        <v>3</v>
      </c>
    </row>
    <row r="7" spans="1:8" ht="21.75" customHeight="1">
      <c r="A7" s="118">
        <v>4</v>
      </c>
      <c r="B7" s="118" t="s">
        <v>686</v>
      </c>
      <c r="C7" s="119" t="s">
        <v>745</v>
      </c>
      <c r="D7" s="120">
        <v>12</v>
      </c>
      <c r="E7" s="105"/>
      <c r="F7" s="105">
        <f t="shared" si="0"/>
        <v>12</v>
      </c>
      <c r="G7" s="105"/>
      <c r="H7" s="105">
        <f t="shared" si="1"/>
        <v>12</v>
      </c>
    </row>
    <row r="8" spans="1:8" ht="21.75" customHeight="1">
      <c r="A8" s="118">
        <v>5</v>
      </c>
      <c r="B8" s="118" t="s">
        <v>687</v>
      </c>
      <c r="C8" s="119" t="s">
        <v>746</v>
      </c>
      <c r="D8" s="120">
        <v>6</v>
      </c>
      <c r="E8" s="105"/>
      <c r="F8" s="105">
        <f t="shared" si="0"/>
        <v>6</v>
      </c>
      <c r="G8" s="105">
        <v>3</v>
      </c>
      <c r="H8" s="105">
        <f t="shared" si="1"/>
        <v>3</v>
      </c>
    </row>
    <row r="9" spans="1:8" ht="21.75" customHeight="1">
      <c r="A9" s="118">
        <v>6</v>
      </c>
      <c r="B9" s="118" t="s">
        <v>688</v>
      </c>
      <c r="C9" s="119" t="s">
        <v>747</v>
      </c>
      <c r="D9" s="120">
        <v>3</v>
      </c>
      <c r="E9" s="105"/>
      <c r="F9" s="105">
        <f t="shared" si="0"/>
        <v>3</v>
      </c>
      <c r="G9" s="105"/>
      <c r="H9" s="105">
        <f t="shared" si="1"/>
        <v>3</v>
      </c>
    </row>
    <row r="10" spans="1:8" ht="21.75" customHeight="1">
      <c r="A10" s="118">
        <v>7</v>
      </c>
      <c r="B10" s="118" t="s">
        <v>689</v>
      </c>
      <c r="C10" s="119" t="s">
        <v>666</v>
      </c>
      <c r="D10" s="120">
        <v>10</v>
      </c>
      <c r="E10" s="105"/>
      <c r="F10" s="105">
        <f t="shared" si="0"/>
        <v>10</v>
      </c>
      <c r="G10" s="105"/>
      <c r="H10" s="105">
        <f t="shared" si="1"/>
        <v>10</v>
      </c>
    </row>
    <row r="11" spans="1:8" ht="21.75" customHeight="1">
      <c r="A11" s="118">
        <v>8</v>
      </c>
      <c r="B11" s="118" t="s">
        <v>690</v>
      </c>
      <c r="C11" s="119" t="s">
        <v>1091</v>
      </c>
      <c r="D11" s="120">
        <v>5</v>
      </c>
      <c r="E11" s="105">
        <v>8</v>
      </c>
      <c r="F11" s="105">
        <f t="shared" si="0"/>
        <v>13</v>
      </c>
      <c r="G11" s="105">
        <v>4</v>
      </c>
      <c r="H11" s="105">
        <f t="shared" si="1"/>
        <v>9</v>
      </c>
    </row>
    <row r="12" spans="1:8" ht="21.75" customHeight="1">
      <c r="A12" s="118">
        <v>9</v>
      </c>
      <c r="B12" s="118" t="s">
        <v>691</v>
      </c>
      <c r="C12" s="119" t="s">
        <v>667</v>
      </c>
      <c r="D12" s="120">
        <v>10</v>
      </c>
      <c r="E12" s="105"/>
      <c r="F12" s="105">
        <f t="shared" si="0"/>
        <v>10</v>
      </c>
      <c r="G12" s="105"/>
      <c r="H12" s="105">
        <f t="shared" si="1"/>
        <v>10</v>
      </c>
    </row>
    <row r="13" spans="1:8" ht="21.75" customHeight="1">
      <c r="A13" s="118">
        <v>10</v>
      </c>
      <c r="B13" s="118" t="s">
        <v>692</v>
      </c>
      <c r="C13" s="119" t="s">
        <v>668</v>
      </c>
      <c r="D13" s="120">
        <v>10</v>
      </c>
      <c r="E13" s="105"/>
      <c r="F13" s="105">
        <f t="shared" si="0"/>
        <v>10</v>
      </c>
      <c r="G13" s="105"/>
      <c r="H13" s="105">
        <f t="shared" si="1"/>
        <v>10</v>
      </c>
    </row>
    <row r="14" spans="1:8" ht="21.75" customHeight="1">
      <c r="A14" s="118">
        <v>11</v>
      </c>
      <c r="B14" s="118" t="s">
        <v>693</v>
      </c>
      <c r="C14" s="119" t="s">
        <v>669</v>
      </c>
      <c r="D14" s="120">
        <v>11</v>
      </c>
      <c r="E14" s="105"/>
      <c r="F14" s="105">
        <f t="shared" si="0"/>
        <v>11</v>
      </c>
      <c r="G14" s="105"/>
      <c r="H14" s="105">
        <f t="shared" si="1"/>
        <v>11</v>
      </c>
    </row>
    <row r="15" spans="1:8" ht="21.75" customHeight="1">
      <c r="A15" s="118">
        <v>12</v>
      </c>
      <c r="B15" s="118" t="s">
        <v>694</v>
      </c>
      <c r="C15" s="119" t="s">
        <v>670</v>
      </c>
      <c r="D15" s="120">
        <v>4</v>
      </c>
      <c r="E15" s="105"/>
      <c r="F15" s="105">
        <f t="shared" si="0"/>
        <v>4</v>
      </c>
      <c r="G15" s="105"/>
      <c r="H15" s="105">
        <f t="shared" si="1"/>
        <v>4</v>
      </c>
    </row>
    <row r="16" spans="1:8" ht="21.75" customHeight="1">
      <c r="A16" s="118">
        <v>13</v>
      </c>
      <c r="B16" s="118" t="s">
        <v>695</v>
      </c>
      <c r="C16" s="119" t="s">
        <v>671</v>
      </c>
      <c r="D16" s="120">
        <v>9</v>
      </c>
      <c r="E16" s="105"/>
      <c r="F16" s="105">
        <f t="shared" si="0"/>
        <v>9</v>
      </c>
      <c r="G16" s="105"/>
      <c r="H16" s="105">
        <f t="shared" si="1"/>
        <v>9</v>
      </c>
    </row>
    <row r="17" spans="1:8" ht="21.75" customHeight="1">
      <c r="A17" s="118">
        <v>14</v>
      </c>
      <c r="B17" s="118" t="s">
        <v>696</v>
      </c>
      <c r="C17" s="119" t="s">
        <v>672</v>
      </c>
      <c r="D17" s="120">
        <v>3</v>
      </c>
      <c r="E17" s="105"/>
      <c r="F17" s="105">
        <f t="shared" si="0"/>
        <v>3</v>
      </c>
      <c r="G17" s="105"/>
      <c r="H17" s="105">
        <f t="shared" si="1"/>
        <v>3</v>
      </c>
    </row>
    <row r="18" spans="1:8" ht="21.75" customHeight="1">
      <c r="A18" s="118">
        <v>15</v>
      </c>
      <c r="B18" s="118" t="s">
        <v>697</v>
      </c>
      <c r="C18" s="119" t="s">
        <v>673</v>
      </c>
      <c r="D18" s="120">
        <v>1</v>
      </c>
      <c r="E18" s="105"/>
      <c r="F18" s="105">
        <f t="shared" si="0"/>
        <v>1</v>
      </c>
      <c r="G18" s="105"/>
      <c r="H18" s="105">
        <f t="shared" si="1"/>
        <v>1</v>
      </c>
    </row>
    <row r="19" spans="1:8" ht="21.75" customHeight="1">
      <c r="A19" s="118">
        <v>16</v>
      </c>
      <c r="B19" s="118" t="s">
        <v>698</v>
      </c>
      <c r="C19" s="119" t="s">
        <v>674</v>
      </c>
      <c r="D19" s="120">
        <v>4</v>
      </c>
      <c r="E19" s="105">
        <v>3</v>
      </c>
      <c r="F19" s="105">
        <f t="shared" si="0"/>
        <v>7</v>
      </c>
      <c r="G19" s="105"/>
      <c r="H19" s="105">
        <f t="shared" si="1"/>
        <v>7</v>
      </c>
    </row>
    <row r="20" spans="1:8" ht="21.75" customHeight="1">
      <c r="A20" s="118">
        <v>17</v>
      </c>
      <c r="B20" s="118" t="s">
        <v>699</v>
      </c>
      <c r="C20" s="119" t="s">
        <v>675</v>
      </c>
      <c r="D20" s="120">
        <v>4</v>
      </c>
      <c r="E20" s="105"/>
      <c r="F20" s="105">
        <f t="shared" si="0"/>
        <v>4</v>
      </c>
      <c r="G20" s="105"/>
      <c r="H20" s="105">
        <f t="shared" si="1"/>
        <v>4</v>
      </c>
    </row>
    <row r="21" spans="1:8" ht="21.75" customHeight="1">
      <c r="A21" s="118">
        <v>18</v>
      </c>
      <c r="B21" s="118" t="s">
        <v>700</v>
      </c>
      <c r="C21" s="119" t="s">
        <v>676</v>
      </c>
      <c r="D21" s="120">
        <v>5</v>
      </c>
      <c r="E21" s="105"/>
      <c r="F21" s="105">
        <f t="shared" si="0"/>
        <v>5</v>
      </c>
      <c r="G21" s="105"/>
      <c r="H21" s="105">
        <f t="shared" si="1"/>
        <v>5</v>
      </c>
    </row>
    <row r="22" spans="1:8" ht="21.75" customHeight="1">
      <c r="A22" s="118">
        <v>19</v>
      </c>
      <c r="B22" s="118" t="s">
        <v>701</v>
      </c>
      <c r="C22" s="119" t="s">
        <v>677</v>
      </c>
      <c r="D22" s="120">
        <v>2</v>
      </c>
      <c r="E22" s="105"/>
      <c r="F22" s="105">
        <f t="shared" si="0"/>
        <v>2</v>
      </c>
      <c r="G22" s="105"/>
      <c r="H22" s="105">
        <f t="shared" si="1"/>
        <v>2</v>
      </c>
    </row>
    <row r="23" spans="1:8" ht="21.75" customHeight="1">
      <c r="A23" s="118">
        <v>20</v>
      </c>
      <c r="B23" s="118" t="s">
        <v>702</v>
      </c>
      <c r="C23" s="119" t="s">
        <v>678</v>
      </c>
      <c r="D23" s="120">
        <v>2</v>
      </c>
      <c r="E23" s="105"/>
      <c r="F23" s="105">
        <f t="shared" si="0"/>
        <v>2</v>
      </c>
      <c r="G23" s="105"/>
      <c r="H23" s="105">
        <f t="shared" si="1"/>
        <v>2</v>
      </c>
    </row>
    <row r="24" spans="1:8" ht="21.75" customHeight="1">
      <c r="A24" s="118">
        <v>21</v>
      </c>
      <c r="B24" s="118" t="s">
        <v>703</v>
      </c>
      <c r="C24" s="119" t="s">
        <v>679</v>
      </c>
      <c r="D24" s="120">
        <v>3</v>
      </c>
      <c r="E24" s="105"/>
      <c r="F24" s="105">
        <f t="shared" si="0"/>
        <v>3</v>
      </c>
      <c r="G24" s="105"/>
      <c r="H24" s="105">
        <f t="shared" si="1"/>
        <v>3</v>
      </c>
    </row>
    <row r="25" spans="1:8" ht="21.75" customHeight="1">
      <c r="A25" s="118">
        <v>22</v>
      </c>
      <c r="B25" s="118" t="s">
        <v>704</v>
      </c>
      <c r="C25" s="119" t="s">
        <v>680</v>
      </c>
      <c r="D25" s="120">
        <v>3</v>
      </c>
      <c r="E25" s="105"/>
      <c r="F25" s="105">
        <f t="shared" si="0"/>
        <v>3</v>
      </c>
      <c r="G25" s="105"/>
      <c r="H25" s="105">
        <f t="shared" si="1"/>
        <v>3</v>
      </c>
    </row>
    <row r="26" spans="1:8" ht="21.75" customHeight="1">
      <c r="A26" s="118">
        <v>23</v>
      </c>
      <c r="B26" s="118" t="s">
        <v>705</v>
      </c>
      <c r="C26" s="119" t="s">
        <v>710</v>
      </c>
      <c r="D26" s="120">
        <v>2</v>
      </c>
      <c r="E26" s="105">
        <v>5</v>
      </c>
      <c r="F26" s="105">
        <f t="shared" si="0"/>
        <v>7</v>
      </c>
      <c r="G26" s="105">
        <v>2</v>
      </c>
      <c r="H26" s="105">
        <f t="shared" si="1"/>
        <v>5</v>
      </c>
    </row>
    <row r="27" spans="1:8" ht="21.75" customHeight="1">
      <c r="A27" s="118">
        <v>24</v>
      </c>
      <c r="B27" s="118" t="s">
        <v>706</v>
      </c>
      <c r="C27" s="119" t="s">
        <v>681</v>
      </c>
      <c r="D27" s="120">
        <v>4</v>
      </c>
      <c r="E27" s="105"/>
      <c r="F27" s="105">
        <f t="shared" si="0"/>
        <v>4</v>
      </c>
      <c r="G27" s="105"/>
      <c r="H27" s="105">
        <f t="shared" si="1"/>
        <v>4</v>
      </c>
    </row>
    <row r="28" spans="1:8" ht="21.75" customHeight="1">
      <c r="A28" s="118">
        <v>25</v>
      </c>
      <c r="B28" s="118" t="s">
        <v>707</v>
      </c>
      <c r="C28" s="119" t="s">
        <v>709</v>
      </c>
      <c r="D28" s="120">
        <v>5</v>
      </c>
      <c r="E28" s="105"/>
      <c r="F28" s="105">
        <f t="shared" si="0"/>
        <v>5</v>
      </c>
      <c r="G28" s="105"/>
      <c r="H28" s="105">
        <f t="shared" si="1"/>
        <v>5</v>
      </c>
    </row>
    <row r="29" spans="1:8" ht="21.75" customHeight="1">
      <c r="A29" s="118">
        <v>26</v>
      </c>
      <c r="B29" s="118" t="s">
        <v>708</v>
      </c>
      <c r="C29" s="119" t="s">
        <v>682</v>
      </c>
      <c r="D29" s="120">
        <v>2</v>
      </c>
      <c r="E29" s="105"/>
      <c r="F29" s="105">
        <f t="shared" si="0"/>
        <v>2</v>
      </c>
      <c r="G29" s="105"/>
      <c r="H29" s="105">
        <f t="shared" si="1"/>
        <v>2</v>
      </c>
    </row>
    <row r="30" spans="1:8">
      <c r="A30" s="118">
        <v>27</v>
      </c>
      <c r="B30" s="118" t="s">
        <v>748</v>
      </c>
      <c r="C30" s="119" t="s">
        <v>749</v>
      </c>
      <c r="D30" s="120">
        <v>3</v>
      </c>
      <c r="E30" s="105"/>
      <c r="F30" s="105">
        <f t="shared" si="0"/>
        <v>3</v>
      </c>
      <c r="G30" s="105"/>
      <c r="H30" s="105">
        <f t="shared" si="1"/>
        <v>3</v>
      </c>
    </row>
  </sheetData>
  <mergeCells count="2">
    <mergeCell ref="A2:D2"/>
    <mergeCell ref="E2:H2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H61"/>
  <sheetViews>
    <sheetView workbookViewId="0">
      <selection activeCell="E13" sqref="E13:H13"/>
    </sheetView>
  </sheetViews>
  <sheetFormatPr defaultRowHeight="15.75"/>
  <cols>
    <col min="1" max="1" width="6.85546875" style="82" bestFit="1" customWidth="1"/>
    <col min="2" max="2" width="12.140625" style="86" customWidth="1"/>
    <col min="3" max="3" width="69.42578125" style="85" bestFit="1" customWidth="1"/>
    <col min="4" max="4" width="11.28515625" style="84" hidden="1" customWidth="1"/>
    <col min="5" max="5" width="11.28515625" hidden="1" customWidth="1"/>
    <col min="6" max="6" width="8.5703125" hidden="1" customWidth="1"/>
    <col min="7" max="7" width="7.42578125" style="150" hidden="1" customWidth="1"/>
    <col min="8" max="8" width="11.85546875" bestFit="1" customWidth="1"/>
  </cols>
  <sheetData>
    <row r="1" spans="1:8" ht="15">
      <c r="A1"/>
      <c r="B1"/>
      <c r="C1"/>
      <c r="D1" s="25"/>
    </row>
    <row r="2" spans="1:8">
      <c r="A2" s="232" t="s">
        <v>910</v>
      </c>
      <c r="B2" s="233"/>
      <c r="C2" s="233"/>
      <c r="D2" s="234"/>
      <c r="E2" s="236"/>
      <c r="F2" s="236"/>
      <c r="G2" s="236"/>
      <c r="H2" s="236"/>
    </row>
    <row r="3" spans="1:8" ht="31.5">
      <c r="A3" s="90" t="s">
        <v>0</v>
      </c>
      <c r="B3" s="91" t="s">
        <v>232</v>
      </c>
      <c r="C3" s="90" t="s">
        <v>1</v>
      </c>
      <c r="D3" s="91" t="s">
        <v>233</v>
      </c>
      <c r="E3" s="56" t="s">
        <v>218</v>
      </c>
      <c r="F3" s="56" t="s">
        <v>769</v>
      </c>
      <c r="G3" s="56" t="s">
        <v>770</v>
      </c>
      <c r="H3" s="56" t="s">
        <v>219</v>
      </c>
    </row>
    <row r="4" spans="1:8">
      <c r="A4" s="41">
        <v>1</v>
      </c>
      <c r="B4" s="41" t="s">
        <v>712</v>
      </c>
      <c r="C4" s="42" t="s">
        <v>913</v>
      </c>
      <c r="D4" s="41">
        <v>1</v>
      </c>
      <c r="E4" s="50"/>
      <c r="F4" s="49">
        <f>SUM(D4:E4)</f>
        <v>1</v>
      </c>
      <c r="G4" s="49"/>
      <c r="H4" s="49">
        <f>SUM(F4-G4)</f>
        <v>1</v>
      </c>
    </row>
    <row r="5" spans="1:8">
      <c r="A5" s="41">
        <v>1</v>
      </c>
      <c r="B5" s="41" t="s">
        <v>713</v>
      </c>
      <c r="C5" s="42" t="s">
        <v>914</v>
      </c>
      <c r="D5" s="41">
        <v>9</v>
      </c>
      <c r="E5" s="50"/>
      <c r="F5" s="49">
        <f t="shared" ref="F5:F11" si="0">SUM(D5:E5)</f>
        <v>9</v>
      </c>
      <c r="G5" s="49"/>
      <c r="H5" s="49">
        <f t="shared" ref="H5:H11" si="1">SUM(F5-G5)</f>
        <v>9</v>
      </c>
    </row>
    <row r="6" spans="1:8">
      <c r="A6" s="41">
        <v>2</v>
      </c>
      <c r="B6" s="41" t="s">
        <v>714</v>
      </c>
      <c r="C6" s="42" t="s">
        <v>915</v>
      </c>
      <c r="D6" s="41">
        <v>8</v>
      </c>
      <c r="E6" s="50"/>
      <c r="F6" s="49">
        <f t="shared" si="0"/>
        <v>8</v>
      </c>
      <c r="G6" s="49">
        <v>1</v>
      </c>
      <c r="H6" s="49">
        <f t="shared" si="1"/>
        <v>7</v>
      </c>
    </row>
    <row r="7" spans="1:8">
      <c r="A7" s="41">
        <v>3</v>
      </c>
      <c r="B7" s="41" t="s">
        <v>715</v>
      </c>
      <c r="C7" s="42" t="s">
        <v>916</v>
      </c>
      <c r="D7" s="41">
        <v>3</v>
      </c>
      <c r="E7" s="50"/>
      <c r="F7" s="49">
        <f t="shared" si="0"/>
        <v>3</v>
      </c>
      <c r="G7" s="49"/>
      <c r="H7" s="49">
        <f t="shared" si="1"/>
        <v>3</v>
      </c>
    </row>
    <row r="8" spans="1:8">
      <c r="A8" s="41">
        <v>4</v>
      </c>
      <c r="B8" s="41" t="s">
        <v>716</v>
      </c>
      <c r="C8" s="42" t="s">
        <v>917</v>
      </c>
      <c r="D8" s="41">
        <v>4</v>
      </c>
      <c r="E8" s="50"/>
      <c r="F8" s="49">
        <f t="shared" si="0"/>
        <v>4</v>
      </c>
      <c r="G8" s="49"/>
      <c r="H8" s="49">
        <f t="shared" si="1"/>
        <v>4</v>
      </c>
    </row>
    <row r="9" spans="1:8">
      <c r="A9" s="41">
        <v>5</v>
      </c>
      <c r="B9" s="41" t="s">
        <v>717</v>
      </c>
      <c r="C9" s="42" t="s">
        <v>918</v>
      </c>
      <c r="D9" s="41">
        <v>10</v>
      </c>
      <c r="E9" s="50"/>
      <c r="F9" s="49">
        <f t="shared" si="0"/>
        <v>10</v>
      </c>
      <c r="G9" s="49"/>
      <c r="H9" s="49">
        <f t="shared" si="1"/>
        <v>10</v>
      </c>
    </row>
    <row r="10" spans="1:8">
      <c r="A10" s="41">
        <v>6</v>
      </c>
      <c r="B10" s="41" t="s">
        <v>718</v>
      </c>
      <c r="C10" s="42" t="s">
        <v>919</v>
      </c>
      <c r="D10" s="41">
        <v>4</v>
      </c>
      <c r="E10" s="50"/>
      <c r="F10" s="49">
        <f t="shared" si="0"/>
        <v>4</v>
      </c>
      <c r="G10" s="49"/>
      <c r="H10" s="49">
        <f t="shared" si="1"/>
        <v>4</v>
      </c>
    </row>
    <row r="11" spans="1:8">
      <c r="A11" s="41">
        <v>7</v>
      </c>
      <c r="B11" s="41" t="s">
        <v>719</v>
      </c>
      <c r="C11" s="42" t="s">
        <v>711</v>
      </c>
      <c r="D11" s="41">
        <v>0</v>
      </c>
      <c r="E11" s="50"/>
      <c r="F11" s="49">
        <f t="shared" si="0"/>
        <v>0</v>
      </c>
      <c r="G11" s="49"/>
      <c r="H11" s="49">
        <f t="shared" si="1"/>
        <v>0</v>
      </c>
    </row>
    <row r="12" spans="1:8" ht="15">
      <c r="A12"/>
      <c r="B12"/>
      <c r="C12"/>
      <c r="D12" s="25"/>
    </row>
    <row r="13" spans="1:8">
      <c r="A13" s="235" t="s">
        <v>840</v>
      </c>
      <c r="B13" s="235"/>
      <c r="C13" s="235"/>
      <c r="D13" s="235"/>
      <c r="E13" s="237"/>
      <c r="F13" s="237"/>
      <c r="G13" s="237"/>
      <c r="H13" s="237"/>
    </row>
    <row r="14" spans="1:8" ht="31.5">
      <c r="A14" s="197" t="s">
        <v>0</v>
      </c>
      <c r="B14" s="198" t="s">
        <v>232</v>
      </c>
      <c r="C14" s="197" t="s">
        <v>1</v>
      </c>
      <c r="D14" s="198" t="s">
        <v>233</v>
      </c>
      <c r="E14" s="56" t="s">
        <v>218</v>
      </c>
      <c r="F14" s="56" t="s">
        <v>769</v>
      </c>
      <c r="G14" s="56" t="s">
        <v>770</v>
      </c>
      <c r="H14" s="56" t="s">
        <v>219</v>
      </c>
    </row>
    <row r="15" spans="1:8">
      <c r="A15" s="57">
        <v>1</v>
      </c>
      <c r="B15" s="47" t="s">
        <v>901</v>
      </c>
      <c r="C15" s="50" t="s">
        <v>900</v>
      </c>
      <c r="D15" s="57">
        <v>21</v>
      </c>
      <c r="E15" s="23"/>
      <c r="F15" s="49">
        <f>SUM(D15:E15)</f>
        <v>21</v>
      </c>
      <c r="G15" s="47"/>
      <c r="H15" s="49">
        <f>SUM(F15-G15)</f>
        <v>21</v>
      </c>
    </row>
    <row r="16" spans="1:8">
      <c r="A16" s="57">
        <v>2</v>
      </c>
      <c r="B16" s="47" t="s">
        <v>866</v>
      </c>
      <c r="C16" s="50" t="s">
        <v>1059</v>
      </c>
      <c r="D16" s="57">
        <v>6</v>
      </c>
      <c r="E16" s="23"/>
      <c r="F16" s="49">
        <f t="shared" ref="F16:F49" si="2">SUM(D16:E16)</f>
        <v>6</v>
      </c>
      <c r="G16" s="47"/>
      <c r="H16" s="49">
        <f t="shared" ref="H16:H49" si="3">SUM(F16-G16)</f>
        <v>6</v>
      </c>
    </row>
    <row r="17" spans="1:8">
      <c r="A17" s="57">
        <v>3</v>
      </c>
      <c r="B17" s="47" t="s">
        <v>894</v>
      </c>
      <c r="C17" s="50" t="s">
        <v>867</v>
      </c>
      <c r="D17" s="57">
        <v>24</v>
      </c>
      <c r="E17" s="23"/>
      <c r="F17" s="49">
        <f t="shared" si="2"/>
        <v>24</v>
      </c>
      <c r="G17" s="47"/>
      <c r="H17" s="49">
        <f t="shared" si="3"/>
        <v>24</v>
      </c>
    </row>
    <row r="18" spans="1:8">
      <c r="A18" s="57">
        <v>4</v>
      </c>
      <c r="B18" s="47" t="s">
        <v>855</v>
      </c>
      <c r="C18" s="50" t="s">
        <v>856</v>
      </c>
      <c r="D18" s="57">
        <v>41</v>
      </c>
      <c r="E18" s="23"/>
      <c r="F18" s="49">
        <f t="shared" si="2"/>
        <v>41</v>
      </c>
      <c r="G18" s="47"/>
      <c r="H18" s="49">
        <f t="shared" si="3"/>
        <v>41</v>
      </c>
    </row>
    <row r="19" spans="1:8">
      <c r="A19" s="57">
        <v>5</v>
      </c>
      <c r="B19" s="47" t="s">
        <v>884</v>
      </c>
      <c r="C19" s="50" t="s">
        <v>885</v>
      </c>
      <c r="D19" s="57">
        <v>23</v>
      </c>
      <c r="E19" s="23"/>
      <c r="F19" s="49">
        <f t="shared" si="2"/>
        <v>23</v>
      </c>
      <c r="G19" s="47">
        <v>2</v>
      </c>
      <c r="H19" s="49">
        <f t="shared" si="3"/>
        <v>21</v>
      </c>
    </row>
    <row r="20" spans="1:8">
      <c r="A20" s="57">
        <v>6</v>
      </c>
      <c r="B20" s="47" t="s">
        <v>905</v>
      </c>
      <c r="C20" s="50" t="s">
        <v>906</v>
      </c>
      <c r="D20" s="57">
        <v>9</v>
      </c>
      <c r="E20" s="23"/>
      <c r="F20" s="49">
        <f t="shared" si="2"/>
        <v>9</v>
      </c>
      <c r="G20" s="47"/>
      <c r="H20" s="49">
        <f t="shared" si="3"/>
        <v>9</v>
      </c>
    </row>
    <row r="21" spans="1:8">
      <c r="A21" s="57">
        <v>7</v>
      </c>
      <c r="B21" s="47" t="s">
        <v>848</v>
      </c>
      <c r="C21" s="50" t="s">
        <v>849</v>
      </c>
      <c r="D21" s="57">
        <v>60</v>
      </c>
      <c r="E21" s="23"/>
      <c r="F21" s="49">
        <f t="shared" si="2"/>
        <v>60</v>
      </c>
      <c r="G21" s="47"/>
      <c r="H21" s="49">
        <f t="shared" si="3"/>
        <v>60</v>
      </c>
    </row>
    <row r="22" spans="1:8">
      <c r="A22" s="57">
        <v>8</v>
      </c>
      <c r="B22" s="47" t="s">
        <v>847</v>
      </c>
      <c r="C22" s="88" t="s">
        <v>843</v>
      </c>
      <c r="D22" s="57">
        <v>24</v>
      </c>
      <c r="E22" s="23"/>
      <c r="F22" s="49">
        <f t="shared" si="2"/>
        <v>24</v>
      </c>
      <c r="G22" s="47"/>
      <c r="H22" s="49">
        <f t="shared" si="3"/>
        <v>24</v>
      </c>
    </row>
    <row r="23" spans="1:8">
      <c r="A23" s="57">
        <v>9</v>
      </c>
      <c r="B23" s="47" t="s">
        <v>851</v>
      </c>
      <c r="C23" s="50" t="s">
        <v>852</v>
      </c>
      <c r="D23" s="57">
        <v>43</v>
      </c>
      <c r="E23" s="23"/>
      <c r="F23" s="49">
        <f t="shared" si="2"/>
        <v>43</v>
      </c>
      <c r="G23" s="47"/>
      <c r="H23" s="49">
        <f t="shared" si="3"/>
        <v>43</v>
      </c>
    </row>
    <row r="24" spans="1:8">
      <c r="A24" s="57">
        <v>10</v>
      </c>
      <c r="B24" s="47" t="s">
        <v>898</v>
      </c>
      <c r="C24" s="50" t="s">
        <v>902</v>
      </c>
      <c r="D24" s="57">
        <v>29</v>
      </c>
      <c r="E24" s="23"/>
      <c r="F24" s="49">
        <f t="shared" si="2"/>
        <v>29</v>
      </c>
      <c r="G24" s="47"/>
      <c r="H24" s="49">
        <f t="shared" si="3"/>
        <v>29</v>
      </c>
    </row>
    <row r="25" spans="1:8">
      <c r="A25" s="57">
        <v>11</v>
      </c>
      <c r="B25" s="47" t="s">
        <v>907</v>
      </c>
      <c r="C25" s="50" t="s">
        <v>908</v>
      </c>
      <c r="D25" s="57">
        <v>8</v>
      </c>
      <c r="E25" s="23"/>
      <c r="F25" s="49">
        <f t="shared" si="2"/>
        <v>8</v>
      </c>
      <c r="G25" s="47"/>
      <c r="H25" s="49">
        <f t="shared" si="3"/>
        <v>8</v>
      </c>
    </row>
    <row r="26" spans="1:8">
      <c r="A26" s="57">
        <v>12</v>
      </c>
      <c r="B26" s="47" t="s">
        <v>883</v>
      </c>
      <c r="C26" s="50" t="s">
        <v>882</v>
      </c>
      <c r="D26" s="57">
        <v>20</v>
      </c>
      <c r="E26" s="23"/>
      <c r="F26" s="49">
        <f t="shared" si="2"/>
        <v>20</v>
      </c>
      <c r="G26" s="47"/>
      <c r="H26" s="49">
        <f t="shared" si="3"/>
        <v>20</v>
      </c>
    </row>
    <row r="27" spans="1:8">
      <c r="A27" s="57">
        <v>13</v>
      </c>
      <c r="B27" s="47" t="s">
        <v>853</v>
      </c>
      <c r="C27" s="50" t="s">
        <v>854</v>
      </c>
      <c r="D27" s="57">
        <v>9</v>
      </c>
      <c r="E27" s="23"/>
      <c r="F27" s="49">
        <f t="shared" si="2"/>
        <v>9</v>
      </c>
      <c r="G27" s="47"/>
      <c r="H27" s="49">
        <f t="shared" si="3"/>
        <v>9</v>
      </c>
    </row>
    <row r="28" spans="1:8">
      <c r="A28" s="57">
        <v>14</v>
      </c>
      <c r="B28" s="47" t="s">
        <v>903</v>
      </c>
      <c r="C28" s="50" t="s">
        <v>904</v>
      </c>
      <c r="D28" s="57">
        <v>13</v>
      </c>
      <c r="E28" s="23"/>
      <c r="F28" s="49">
        <f t="shared" si="2"/>
        <v>13</v>
      </c>
      <c r="G28" s="47"/>
      <c r="H28" s="49">
        <f t="shared" si="3"/>
        <v>13</v>
      </c>
    </row>
    <row r="29" spans="1:8">
      <c r="A29" s="57">
        <v>15</v>
      </c>
      <c r="B29" s="47" t="s">
        <v>846</v>
      </c>
      <c r="C29" s="50" t="s">
        <v>863</v>
      </c>
      <c r="D29" s="57">
        <v>30</v>
      </c>
      <c r="E29" s="23"/>
      <c r="F29" s="49">
        <f t="shared" si="2"/>
        <v>30</v>
      </c>
      <c r="G29" s="47"/>
      <c r="H29" s="49">
        <f t="shared" si="3"/>
        <v>30</v>
      </c>
    </row>
    <row r="30" spans="1:8">
      <c r="A30" s="57">
        <v>16</v>
      </c>
      <c r="B30" s="47" t="s">
        <v>857</v>
      </c>
      <c r="C30" s="50" t="s">
        <v>858</v>
      </c>
      <c r="D30" s="57">
        <v>60</v>
      </c>
      <c r="E30" s="23"/>
      <c r="F30" s="49">
        <f t="shared" si="2"/>
        <v>60</v>
      </c>
      <c r="G30" s="47"/>
      <c r="H30" s="49">
        <f t="shared" si="3"/>
        <v>60</v>
      </c>
    </row>
    <row r="31" spans="1:8">
      <c r="A31" s="57">
        <v>17</v>
      </c>
      <c r="B31" s="47" t="s">
        <v>888</v>
      </c>
      <c r="C31" s="50" t="s">
        <v>889</v>
      </c>
      <c r="D31" s="57">
        <v>43</v>
      </c>
      <c r="E31" s="23"/>
      <c r="F31" s="49">
        <f t="shared" si="2"/>
        <v>43</v>
      </c>
      <c r="G31" s="47"/>
      <c r="H31" s="49">
        <f t="shared" si="3"/>
        <v>43</v>
      </c>
    </row>
    <row r="32" spans="1:8">
      <c r="A32" s="57">
        <v>18</v>
      </c>
      <c r="B32" s="47" t="s">
        <v>860</v>
      </c>
      <c r="C32" s="50" t="s">
        <v>859</v>
      </c>
      <c r="D32" s="57">
        <v>11</v>
      </c>
      <c r="E32" s="23"/>
      <c r="F32" s="49">
        <f t="shared" si="2"/>
        <v>11</v>
      </c>
      <c r="G32" s="47"/>
      <c r="H32" s="49">
        <f t="shared" si="3"/>
        <v>11</v>
      </c>
    </row>
    <row r="33" spans="1:8">
      <c r="A33" s="57">
        <v>19</v>
      </c>
      <c r="B33" s="47" t="s">
        <v>876</v>
      </c>
      <c r="C33" s="50" t="s">
        <v>877</v>
      </c>
      <c r="D33" s="57">
        <v>12</v>
      </c>
      <c r="E33" s="23"/>
      <c r="F33" s="49">
        <f t="shared" si="2"/>
        <v>12</v>
      </c>
      <c r="G33" s="47">
        <v>1</v>
      </c>
      <c r="H33" s="49">
        <f t="shared" si="3"/>
        <v>11</v>
      </c>
    </row>
    <row r="34" spans="1:8">
      <c r="A34" s="57">
        <v>20</v>
      </c>
      <c r="B34" s="47" t="s">
        <v>899</v>
      </c>
      <c r="C34" s="50" t="s">
        <v>897</v>
      </c>
      <c r="D34" s="57">
        <v>34</v>
      </c>
      <c r="E34" s="23"/>
      <c r="F34" s="49">
        <f t="shared" si="2"/>
        <v>34</v>
      </c>
      <c r="G34" s="47"/>
      <c r="H34" s="49">
        <f t="shared" si="3"/>
        <v>34</v>
      </c>
    </row>
    <row r="35" spans="1:8">
      <c r="A35" s="57">
        <v>21</v>
      </c>
      <c r="B35" s="47" t="s">
        <v>864</v>
      </c>
      <c r="C35" s="50" t="s">
        <v>865</v>
      </c>
      <c r="D35" s="57">
        <v>71</v>
      </c>
      <c r="E35" s="23"/>
      <c r="F35" s="49">
        <f t="shared" si="2"/>
        <v>71</v>
      </c>
      <c r="G35" s="47"/>
      <c r="H35" s="49">
        <f t="shared" si="3"/>
        <v>71</v>
      </c>
    </row>
    <row r="36" spans="1:8">
      <c r="A36" s="57">
        <v>22</v>
      </c>
      <c r="B36" s="47" t="s">
        <v>886</v>
      </c>
      <c r="C36" s="50" t="s">
        <v>887</v>
      </c>
      <c r="D36" s="57">
        <v>39</v>
      </c>
      <c r="E36" s="23"/>
      <c r="F36" s="49">
        <f t="shared" si="2"/>
        <v>39</v>
      </c>
      <c r="G36" s="47"/>
      <c r="H36" s="49">
        <f t="shared" si="3"/>
        <v>39</v>
      </c>
    </row>
    <row r="37" spans="1:8">
      <c r="A37" s="57">
        <v>23</v>
      </c>
      <c r="B37" s="47" t="s">
        <v>850</v>
      </c>
      <c r="C37" s="50" t="s">
        <v>909</v>
      </c>
      <c r="D37" s="57">
        <v>21</v>
      </c>
      <c r="E37" s="23"/>
      <c r="F37" s="49">
        <f t="shared" si="2"/>
        <v>21</v>
      </c>
      <c r="G37" s="47"/>
      <c r="H37" s="49">
        <f t="shared" si="3"/>
        <v>21</v>
      </c>
    </row>
    <row r="38" spans="1:8">
      <c r="A38" s="57">
        <v>24</v>
      </c>
      <c r="B38" s="47" t="s">
        <v>868</v>
      </c>
      <c r="C38" s="50" t="s">
        <v>869</v>
      </c>
      <c r="D38" s="57">
        <v>50</v>
      </c>
      <c r="E38" s="23"/>
      <c r="F38" s="49">
        <f t="shared" si="2"/>
        <v>50</v>
      </c>
      <c r="G38" s="47"/>
      <c r="H38" s="49">
        <f t="shared" si="3"/>
        <v>50</v>
      </c>
    </row>
    <row r="39" spans="1:8">
      <c r="A39" s="57">
        <v>25</v>
      </c>
      <c r="B39" s="47" t="s">
        <v>892</v>
      </c>
      <c r="C39" s="50" t="s">
        <v>893</v>
      </c>
      <c r="D39" s="57">
        <v>30</v>
      </c>
      <c r="E39" s="23"/>
      <c r="F39" s="49">
        <f t="shared" si="2"/>
        <v>30</v>
      </c>
      <c r="G39" s="47"/>
      <c r="H39" s="49">
        <f t="shared" si="3"/>
        <v>30</v>
      </c>
    </row>
    <row r="40" spans="1:8">
      <c r="A40" s="57">
        <v>26</v>
      </c>
      <c r="B40" s="47" t="s">
        <v>880</v>
      </c>
      <c r="C40" s="50" t="s">
        <v>881</v>
      </c>
      <c r="D40" s="57">
        <v>29</v>
      </c>
      <c r="E40" s="23"/>
      <c r="F40" s="49">
        <f t="shared" si="2"/>
        <v>29</v>
      </c>
      <c r="G40" s="49">
        <v>2</v>
      </c>
      <c r="H40" s="49">
        <f t="shared" si="3"/>
        <v>27</v>
      </c>
    </row>
    <row r="41" spans="1:8">
      <c r="A41" s="57">
        <v>27</v>
      </c>
      <c r="B41" s="47" t="s">
        <v>870</v>
      </c>
      <c r="C41" s="50" t="s">
        <v>871</v>
      </c>
      <c r="D41" s="57">
        <v>211</v>
      </c>
      <c r="E41" s="23"/>
      <c r="F41" s="49">
        <f t="shared" si="2"/>
        <v>211</v>
      </c>
      <c r="G41" s="47">
        <v>1</v>
      </c>
      <c r="H41" s="49">
        <f t="shared" si="3"/>
        <v>210</v>
      </c>
    </row>
    <row r="42" spans="1:8">
      <c r="A42" s="57">
        <v>28</v>
      </c>
      <c r="B42" s="47" t="s">
        <v>878</v>
      </c>
      <c r="C42" s="50" t="s">
        <v>879</v>
      </c>
      <c r="D42" s="57">
        <v>66</v>
      </c>
      <c r="E42" s="23"/>
      <c r="F42" s="49">
        <f t="shared" si="2"/>
        <v>66</v>
      </c>
      <c r="G42" s="47"/>
      <c r="H42" s="49">
        <f t="shared" si="3"/>
        <v>66</v>
      </c>
    </row>
    <row r="43" spans="1:8">
      <c r="A43" s="57">
        <v>29</v>
      </c>
      <c r="B43" s="47" t="s">
        <v>895</v>
      </c>
      <c r="C43" s="50" t="s">
        <v>896</v>
      </c>
      <c r="D43" s="57">
        <v>80</v>
      </c>
      <c r="E43" s="23"/>
      <c r="F43" s="49">
        <f t="shared" si="2"/>
        <v>80</v>
      </c>
      <c r="G43" s="47"/>
      <c r="H43" s="49">
        <f t="shared" si="3"/>
        <v>80</v>
      </c>
    </row>
    <row r="44" spans="1:8">
      <c r="A44" s="57">
        <v>30</v>
      </c>
      <c r="B44" s="47" t="s">
        <v>890</v>
      </c>
      <c r="C44" s="50" t="s">
        <v>891</v>
      </c>
      <c r="D44" s="57">
        <v>46</v>
      </c>
      <c r="E44" s="23"/>
      <c r="F44" s="49">
        <f t="shared" si="2"/>
        <v>46</v>
      </c>
      <c r="G44" s="47"/>
      <c r="H44" s="49">
        <f t="shared" si="3"/>
        <v>46</v>
      </c>
    </row>
    <row r="45" spans="1:8">
      <c r="A45" s="57">
        <v>31</v>
      </c>
      <c r="B45" s="47" t="s">
        <v>872</v>
      </c>
      <c r="C45" s="50" t="s">
        <v>873</v>
      </c>
      <c r="D45" s="57">
        <v>47</v>
      </c>
      <c r="E45" s="23"/>
      <c r="F45" s="49">
        <f t="shared" si="2"/>
        <v>47</v>
      </c>
      <c r="G45" s="47"/>
      <c r="H45" s="49">
        <f t="shared" si="3"/>
        <v>47</v>
      </c>
    </row>
    <row r="46" spans="1:8">
      <c r="A46" s="57">
        <v>32</v>
      </c>
      <c r="B46" s="47" t="s">
        <v>861</v>
      </c>
      <c r="C46" s="50" t="s">
        <v>862</v>
      </c>
      <c r="D46" s="57">
        <v>67</v>
      </c>
      <c r="E46" s="23"/>
      <c r="F46" s="49">
        <f t="shared" si="2"/>
        <v>67</v>
      </c>
      <c r="G46" s="47">
        <v>1</v>
      </c>
      <c r="H46" s="49">
        <f t="shared" si="3"/>
        <v>66</v>
      </c>
    </row>
    <row r="47" spans="1:8">
      <c r="A47" s="57">
        <v>33</v>
      </c>
      <c r="B47" s="47" t="s">
        <v>874</v>
      </c>
      <c r="C47" s="50" t="s">
        <v>875</v>
      </c>
      <c r="D47" s="57">
        <v>33</v>
      </c>
      <c r="E47" s="23"/>
      <c r="F47" s="49">
        <f t="shared" si="2"/>
        <v>33</v>
      </c>
      <c r="G47" s="47">
        <v>1</v>
      </c>
      <c r="H47" s="49">
        <f t="shared" si="3"/>
        <v>32</v>
      </c>
    </row>
    <row r="48" spans="1:8">
      <c r="A48" s="57">
        <v>34</v>
      </c>
      <c r="B48" s="47" t="s">
        <v>845</v>
      </c>
      <c r="C48" s="50" t="s">
        <v>842</v>
      </c>
      <c r="D48" s="57">
        <v>170</v>
      </c>
      <c r="E48" s="23"/>
      <c r="F48" s="49">
        <f t="shared" si="2"/>
        <v>170</v>
      </c>
      <c r="G48" s="47">
        <v>1</v>
      </c>
      <c r="H48" s="49">
        <f t="shared" si="3"/>
        <v>169</v>
      </c>
    </row>
    <row r="49" spans="1:8" ht="16.5" thickBot="1">
      <c r="A49" s="57">
        <v>35</v>
      </c>
      <c r="B49" s="47" t="s">
        <v>844</v>
      </c>
      <c r="C49" s="50" t="s">
        <v>841</v>
      </c>
      <c r="D49" s="87">
        <v>20</v>
      </c>
      <c r="E49" s="23"/>
      <c r="F49" s="49">
        <f t="shared" si="2"/>
        <v>20</v>
      </c>
      <c r="G49" s="47">
        <v>2</v>
      </c>
      <c r="H49" s="49">
        <f t="shared" si="3"/>
        <v>18</v>
      </c>
    </row>
    <row r="50" spans="1:8">
      <c r="A50" s="238" t="s">
        <v>1140</v>
      </c>
      <c r="B50" s="239"/>
      <c r="C50" s="239"/>
      <c r="D50" s="239"/>
    </row>
    <row r="51" spans="1:8">
      <c r="A51" s="57">
        <v>1</v>
      </c>
      <c r="B51" s="47" t="s">
        <v>1141</v>
      </c>
      <c r="C51" s="125" t="s">
        <v>1161</v>
      </c>
      <c r="D51" s="126"/>
      <c r="E51" s="126"/>
      <c r="F51" s="23"/>
      <c r="G51" s="151"/>
      <c r="H51" s="23"/>
    </row>
    <row r="52" spans="1:8">
      <c r="A52" s="57">
        <v>2</v>
      </c>
      <c r="B52" s="47" t="s">
        <v>1142</v>
      </c>
      <c r="C52" s="125" t="s">
        <v>1152</v>
      </c>
      <c r="D52" s="126"/>
      <c r="E52" s="126"/>
      <c r="F52" s="23"/>
      <c r="G52" s="151"/>
      <c r="H52" s="23"/>
    </row>
    <row r="53" spans="1:8">
      <c r="A53" s="57">
        <v>3</v>
      </c>
      <c r="B53" s="47" t="s">
        <v>1143</v>
      </c>
      <c r="C53" s="125" t="s">
        <v>1153</v>
      </c>
      <c r="D53" s="126"/>
      <c r="E53" s="126"/>
      <c r="F53" s="23"/>
      <c r="G53" s="151"/>
      <c r="H53" s="23"/>
    </row>
    <row r="54" spans="1:8">
      <c r="A54" s="57">
        <v>4</v>
      </c>
      <c r="B54" s="47" t="s">
        <v>1144</v>
      </c>
      <c r="C54" s="125" t="s">
        <v>1154</v>
      </c>
      <c r="D54" s="126"/>
      <c r="E54" s="126"/>
      <c r="F54" s="23"/>
      <c r="G54" s="151"/>
      <c r="H54" s="23"/>
    </row>
    <row r="55" spans="1:8">
      <c r="A55" s="57">
        <v>5</v>
      </c>
      <c r="B55" s="47" t="s">
        <v>1145</v>
      </c>
      <c r="C55" s="125" t="s">
        <v>1155</v>
      </c>
      <c r="D55" s="126"/>
      <c r="E55" s="126"/>
      <c r="F55" s="23"/>
      <c r="G55" s="151"/>
      <c r="H55" s="23"/>
    </row>
    <row r="56" spans="1:8">
      <c r="A56" s="57">
        <v>6</v>
      </c>
      <c r="B56" s="47" t="s">
        <v>1146</v>
      </c>
      <c r="C56" s="125" t="s">
        <v>1156</v>
      </c>
      <c r="D56" s="126"/>
      <c r="E56" s="126"/>
      <c r="F56" s="23"/>
      <c r="G56" s="151"/>
      <c r="H56" s="23"/>
    </row>
    <row r="57" spans="1:8">
      <c r="A57" s="57">
        <v>7</v>
      </c>
      <c r="B57" s="47" t="s">
        <v>1147</v>
      </c>
      <c r="C57" s="125" t="s">
        <v>1157</v>
      </c>
      <c r="D57" s="126">
        <v>200</v>
      </c>
      <c r="E57" s="126"/>
      <c r="F57" s="23"/>
      <c r="G57" s="151"/>
      <c r="H57" s="23"/>
    </row>
    <row r="58" spans="1:8">
      <c r="A58" s="57">
        <v>8</v>
      </c>
      <c r="B58" s="47" t="s">
        <v>1148</v>
      </c>
      <c r="C58" s="125" t="s">
        <v>1197</v>
      </c>
      <c r="D58" s="126">
        <v>100</v>
      </c>
      <c r="E58" s="126"/>
      <c r="F58" s="23"/>
      <c r="G58" s="151"/>
      <c r="H58" s="23"/>
    </row>
    <row r="59" spans="1:8">
      <c r="A59" s="57">
        <v>9</v>
      </c>
      <c r="B59" s="47" t="s">
        <v>1149</v>
      </c>
      <c r="C59" s="125" t="s">
        <v>1158</v>
      </c>
      <c r="D59" s="126"/>
      <c r="E59" s="126"/>
      <c r="F59" s="23"/>
      <c r="G59" s="151"/>
      <c r="H59" s="23"/>
    </row>
    <row r="60" spans="1:8">
      <c r="A60" s="57">
        <v>10</v>
      </c>
      <c r="B60" s="47" t="s">
        <v>1150</v>
      </c>
      <c r="C60" s="125" t="s">
        <v>1159</v>
      </c>
      <c r="D60" s="126"/>
      <c r="E60" s="126"/>
      <c r="F60" s="23"/>
      <c r="G60" s="151"/>
      <c r="H60" s="23"/>
    </row>
    <row r="61" spans="1:8">
      <c r="A61" s="57">
        <v>11</v>
      </c>
      <c r="B61" s="47" t="s">
        <v>1151</v>
      </c>
      <c r="C61" s="125" t="s">
        <v>1160</v>
      </c>
      <c r="D61" s="126"/>
      <c r="E61" s="126"/>
      <c r="F61" s="23"/>
      <c r="G61" s="151"/>
      <c r="H61" s="23"/>
    </row>
  </sheetData>
  <autoFilter ref="A14:D14"/>
  <sortState ref="A15:I49">
    <sortCondition ref="C15"/>
  </sortState>
  <mergeCells count="5">
    <mergeCell ref="A2:D2"/>
    <mergeCell ref="A13:D13"/>
    <mergeCell ref="E2:H2"/>
    <mergeCell ref="E13:H13"/>
    <mergeCell ref="A50:D50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2:H10"/>
  <sheetViews>
    <sheetView workbookViewId="0">
      <selection activeCell="I1" sqref="I1:I1048576"/>
    </sheetView>
  </sheetViews>
  <sheetFormatPr defaultRowHeight="15"/>
  <cols>
    <col min="2" max="2" width="11.85546875" customWidth="1"/>
    <col min="3" max="3" width="48" bestFit="1" customWidth="1"/>
    <col min="4" max="4" width="10" hidden="1" customWidth="1"/>
    <col min="5" max="5" width="11.28515625" hidden="1" customWidth="1"/>
    <col min="6" max="7" width="0" hidden="1" customWidth="1"/>
    <col min="8" max="8" width="11.85546875" bestFit="1" customWidth="1"/>
  </cols>
  <sheetData>
    <row r="2" spans="1:8" ht="15.75">
      <c r="A2" s="240" t="s">
        <v>721</v>
      </c>
      <c r="B2" s="240"/>
      <c r="C2" s="240"/>
      <c r="D2" s="80"/>
    </row>
    <row r="3" spans="1:8" ht="31.5">
      <c r="A3" s="55" t="s">
        <v>259</v>
      </c>
      <c r="B3" s="54" t="s">
        <v>232</v>
      </c>
      <c r="C3" s="55" t="s">
        <v>720</v>
      </c>
      <c r="D3" s="54" t="s">
        <v>233</v>
      </c>
      <c r="E3" s="56" t="s">
        <v>218</v>
      </c>
      <c r="F3" s="56" t="s">
        <v>769</v>
      </c>
      <c r="G3" s="56" t="s">
        <v>770</v>
      </c>
      <c r="H3" s="56" t="s">
        <v>219</v>
      </c>
    </row>
    <row r="4" spans="1:8" ht="15.75">
      <c r="A4" s="40">
        <v>1</v>
      </c>
      <c r="B4" s="40" t="s">
        <v>722</v>
      </c>
      <c r="C4" s="44" t="s">
        <v>1407</v>
      </c>
      <c r="D4" s="40">
        <v>5</v>
      </c>
      <c r="E4" s="50"/>
      <c r="F4" s="49">
        <f t="shared" ref="F4:F10" si="0">SUM(D4:E4)</f>
        <v>5</v>
      </c>
      <c r="G4" s="49">
        <v>3</v>
      </c>
      <c r="H4" s="49">
        <f t="shared" ref="H4:H10" si="1">SUM(F4-G4)</f>
        <v>2</v>
      </c>
    </row>
    <row r="5" spans="1:8" ht="15.75">
      <c r="A5" s="40">
        <v>2</v>
      </c>
      <c r="B5" s="40" t="s">
        <v>723</v>
      </c>
      <c r="C5" s="44" t="s">
        <v>773</v>
      </c>
      <c r="D5" s="40">
        <v>7</v>
      </c>
      <c r="E5" s="50"/>
      <c r="F5" s="49">
        <f t="shared" si="0"/>
        <v>7</v>
      </c>
      <c r="G5" s="49"/>
      <c r="H5" s="49">
        <f t="shared" si="1"/>
        <v>7</v>
      </c>
    </row>
    <row r="6" spans="1:8" ht="15.75">
      <c r="A6" s="40">
        <v>3</v>
      </c>
      <c r="B6" s="40" t="s">
        <v>724</v>
      </c>
      <c r="C6" s="44" t="s">
        <v>774</v>
      </c>
      <c r="D6" s="40">
        <v>8</v>
      </c>
      <c r="E6" s="50"/>
      <c r="F6" s="49">
        <f t="shared" si="0"/>
        <v>8</v>
      </c>
      <c r="G6" s="49"/>
      <c r="H6" s="49">
        <f t="shared" si="1"/>
        <v>8</v>
      </c>
    </row>
    <row r="7" spans="1:8" ht="15.75">
      <c r="A7" s="40">
        <v>4</v>
      </c>
      <c r="B7" s="40" t="s">
        <v>725</v>
      </c>
      <c r="C7" s="44" t="s">
        <v>775</v>
      </c>
      <c r="D7" s="40">
        <v>20</v>
      </c>
      <c r="E7" s="50"/>
      <c r="F7" s="49">
        <f t="shared" si="0"/>
        <v>20</v>
      </c>
      <c r="G7" s="49">
        <v>3</v>
      </c>
      <c r="H7" s="49">
        <f t="shared" si="1"/>
        <v>17</v>
      </c>
    </row>
    <row r="8" spans="1:8" ht="15.75">
      <c r="A8" s="40">
        <v>5</v>
      </c>
      <c r="B8" s="40" t="s">
        <v>726</v>
      </c>
      <c r="C8" s="44" t="s">
        <v>776</v>
      </c>
      <c r="D8" s="40">
        <v>3</v>
      </c>
      <c r="E8" s="50"/>
      <c r="F8" s="49">
        <f t="shared" si="0"/>
        <v>3</v>
      </c>
      <c r="G8" s="49"/>
      <c r="H8" s="49">
        <f t="shared" si="1"/>
        <v>3</v>
      </c>
    </row>
    <row r="9" spans="1:8" ht="15.75">
      <c r="A9" s="40">
        <v>6</v>
      </c>
      <c r="B9" s="40" t="s">
        <v>1572</v>
      </c>
      <c r="C9" s="44" t="s">
        <v>1571</v>
      </c>
      <c r="D9" s="40">
        <v>20</v>
      </c>
      <c r="E9" s="50"/>
      <c r="F9" s="49">
        <f t="shared" si="0"/>
        <v>20</v>
      </c>
      <c r="G9" s="49"/>
      <c r="H9" s="49">
        <f t="shared" si="1"/>
        <v>20</v>
      </c>
    </row>
    <row r="10" spans="1:8" ht="15.75">
      <c r="A10" s="40">
        <v>7</v>
      </c>
      <c r="B10" s="40" t="s">
        <v>1573</v>
      </c>
      <c r="C10" s="44" t="s">
        <v>1574</v>
      </c>
      <c r="D10" s="40">
        <v>10</v>
      </c>
      <c r="E10" s="50"/>
      <c r="F10" s="49">
        <f t="shared" si="0"/>
        <v>10</v>
      </c>
      <c r="G10" s="49"/>
      <c r="H10" s="49">
        <f t="shared" si="1"/>
        <v>10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3:H19"/>
  <sheetViews>
    <sheetView workbookViewId="0">
      <selection activeCell="I1" sqref="I1:I1048576"/>
    </sheetView>
  </sheetViews>
  <sheetFormatPr defaultRowHeight="15"/>
  <cols>
    <col min="1" max="1" width="6.85546875" bestFit="1" customWidth="1"/>
    <col min="2" max="2" width="13.140625" bestFit="1" customWidth="1"/>
    <col min="3" max="3" width="55" bestFit="1" customWidth="1"/>
    <col min="4" max="4" width="13.7109375" hidden="1" customWidth="1"/>
    <col min="5" max="5" width="11.28515625" style="25" hidden="1" customWidth="1"/>
    <col min="6" max="7" width="0" hidden="1" customWidth="1"/>
    <col min="8" max="8" width="11.85546875" bestFit="1" customWidth="1"/>
  </cols>
  <sheetData>
    <row r="3" spans="1:8">
      <c r="A3" s="228" t="s">
        <v>1644</v>
      </c>
      <c r="B3" s="228"/>
      <c r="C3" s="228"/>
      <c r="D3" s="228"/>
    </row>
    <row r="4" spans="1:8" ht="15.75">
      <c r="A4" s="46" t="s">
        <v>0</v>
      </c>
      <c r="B4" s="46" t="s">
        <v>232</v>
      </c>
      <c r="C4" s="46" t="s">
        <v>1</v>
      </c>
      <c r="D4" s="46" t="s">
        <v>233</v>
      </c>
      <c r="E4" s="49" t="s">
        <v>218</v>
      </c>
      <c r="F4" s="49" t="s">
        <v>769</v>
      </c>
      <c r="G4" s="49" t="s">
        <v>770</v>
      </c>
      <c r="H4" s="49" t="s">
        <v>219</v>
      </c>
    </row>
    <row r="5" spans="1:8" ht="15.75">
      <c r="A5" s="46">
        <v>1</v>
      </c>
      <c r="B5" s="46" t="s">
        <v>727</v>
      </c>
      <c r="C5" s="45" t="s">
        <v>1590</v>
      </c>
      <c r="D5" s="46">
        <v>0</v>
      </c>
      <c r="E5" s="49">
        <v>10</v>
      </c>
      <c r="F5" s="49">
        <f>SUM(D5:E5)</f>
        <v>10</v>
      </c>
      <c r="G5" s="49">
        <v>1</v>
      </c>
      <c r="H5" s="49">
        <f>SUM(F5-G5)</f>
        <v>9</v>
      </c>
    </row>
    <row r="6" spans="1:8" ht="15.75">
      <c r="A6" s="46">
        <v>2</v>
      </c>
      <c r="B6" s="46" t="s">
        <v>728</v>
      </c>
      <c r="C6" s="45" t="s">
        <v>1589</v>
      </c>
      <c r="D6" s="46">
        <v>9</v>
      </c>
      <c r="E6" s="49"/>
      <c r="F6" s="49">
        <f>SUM(D6:E6)</f>
        <v>9</v>
      </c>
      <c r="G6" s="49"/>
      <c r="H6" s="49">
        <f>SUM(F6-G6)</f>
        <v>9</v>
      </c>
    </row>
    <row r="7" spans="1:8" ht="15.75">
      <c r="A7" s="46">
        <v>3</v>
      </c>
      <c r="B7" s="46" t="s">
        <v>729</v>
      </c>
      <c r="C7" s="45" t="s">
        <v>1588</v>
      </c>
      <c r="D7" s="46">
        <v>8</v>
      </c>
      <c r="E7" s="49"/>
      <c r="F7" s="49">
        <f>SUM(D7:E7)</f>
        <v>8</v>
      </c>
      <c r="G7" s="49">
        <v>1</v>
      </c>
      <c r="H7" s="49">
        <f>SUM(F7-G7)</f>
        <v>7</v>
      </c>
    </row>
    <row r="9" spans="1:8" ht="15.75">
      <c r="A9" s="46" t="s">
        <v>0</v>
      </c>
      <c r="B9" s="46" t="s">
        <v>232</v>
      </c>
      <c r="C9" s="46" t="s">
        <v>1</v>
      </c>
      <c r="D9" s="46" t="s">
        <v>233</v>
      </c>
      <c r="E9" s="49" t="s">
        <v>218</v>
      </c>
      <c r="F9" s="49" t="s">
        <v>769</v>
      </c>
      <c r="G9" s="49" t="s">
        <v>770</v>
      </c>
      <c r="H9" s="49" t="s">
        <v>219</v>
      </c>
    </row>
    <row r="10" spans="1:8" ht="16.5" thickBot="1">
      <c r="A10" s="49">
        <v>1</v>
      </c>
      <c r="B10" s="49" t="s">
        <v>1398</v>
      </c>
      <c r="C10" s="50" t="s">
        <v>730</v>
      </c>
      <c r="D10" s="48">
        <v>64</v>
      </c>
      <c r="E10" s="49"/>
      <c r="F10" s="49">
        <f>SUM(D10:E10)</f>
        <v>64</v>
      </c>
      <c r="G10" s="49"/>
      <c r="H10" s="49">
        <f>SUM(F10-G10)</f>
        <v>64</v>
      </c>
    </row>
    <row r="11" spans="1:8" ht="16.5" thickBot="1">
      <c r="A11" s="49">
        <v>2</v>
      </c>
      <c r="B11" s="195" t="s">
        <v>1399</v>
      </c>
      <c r="C11" s="196" t="s">
        <v>731</v>
      </c>
      <c r="D11" s="48">
        <v>63</v>
      </c>
      <c r="E11" s="49"/>
      <c r="F11" s="49">
        <f t="shared" ref="F11:F19" si="0">SUM(D11:E11)</f>
        <v>63</v>
      </c>
      <c r="G11" s="49">
        <v>4</v>
      </c>
      <c r="H11" s="49">
        <f t="shared" ref="H11:H19" si="1">SUM(F11-G11)</f>
        <v>59</v>
      </c>
    </row>
    <row r="12" spans="1:8" ht="15.75">
      <c r="A12" s="49">
        <v>3</v>
      </c>
      <c r="B12" s="49" t="s">
        <v>1400</v>
      </c>
      <c r="C12" s="50" t="s">
        <v>732</v>
      </c>
      <c r="D12" s="48">
        <v>262</v>
      </c>
      <c r="E12" s="49"/>
      <c r="F12" s="49">
        <f t="shared" si="0"/>
        <v>262</v>
      </c>
      <c r="G12" s="49">
        <v>62</v>
      </c>
      <c r="H12" s="49">
        <f t="shared" si="1"/>
        <v>200</v>
      </c>
    </row>
    <row r="13" spans="1:8" ht="15.75">
      <c r="A13" s="49">
        <v>4</v>
      </c>
      <c r="B13" s="49" t="s">
        <v>1401</v>
      </c>
      <c r="C13" s="50" t="s">
        <v>733</v>
      </c>
      <c r="D13" s="48">
        <v>40</v>
      </c>
      <c r="E13" s="49"/>
      <c r="F13" s="49">
        <f t="shared" si="0"/>
        <v>40</v>
      </c>
      <c r="G13" s="49"/>
      <c r="H13" s="49">
        <f t="shared" si="1"/>
        <v>40</v>
      </c>
    </row>
    <row r="14" spans="1:8" ht="15.75">
      <c r="A14" s="49">
        <v>5</v>
      </c>
      <c r="B14" s="49" t="s">
        <v>1402</v>
      </c>
      <c r="C14" s="50" t="s">
        <v>734</v>
      </c>
      <c r="D14" s="48">
        <v>29</v>
      </c>
      <c r="E14" s="49"/>
      <c r="F14" s="49">
        <f t="shared" si="0"/>
        <v>29</v>
      </c>
      <c r="G14" s="49"/>
      <c r="H14" s="49">
        <f t="shared" si="1"/>
        <v>29</v>
      </c>
    </row>
    <row r="15" spans="1:8" ht="15.75">
      <c r="A15" s="49">
        <v>6</v>
      </c>
      <c r="B15" s="49" t="s">
        <v>1401</v>
      </c>
      <c r="C15" s="50" t="s">
        <v>735</v>
      </c>
      <c r="D15" s="48">
        <v>19</v>
      </c>
      <c r="E15" s="49"/>
      <c r="F15" s="49">
        <f t="shared" si="0"/>
        <v>19</v>
      </c>
      <c r="G15" s="49">
        <v>2</v>
      </c>
      <c r="H15" s="49">
        <f t="shared" si="1"/>
        <v>17</v>
      </c>
    </row>
    <row r="16" spans="1:8" ht="15.75">
      <c r="A16" s="49">
        <v>7</v>
      </c>
      <c r="B16" s="49" t="s">
        <v>1403</v>
      </c>
      <c r="C16" s="50" t="s">
        <v>736</v>
      </c>
      <c r="D16" s="48">
        <v>50</v>
      </c>
      <c r="E16" s="49"/>
      <c r="F16" s="49">
        <f t="shared" si="0"/>
        <v>50</v>
      </c>
      <c r="G16" s="49"/>
      <c r="H16" s="49">
        <f t="shared" si="1"/>
        <v>50</v>
      </c>
    </row>
    <row r="17" spans="1:8" ht="15.75">
      <c r="A17" s="49">
        <v>8</v>
      </c>
      <c r="B17" s="49" t="s">
        <v>1404</v>
      </c>
      <c r="C17" s="50" t="s">
        <v>750</v>
      </c>
      <c r="D17" s="48">
        <v>50</v>
      </c>
      <c r="E17" s="49"/>
      <c r="F17" s="49">
        <f t="shared" si="0"/>
        <v>50</v>
      </c>
      <c r="G17" s="49"/>
      <c r="H17" s="49">
        <f t="shared" si="1"/>
        <v>50</v>
      </c>
    </row>
    <row r="18" spans="1:8" ht="15.75">
      <c r="A18" s="49">
        <v>9</v>
      </c>
      <c r="B18" s="49" t="s">
        <v>1405</v>
      </c>
      <c r="C18" s="50" t="s">
        <v>737</v>
      </c>
      <c r="D18" s="48">
        <v>10</v>
      </c>
      <c r="E18" s="49"/>
      <c r="F18" s="49">
        <f t="shared" si="0"/>
        <v>10</v>
      </c>
      <c r="G18" s="49"/>
      <c r="H18" s="49">
        <f t="shared" si="1"/>
        <v>10</v>
      </c>
    </row>
    <row r="19" spans="1:8" ht="15.75">
      <c r="A19" s="47">
        <v>10</v>
      </c>
      <c r="B19" s="47" t="s">
        <v>1406</v>
      </c>
      <c r="C19" s="43" t="s">
        <v>738</v>
      </c>
      <c r="D19" s="48">
        <v>0</v>
      </c>
      <c r="E19" s="49"/>
      <c r="F19" s="49">
        <f t="shared" si="0"/>
        <v>0</v>
      </c>
      <c r="G19" s="49"/>
      <c r="H19" s="49">
        <f t="shared" si="1"/>
        <v>0</v>
      </c>
    </row>
  </sheetData>
  <mergeCells count="1">
    <mergeCell ref="A3:D3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F26"/>
  <sheetViews>
    <sheetView workbookViewId="0">
      <selection activeCell="C5" sqref="C5"/>
    </sheetView>
  </sheetViews>
  <sheetFormatPr defaultRowHeight="15"/>
  <cols>
    <col min="1" max="1" width="3.85546875" bestFit="1" customWidth="1"/>
    <col min="2" max="2" width="10" customWidth="1"/>
    <col min="3" max="3" width="33.85546875" bestFit="1" customWidth="1"/>
    <col min="4" max="4" width="10.140625" bestFit="1" customWidth="1"/>
    <col min="5" max="5" width="12.5703125" bestFit="1" customWidth="1"/>
    <col min="6" max="6" width="9" bestFit="1" customWidth="1"/>
    <col min="9" max="9" width="11.85546875" bestFit="1" customWidth="1"/>
    <col min="10" max="10" width="12.7109375" bestFit="1" customWidth="1"/>
  </cols>
  <sheetData>
    <row r="1" spans="1:6" ht="15.75">
      <c r="A1" s="251" t="s">
        <v>1645</v>
      </c>
      <c r="B1" s="251"/>
      <c r="C1" s="251"/>
      <c r="D1" s="251"/>
      <c r="E1" s="251"/>
      <c r="F1" s="251"/>
    </row>
    <row r="2" spans="1:6" ht="38.25">
      <c r="A2" s="252" t="s">
        <v>1648</v>
      </c>
      <c r="B2" s="252" t="s">
        <v>232</v>
      </c>
      <c r="C2" s="252" t="s">
        <v>1649</v>
      </c>
      <c r="D2" s="252" t="s">
        <v>361</v>
      </c>
      <c r="E2" s="252" t="s">
        <v>1650</v>
      </c>
      <c r="F2" s="252" t="s">
        <v>1651</v>
      </c>
    </row>
    <row r="3" spans="1:6" ht="21.75" customHeight="1">
      <c r="A3" s="253">
        <v>1</v>
      </c>
      <c r="B3" s="253" t="s">
        <v>1652</v>
      </c>
      <c r="C3" s="254" t="s">
        <v>739</v>
      </c>
      <c r="D3" s="255">
        <v>3824</v>
      </c>
      <c r="E3" s="255">
        <v>32</v>
      </c>
      <c r="F3" s="253">
        <v>31300</v>
      </c>
    </row>
    <row r="4" spans="1:6" ht="21.75" customHeight="1">
      <c r="A4" s="253">
        <v>2</v>
      </c>
      <c r="B4" s="253" t="s">
        <v>1653</v>
      </c>
      <c r="C4" s="254" t="s">
        <v>1654</v>
      </c>
      <c r="D4" s="255">
        <v>28273200</v>
      </c>
      <c r="E4" s="255">
        <v>31.5</v>
      </c>
      <c r="F4" s="253">
        <v>2583</v>
      </c>
    </row>
    <row r="5" spans="1:6" ht="21.75" customHeight="1">
      <c r="A5" s="253">
        <v>3</v>
      </c>
      <c r="B5" s="253" t="s">
        <v>1655</v>
      </c>
      <c r="C5" s="254" t="s">
        <v>1656</v>
      </c>
      <c r="D5" s="255">
        <v>4811</v>
      </c>
      <c r="E5" s="255">
        <v>98</v>
      </c>
      <c r="F5" s="253">
        <v>4997</v>
      </c>
    </row>
    <row r="6" spans="1:6" ht="21.75" customHeight="1">
      <c r="A6" s="253">
        <v>4</v>
      </c>
      <c r="B6" s="253" t="s">
        <v>1657</v>
      </c>
      <c r="C6" s="254" t="s">
        <v>1658</v>
      </c>
      <c r="D6" s="255">
        <v>35079062</v>
      </c>
      <c r="E6" s="255">
        <v>625</v>
      </c>
      <c r="F6" s="253">
        <v>19.47</v>
      </c>
    </row>
    <row r="7" spans="1:6" ht="21.75" customHeight="1">
      <c r="A7" s="253">
        <v>5</v>
      </c>
      <c r="B7" s="253" t="s">
        <v>1659</v>
      </c>
      <c r="C7" s="254" t="s">
        <v>1660</v>
      </c>
      <c r="D7" s="255">
        <v>39069090</v>
      </c>
      <c r="E7" s="255">
        <v>350</v>
      </c>
      <c r="F7" s="253">
        <v>880.2</v>
      </c>
    </row>
    <row r="8" spans="1:6" ht="21.75" customHeight="1">
      <c r="A8" s="253">
        <v>6</v>
      </c>
      <c r="B8" s="253" t="s">
        <v>1661</v>
      </c>
      <c r="C8" s="254" t="s">
        <v>1662</v>
      </c>
      <c r="D8" s="255">
        <v>34029099</v>
      </c>
      <c r="E8" s="255">
        <v>215</v>
      </c>
      <c r="F8" s="253">
        <v>941</v>
      </c>
    </row>
    <row r="9" spans="1:6" ht="21.75" customHeight="1">
      <c r="A9" s="253">
        <v>7</v>
      </c>
      <c r="B9" s="253" t="s">
        <v>1663</v>
      </c>
      <c r="C9" s="254" t="s">
        <v>1664</v>
      </c>
      <c r="D9" s="255">
        <v>3824</v>
      </c>
      <c r="E9" s="255">
        <v>151</v>
      </c>
      <c r="F9" s="253">
        <v>3215</v>
      </c>
    </row>
    <row r="10" spans="1:6" ht="21.75" customHeight="1">
      <c r="A10" s="253">
        <v>8</v>
      </c>
      <c r="B10" s="253" t="s">
        <v>1665</v>
      </c>
      <c r="C10" s="254" t="s">
        <v>1666</v>
      </c>
      <c r="D10" s="255">
        <v>39069090</v>
      </c>
      <c r="E10" s="255">
        <v>255</v>
      </c>
      <c r="F10" s="253">
        <v>909</v>
      </c>
    </row>
    <row r="11" spans="1:6" ht="21.75" customHeight="1">
      <c r="A11" s="253">
        <v>9</v>
      </c>
      <c r="B11" s="253" t="s">
        <v>1667</v>
      </c>
      <c r="C11" s="254" t="s">
        <v>1668</v>
      </c>
      <c r="D11" s="255">
        <v>3906</v>
      </c>
      <c r="E11" s="255">
        <v>290</v>
      </c>
      <c r="F11" s="253">
        <v>19</v>
      </c>
    </row>
    <row r="12" spans="1:6" ht="21.75" customHeight="1">
      <c r="A12" s="253">
        <v>10</v>
      </c>
      <c r="B12" s="253" t="s">
        <v>1669</v>
      </c>
      <c r="C12" s="254" t="s">
        <v>1670</v>
      </c>
      <c r="D12" s="255">
        <v>48043900</v>
      </c>
      <c r="E12" s="255">
        <v>180</v>
      </c>
      <c r="F12" s="253">
        <v>2500</v>
      </c>
    </row>
    <row r="13" spans="1:6" ht="21.75" customHeight="1">
      <c r="A13" s="253">
        <v>11</v>
      </c>
      <c r="B13" s="253" t="s">
        <v>1671</v>
      </c>
      <c r="C13" s="254" t="s">
        <v>1672</v>
      </c>
      <c r="D13" s="255" t="s">
        <v>1673</v>
      </c>
      <c r="E13" s="255">
        <v>170</v>
      </c>
      <c r="F13" s="253">
        <v>0</v>
      </c>
    </row>
    <row r="14" spans="1:6" ht="21.75" customHeight="1">
      <c r="A14" s="253">
        <v>12</v>
      </c>
      <c r="B14" s="253" t="s">
        <v>1674</v>
      </c>
      <c r="C14" s="254" t="s">
        <v>1675</v>
      </c>
      <c r="D14" s="255">
        <v>38249022</v>
      </c>
      <c r="E14" s="255">
        <v>320</v>
      </c>
      <c r="F14" s="253">
        <v>203.1</v>
      </c>
    </row>
    <row r="15" spans="1:6">
      <c r="A15" s="253">
        <v>13</v>
      </c>
      <c r="B15" s="253" t="s">
        <v>1676</v>
      </c>
      <c r="C15" s="254" t="s">
        <v>740</v>
      </c>
      <c r="D15" s="255">
        <v>38249022</v>
      </c>
      <c r="E15" s="255">
        <v>230</v>
      </c>
      <c r="F15" s="253">
        <v>212.9</v>
      </c>
    </row>
    <row r="16" spans="1:6">
      <c r="A16" s="253">
        <v>14</v>
      </c>
      <c r="B16" s="253" t="s">
        <v>1677</v>
      </c>
      <c r="C16" s="254" t="s">
        <v>1678</v>
      </c>
      <c r="D16" s="255">
        <v>38249022</v>
      </c>
      <c r="E16" s="255">
        <v>230</v>
      </c>
      <c r="F16" s="253">
        <v>2718.1</v>
      </c>
    </row>
    <row r="17" spans="1:6">
      <c r="A17" s="253">
        <v>15</v>
      </c>
      <c r="B17" s="253" t="s">
        <v>1679</v>
      </c>
      <c r="C17" s="254" t="s">
        <v>1680</v>
      </c>
      <c r="D17" s="255">
        <v>28281010</v>
      </c>
      <c r="E17" s="255">
        <v>38</v>
      </c>
      <c r="F17" s="253">
        <v>62</v>
      </c>
    </row>
    <row r="18" spans="1:6">
      <c r="A18" s="253">
        <v>16</v>
      </c>
      <c r="B18" s="253" t="s">
        <v>1681</v>
      </c>
      <c r="C18" s="254" t="s">
        <v>1682</v>
      </c>
      <c r="D18" s="255">
        <v>28289019</v>
      </c>
      <c r="E18" s="255">
        <v>18</v>
      </c>
      <c r="F18" s="253">
        <v>130</v>
      </c>
    </row>
    <row r="19" spans="1:6">
      <c r="A19" s="253">
        <v>17</v>
      </c>
      <c r="B19" s="253" t="s">
        <v>1683</v>
      </c>
      <c r="C19" s="254" t="s">
        <v>1684</v>
      </c>
      <c r="D19" s="255">
        <v>28061000</v>
      </c>
      <c r="E19" s="255">
        <v>10</v>
      </c>
      <c r="F19" s="253">
        <v>380</v>
      </c>
    </row>
    <row r="20" spans="1:6">
      <c r="A20" s="253">
        <v>18</v>
      </c>
      <c r="B20" s="253" t="s">
        <v>1683</v>
      </c>
      <c r="C20" s="254" t="s">
        <v>1685</v>
      </c>
      <c r="D20" s="255">
        <v>28061000</v>
      </c>
      <c r="E20" s="255">
        <v>10</v>
      </c>
      <c r="F20" s="253">
        <v>55</v>
      </c>
    </row>
    <row r="21" spans="1:6">
      <c r="A21" s="253">
        <v>19</v>
      </c>
      <c r="B21" s="253" t="s">
        <v>1686</v>
      </c>
      <c r="C21" s="254" t="s">
        <v>1687</v>
      </c>
      <c r="D21" s="255">
        <v>38249900</v>
      </c>
      <c r="E21" s="255">
        <v>87</v>
      </c>
      <c r="F21" s="253">
        <v>85.4</v>
      </c>
    </row>
    <row r="22" spans="1:6">
      <c r="A22" s="253">
        <v>20</v>
      </c>
      <c r="B22" s="253" t="s">
        <v>1688</v>
      </c>
      <c r="C22" s="254" t="s">
        <v>1689</v>
      </c>
      <c r="D22" s="255">
        <v>38249900</v>
      </c>
      <c r="E22" s="255">
        <v>92</v>
      </c>
      <c r="F22" s="253">
        <v>25</v>
      </c>
    </row>
    <row r="23" spans="1:6">
      <c r="A23" s="253">
        <v>21</v>
      </c>
      <c r="B23" s="253" t="s">
        <v>1690</v>
      </c>
      <c r="C23" s="254" t="s">
        <v>1691</v>
      </c>
      <c r="D23" s="255">
        <v>38249022</v>
      </c>
      <c r="E23" s="255">
        <v>85</v>
      </c>
      <c r="F23" s="253">
        <v>76</v>
      </c>
    </row>
    <row r="24" spans="1:6">
      <c r="A24" s="253">
        <v>22</v>
      </c>
      <c r="B24" s="253" t="s">
        <v>1692</v>
      </c>
      <c r="C24" s="254" t="s">
        <v>1693</v>
      </c>
      <c r="D24" s="255">
        <v>38249022</v>
      </c>
      <c r="E24" s="255">
        <v>240</v>
      </c>
      <c r="F24" s="253">
        <v>33</v>
      </c>
    </row>
    <row r="25" spans="1:6">
      <c r="A25" s="253">
        <v>23</v>
      </c>
      <c r="B25" s="253" t="s">
        <v>1694</v>
      </c>
      <c r="C25" s="254" t="s">
        <v>1695</v>
      </c>
      <c r="D25" s="255">
        <v>28151110</v>
      </c>
      <c r="E25" s="255">
        <v>45</v>
      </c>
      <c r="F25" s="253">
        <v>480</v>
      </c>
    </row>
    <row r="26" spans="1:6">
      <c r="A26" s="253">
        <v>24</v>
      </c>
      <c r="B26" s="253" t="s">
        <v>1696</v>
      </c>
      <c r="C26" s="254" t="s">
        <v>1697</v>
      </c>
      <c r="D26" s="255">
        <v>3824</v>
      </c>
      <c r="E26" s="256"/>
      <c r="F26" s="253">
        <v>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2:H19"/>
  <sheetViews>
    <sheetView topLeftCell="A2" workbookViewId="0">
      <selection activeCell="I2" sqref="I1:I1048576"/>
    </sheetView>
  </sheetViews>
  <sheetFormatPr defaultRowHeight="15"/>
  <cols>
    <col min="1" max="1" width="6.85546875" bestFit="1" customWidth="1"/>
    <col min="2" max="2" width="9" bestFit="1" customWidth="1"/>
    <col min="3" max="3" width="55.140625" bestFit="1" customWidth="1"/>
    <col min="4" max="4" width="8.7109375" style="25" hidden="1" customWidth="1"/>
    <col min="5" max="5" width="11.28515625" style="25" hidden="1" customWidth="1"/>
    <col min="6" max="7" width="0" style="25" hidden="1" customWidth="1"/>
    <col min="8" max="8" width="11.85546875" style="25" bestFit="1" customWidth="1"/>
  </cols>
  <sheetData>
    <row r="2" spans="1:8" ht="15.75">
      <c r="A2" s="241" t="s">
        <v>751</v>
      </c>
      <c r="B2" s="241"/>
      <c r="C2" s="241"/>
      <c r="D2" s="241"/>
    </row>
    <row r="3" spans="1:8" s="204" customFormat="1" ht="25.5">
      <c r="A3" s="205" t="s">
        <v>0</v>
      </c>
      <c r="B3" s="206" t="s">
        <v>232</v>
      </c>
      <c r="C3" s="205" t="s">
        <v>1</v>
      </c>
      <c r="D3" s="206" t="s">
        <v>233</v>
      </c>
      <c r="E3" s="51" t="s">
        <v>218</v>
      </c>
      <c r="F3" s="51" t="s">
        <v>769</v>
      </c>
      <c r="G3" s="51" t="s">
        <v>770</v>
      </c>
      <c r="H3" s="51" t="s">
        <v>219</v>
      </c>
    </row>
    <row r="4" spans="1:8" ht="15.75">
      <c r="A4" s="24">
        <v>1</v>
      </c>
      <c r="B4" s="24" t="s">
        <v>752</v>
      </c>
      <c r="C4" s="31" t="s">
        <v>753</v>
      </c>
      <c r="D4" s="52">
        <v>4</v>
      </c>
      <c r="E4" s="49"/>
      <c r="F4" s="49">
        <f t="shared" ref="F4:F15" si="0">SUM(D4:E4)</f>
        <v>4</v>
      </c>
      <c r="G4" s="49"/>
      <c r="H4" s="49">
        <f t="shared" ref="H4:H15" si="1">SUM(F4-G4)</f>
        <v>4</v>
      </c>
    </row>
    <row r="5" spans="1:8" ht="15.75">
      <c r="A5" s="24">
        <v>2</v>
      </c>
      <c r="B5" s="24" t="s">
        <v>754</v>
      </c>
      <c r="C5" s="31" t="s">
        <v>755</v>
      </c>
      <c r="D5" s="52">
        <v>3</v>
      </c>
      <c r="E5" s="49"/>
      <c r="F5" s="49">
        <f t="shared" si="0"/>
        <v>3</v>
      </c>
      <c r="G5" s="49"/>
      <c r="H5" s="49">
        <f t="shared" si="1"/>
        <v>3</v>
      </c>
    </row>
    <row r="6" spans="1:8" ht="15.75">
      <c r="A6" s="24">
        <v>3</v>
      </c>
      <c r="B6" s="24" t="s">
        <v>756</v>
      </c>
      <c r="C6" s="31" t="s">
        <v>1000</v>
      </c>
      <c r="D6" s="52">
        <v>4</v>
      </c>
      <c r="E6" s="49"/>
      <c r="F6" s="49">
        <f t="shared" si="0"/>
        <v>4</v>
      </c>
      <c r="G6" s="49">
        <v>2</v>
      </c>
      <c r="H6" s="49">
        <f t="shared" si="1"/>
        <v>2</v>
      </c>
    </row>
    <row r="7" spans="1:8" ht="15.75">
      <c r="A7" s="24">
        <v>4</v>
      </c>
      <c r="B7" s="24" t="s">
        <v>757</v>
      </c>
      <c r="C7" s="31" t="s">
        <v>758</v>
      </c>
      <c r="D7" s="52">
        <v>3</v>
      </c>
      <c r="E7" s="49"/>
      <c r="F7" s="49">
        <f t="shared" si="0"/>
        <v>3</v>
      </c>
      <c r="G7" s="49">
        <v>1</v>
      </c>
      <c r="H7" s="49">
        <f t="shared" si="1"/>
        <v>2</v>
      </c>
    </row>
    <row r="8" spans="1:8" ht="15.75">
      <c r="A8" s="24">
        <v>5</v>
      </c>
      <c r="B8" s="24" t="s">
        <v>759</v>
      </c>
      <c r="C8" s="31" t="s">
        <v>999</v>
      </c>
      <c r="D8" s="53">
        <v>14</v>
      </c>
      <c r="E8" s="49"/>
      <c r="F8" s="49">
        <f t="shared" si="0"/>
        <v>14</v>
      </c>
      <c r="G8" s="49"/>
      <c r="H8" s="49">
        <f t="shared" si="1"/>
        <v>14</v>
      </c>
    </row>
    <row r="9" spans="1:8" ht="15.75">
      <c r="A9" s="24">
        <v>6</v>
      </c>
      <c r="B9" s="24" t="s">
        <v>1001</v>
      </c>
      <c r="C9" s="31" t="s">
        <v>760</v>
      </c>
      <c r="D9" s="24">
        <v>4</v>
      </c>
      <c r="E9" s="49"/>
      <c r="F9" s="49">
        <f t="shared" si="0"/>
        <v>4</v>
      </c>
      <c r="G9" s="49"/>
      <c r="H9" s="49">
        <f t="shared" si="1"/>
        <v>4</v>
      </c>
    </row>
    <row r="10" spans="1:8" ht="15.75">
      <c r="A10" s="24">
        <v>7</v>
      </c>
      <c r="B10" s="24" t="s">
        <v>1003</v>
      </c>
      <c r="C10" s="31" t="s">
        <v>1007</v>
      </c>
      <c r="D10" s="96">
        <v>1</v>
      </c>
      <c r="E10" s="24"/>
      <c r="F10" s="63">
        <f t="shared" si="0"/>
        <v>1</v>
      </c>
      <c r="G10" s="24"/>
      <c r="H10" s="63">
        <f t="shared" si="1"/>
        <v>1</v>
      </c>
    </row>
    <row r="11" spans="1:8" ht="15.75">
      <c r="A11" s="24">
        <v>8</v>
      </c>
      <c r="B11" s="24" t="s">
        <v>1006</v>
      </c>
      <c r="C11" s="31" t="s">
        <v>1005</v>
      </c>
      <c r="D11" s="24">
        <v>2</v>
      </c>
      <c r="E11" s="49"/>
      <c r="F11" s="49">
        <f t="shared" si="0"/>
        <v>2</v>
      </c>
      <c r="G11" s="49"/>
      <c r="H11" s="49">
        <f t="shared" si="1"/>
        <v>2</v>
      </c>
    </row>
    <row r="12" spans="1:8" ht="15.75">
      <c r="A12" s="24">
        <v>9</v>
      </c>
      <c r="B12" s="24" t="s">
        <v>1002</v>
      </c>
      <c r="C12" s="31" t="s">
        <v>1004</v>
      </c>
      <c r="D12" s="24">
        <v>1</v>
      </c>
      <c r="E12" s="49"/>
      <c r="F12" s="49">
        <f t="shared" si="0"/>
        <v>1</v>
      </c>
      <c r="G12" s="49"/>
      <c r="H12" s="49">
        <f t="shared" si="1"/>
        <v>1</v>
      </c>
    </row>
    <row r="13" spans="1:8">
      <c r="A13" s="181">
        <v>10</v>
      </c>
      <c r="B13" s="182" t="s">
        <v>1560</v>
      </c>
      <c r="C13" s="183" t="s">
        <v>1561</v>
      </c>
      <c r="D13" s="184">
        <v>2</v>
      </c>
      <c r="E13" s="184"/>
      <c r="F13" s="184">
        <f t="shared" si="0"/>
        <v>2</v>
      </c>
      <c r="G13" s="184"/>
      <c r="H13" s="184">
        <f t="shared" si="1"/>
        <v>2</v>
      </c>
    </row>
    <row r="14" spans="1:8">
      <c r="A14" s="96">
        <v>11</v>
      </c>
      <c r="B14" s="96" t="s">
        <v>1579</v>
      </c>
      <c r="C14" s="138" t="s">
        <v>1577</v>
      </c>
      <c r="D14" s="24">
        <v>0</v>
      </c>
      <c r="E14" s="24">
        <v>1</v>
      </c>
      <c r="F14" s="24">
        <f t="shared" si="0"/>
        <v>1</v>
      </c>
      <c r="G14" s="24">
        <v>1</v>
      </c>
      <c r="H14" s="24">
        <f t="shared" si="1"/>
        <v>0</v>
      </c>
    </row>
    <row r="15" spans="1:8">
      <c r="A15" s="96">
        <v>12</v>
      </c>
      <c r="B15" s="96" t="s">
        <v>1580</v>
      </c>
      <c r="C15" s="138" t="s">
        <v>1578</v>
      </c>
      <c r="D15" s="24">
        <v>0</v>
      </c>
      <c r="E15" s="24">
        <v>1</v>
      </c>
      <c r="F15" s="24">
        <f t="shared" si="0"/>
        <v>1</v>
      </c>
      <c r="G15" s="24"/>
      <c r="H15" s="24">
        <f t="shared" si="1"/>
        <v>1</v>
      </c>
    </row>
    <row r="16" spans="1:8">
      <c r="A16" s="96">
        <v>13</v>
      </c>
      <c r="B16" s="96" t="s">
        <v>1599</v>
      </c>
      <c r="C16" s="16" t="s">
        <v>1597</v>
      </c>
      <c r="D16" s="24">
        <v>6</v>
      </c>
      <c r="E16" s="24"/>
      <c r="F16" s="24">
        <f t="shared" ref="F16:F17" si="2">SUM(D16:E16)</f>
        <v>6</v>
      </c>
      <c r="G16" s="24"/>
      <c r="H16" s="24">
        <f t="shared" ref="H16:H17" si="3">SUM(F16-G16)</f>
        <v>6</v>
      </c>
    </row>
    <row r="17" spans="1:8">
      <c r="A17" s="96">
        <v>14</v>
      </c>
      <c r="B17" s="96" t="s">
        <v>1600</v>
      </c>
      <c r="C17" s="16" t="s">
        <v>1598</v>
      </c>
      <c r="D17" s="24">
        <v>3</v>
      </c>
      <c r="E17" s="24"/>
      <c r="F17" s="24">
        <f t="shared" si="2"/>
        <v>3</v>
      </c>
      <c r="G17" s="24"/>
      <c r="H17" s="24">
        <f t="shared" si="3"/>
        <v>3</v>
      </c>
    </row>
    <row r="18" spans="1:8">
      <c r="A18" s="96">
        <v>14</v>
      </c>
      <c r="B18" s="96" t="s">
        <v>1602</v>
      </c>
      <c r="C18" s="16" t="s">
        <v>1601</v>
      </c>
      <c r="D18" s="24">
        <v>1</v>
      </c>
      <c r="E18" s="24"/>
      <c r="F18" s="24">
        <f t="shared" ref="F18" si="4">SUM(D18:E18)</f>
        <v>1</v>
      </c>
      <c r="G18" s="24"/>
      <c r="H18" s="24">
        <f t="shared" ref="H18" si="5">SUM(F18-G18)</f>
        <v>1</v>
      </c>
    </row>
    <row r="19" spans="1:8">
      <c r="A19" s="96">
        <v>15</v>
      </c>
      <c r="B19" s="96" t="s">
        <v>1603</v>
      </c>
      <c r="C19" s="16" t="s">
        <v>1604</v>
      </c>
      <c r="D19" s="24">
        <v>5</v>
      </c>
      <c r="E19" s="24"/>
      <c r="F19" s="24">
        <f t="shared" ref="F19" si="6">SUM(D19:E19)</f>
        <v>5</v>
      </c>
      <c r="G19" s="24"/>
      <c r="H19" s="24">
        <f t="shared" ref="H19" si="7">SUM(F19-G19)</f>
        <v>5</v>
      </c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2:I105"/>
  <sheetViews>
    <sheetView workbookViewId="0">
      <selection activeCell="E1" sqref="E1:H1048576"/>
    </sheetView>
  </sheetViews>
  <sheetFormatPr defaultRowHeight="15"/>
  <cols>
    <col min="1" max="1" width="5.85546875" style="136" bestFit="1" customWidth="1"/>
    <col min="2" max="2" width="11.7109375" style="136" bestFit="1" customWidth="1"/>
    <col min="3" max="3" width="51.85546875" style="136" bestFit="1" customWidth="1"/>
    <col min="4" max="4" width="10" style="136" bestFit="1" customWidth="1"/>
    <col min="5" max="5" width="8.42578125" style="144" hidden="1" customWidth="1"/>
    <col min="6" max="6" width="8.42578125" style="194" hidden="1" customWidth="1"/>
    <col min="7" max="7" width="6.5703125" style="144" hidden="1" customWidth="1"/>
    <col min="8" max="8" width="9.140625" style="194" hidden="1" customWidth="1"/>
    <col min="9" max="9" width="9.5703125" style="136" bestFit="1" customWidth="1"/>
    <col min="10" max="16384" width="9.140625" style="136"/>
  </cols>
  <sheetData>
    <row r="2" spans="1:9">
      <c r="A2" s="242" t="s">
        <v>1198</v>
      </c>
      <c r="B2" s="242"/>
      <c r="C2" s="242"/>
      <c r="D2" s="242"/>
      <c r="E2" s="242"/>
      <c r="F2" s="242"/>
      <c r="G2" s="242"/>
      <c r="H2" s="242"/>
      <c r="I2" s="242"/>
    </row>
    <row r="3" spans="1:9" ht="25.5">
      <c r="A3" s="207" t="s">
        <v>0</v>
      </c>
      <c r="B3" s="208" t="s">
        <v>232</v>
      </c>
      <c r="C3" s="207" t="s">
        <v>1</v>
      </c>
      <c r="D3" s="207" t="s">
        <v>361</v>
      </c>
      <c r="E3" s="208" t="s">
        <v>233</v>
      </c>
      <c r="F3" s="209" t="s">
        <v>218</v>
      </c>
      <c r="G3" s="209" t="s">
        <v>769</v>
      </c>
      <c r="H3" s="209" t="s">
        <v>770</v>
      </c>
      <c r="I3" s="209" t="s">
        <v>219</v>
      </c>
    </row>
    <row r="4" spans="1:9" s="139" customFormat="1" ht="18" customHeight="1">
      <c r="A4" s="52">
        <v>1</v>
      </c>
      <c r="B4" s="52" t="s">
        <v>765</v>
      </c>
      <c r="C4" s="138" t="s">
        <v>761</v>
      </c>
      <c r="D4" s="138"/>
      <c r="E4" s="52">
        <v>1</v>
      </c>
      <c r="F4" s="52"/>
      <c r="G4" s="52">
        <f>SUM(E4:F4)</f>
        <v>1</v>
      </c>
      <c r="H4" s="52"/>
      <c r="I4" s="52">
        <f>SUM(G4-H4)</f>
        <v>1</v>
      </c>
    </row>
    <row r="5" spans="1:9" s="139" customFormat="1" ht="18" customHeight="1">
      <c r="A5" s="52">
        <v>2</v>
      </c>
      <c r="B5" s="52" t="s">
        <v>762</v>
      </c>
      <c r="C5" s="138" t="s">
        <v>763</v>
      </c>
      <c r="D5" s="138"/>
      <c r="E5" s="52">
        <v>3</v>
      </c>
      <c r="F5" s="52"/>
      <c r="G5" s="52">
        <f t="shared" ref="G5:G20" si="0">SUM(E5:F5)</f>
        <v>3</v>
      </c>
      <c r="H5" s="52"/>
      <c r="I5" s="52">
        <f t="shared" ref="I5:I20" si="1">SUM(G5-H5)</f>
        <v>3</v>
      </c>
    </row>
    <row r="6" spans="1:9" s="139" customFormat="1" ht="18" customHeight="1">
      <c r="A6" s="52">
        <v>3</v>
      </c>
      <c r="B6" s="52" t="s">
        <v>764</v>
      </c>
      <c r="C6" s="138" t="s">
        <v>766</v>
      </c>
      <c r="D6" s="138"/>
      <c r="E6" s="52">
        <v>3</v>
      </c>
      <c r="F6" s="52"/>
      <c r="G6" s="52">
        <f t="shared" si="0"/>
        <v>3</v>
      </c>
      <c r="H6" s="52"/>
      <c r="I6" s="52">
        <f t="shared" si="1"/>
        <v>3</v>
      </c>
    </row>
    <row r="7" spans="1:9" s="139" customFormat="1" ht="18" customHeight="1">
      <c r="A7" s="52">
        <v>4</v>
      </c>
      <c r="B7" s="52" t="s">
        <v>767</v>
      </c>
      <c r="C7" s="140" t="s">
        <v>768</v>
      </c>
      <c r="D7" s="140"/>
      <c r="E7" s="53">
        <v>3</v>
      </c>
      <c r="F7" s="52"/>
      <c r="G7" s="52">
        <f t="shared" si="0"/>
        <v>3</v>
      </c>
      <c r="H7" s="52"/>
      <c r="I7" s="52">
        <f t="shared" si="1"/>
        <v>3</v>
      </c>
    </row>
    <row r="8" spans="1:9" ht="18" customHeight="1">
      <c r="A8" s="52">
        <v>5</v>
      </c>
      <c r="B8" s="52" t="s">
        <v>978</v>
      </c>
      <c r="C8" s="140" t="s">
        <v>983</v>
      </c>
      <c r="D8" s="140"/>
      <c r="E8" s="53">
        <v>3</v>
      </c>
      <c r="F8" s="52"/>
      <c r="G8" s="53">
        <f>SUM(E8:F8)</f>
        <v>3</v>
      </c>
      <c r="H8" s="52"/>
      <c r="I8" s="53">
        <f>SUM(G8-H8)</f>
        <v>3</v>
      </c>
    </row>
    <row r="9" spans="1:9" ht="18" customHeight="1">
      <c r="A9" s="52">
        <v>6</v>
      </c>
      <c r="B9" s="52" t="s">
        <v>977</v>
      </c>
      <c r="C9" s="140" t="s">
        <v>984</v>
      </c>
      <c r="D9" s="140"/>
      <c r="E9" s="53">
        <v>3</v>
      </c>
      <c r="F9" s="52"/>
      <c r="G9" s="53">
        <f>SUM(E9:F9)</f>
        <v>3</v>
      </c>
      <c r="H9" s="52"/>
      <c r="I9" s="53">
        <f>SUM(G9-H9)</f>
        <v>3</v>
      </c>
    </row>
    <row r="10" spans="1:9" ht="18" customHeight="1">
      <c r="A10" s="52">
        <v>7</v>
      </c>
      <c r="B10" s="52" t="s">
        <v>979</v>
      </c>
      <c r="C10" s="140" t="s">
        <v>985</v>
      </c>
      <c r="D10" s="140"/>
      <c r="E10" s="53">
        <v>15</v>
      </c>
      <c r="F10" s="52"/>
      <c r="G10" s="53">
        <f t="shared" si="0"/>
        <v>15</v>
      </c>
      <c r="H10" s="52"/>
      <c r="I10" s="53">
        <f t="shared" si="1"/>
        <v>15</v>
      </c>
    </row>
    <row r="11" spans="1:9" ht="18" customHeight="1">
      <c r="A11" s="52">
        <v>8</v>
      </c>
      <c r="B11" s="52" t="s">
        <v>976</v>
      </c>
      <c r="C11" s="140" t="s">
        <v>986</v>
      </c>
      <c r="D11" s="140"/>
      <c r="E11" s="53">
        <v>7.5</v>
      </c>
      <c r="F11" s="52">
        <v>7.5</v>
      </c>
      <c r="G11" s="53">
        <f t="shared" si="0"/>
        <v>15</v>
      </c>
      <c r="H11" s="52">
        <v>7.5</v>
      </c>
      <c r="I11" s="53">
        <f t="shared" si="1"/>
        <v>7.5</v>
      </c>
    </row>
    <row r="12" spans="1:9" ht="18" customHeight="1">
      <c r="A12" s="52">
        <v>9</v>
      </c>
      <c r="B12" s="52" t="s">
        <v>980</v>
      </c>
      <c r="C12" s="140" t="s">
        <v>987</v>
      </c>
      <c r="D12" s="140"/>
      <c r="E12" s="53">
        <v>0</v>
      </c>
      <c r="F12" s="52">
        <v>7.5</v>
      </c>
      <c r="G12" s="53">
        <f t="shared" si="0"/>
        <v>7.5</v>
      </c>
      <c r="H12" s="52"/>
      <c r="I12" s="53">
        <f t="shared" si="1"/>
        <v>7.5</v>
      </c>
    </row>
    <row r="13" spans="1:9" ht="18" customHeight="1">
      <c r="A13" s="52">
        <v>10</v>
      </c>
      <c r="B13" s="52" t="s">
        <v>981</v>
      </c>
      <c r="C13" s="140" t="s">
        <v>988</v>
      </c>
      <c r="D13" s="140"/>
      <c r="E13" s="53">
        <v>0</v>
      </c>
      <c r="F13" s="52">
        <v>7.5</v>
      </c>
      <c r="G13" s="53">
        <f t="shared" si="0"/>
        <v>7.5</v>
      </c>
      <c r="H13" s="52">
        <v>7.5</v>
      </c>
      <c r="I13" s="53">
        <f t="shared" si="1"/>
        <v>0</v>
      </c>
    </row>
    <row r="14" spans="1:9" ht="18" customHeight="1">
      <c r="A14" s="52">
        <v>11</v>
      </c>
      <c r="B14" s="141" t="s">
        <v>982</v>
      </c>
      <c r="C14" s="142" t="s">
        <v>989</v>
      </c>
      <c r="D14" s="142"/>
      <c r="E14" s="53">
        <v>7.5</v>
      </c>
      <c r="F14" s="52"/>
      <c r="G14" s="53">
        <f t="shared" si="0"/>
        <v>7.5</v>
      </c>
      <c r="H14" s="52"/>
      <c r="I14" s="53">
        <f t="shared" si="1"/>
        <v>7.5</v>
      </c>
    </row>
    <row r="15" spans="1:9" ht="18" customHeight="1">
      <c r="A15" s="52">
        <v>12</v>
      </c>
      <c r="B15" s="53" t="s">
        <v>1008</v>
      </c>
      <c r="C15" s="143" t="s">
        <v>1021</v>
      </c>
      <c r="D15" s="143"/>
      <c r="E15" s="52">
        <v>4</v>
      </c>
      <c r="F15" s="52"/>
      <c r="G15" s="53">
        <f t="shared" si="0"/>
        <v>4</v>
      </c>
      <c r="H15" s="52"/>
      <c r="I15" s="53">
        <f t="shared" si="1"/>
        <v>4</v>
      </c>
    </row>
    <row r="16" spans="1:9" ht="18" customHeight="1">
      <c r="A16" s="52">
        <v>13</v>
      </c>
      <c r="B16" s="53" t="s">
        <v>1009</v>
      </c>
      <c r="C16" s="143" t="s">
        <v>1014</v>
      </c>
      <c r="D16" s="143"/>
      <c r="E16" s="52">
        <v>4</v>
      </c>
      <c r="F16" s="52"/>
      <c r="G16" s="53">
        <f t="shared" si="0"/>
        <v>4</v>
      </c>
      <c r="H16" s="52"/>
      <c r="I16" s="53">
        <f t="shared" si="1"/>
        <v>4</v>
      </c>
    </row>
    <row r="17" spans="1:9" ht="18" customHeight="1">
      <c r="A17" s="52">
        <v>14</v>
      </c>
      <c r="B17" s="53" t="s">
        <v>1010</v>
      </c>
      <c r="C17" s="143" t="s">
        <v>1015</v>
      </c>
      <c r="D17" s="143"/>
      <c r="E17" s="52">
        <v>6</v>
      </c>
      <c r="F17" s="52"/>
      <c r="G17" s="53">
        <f t="shared" si="0"/>
        <v>6</v>
      </c>
      <c r="H17" s="52"/>
      <c r="I17" s="53">
        <f t="shared" si="1"/>
        <v>6</v>
      </c>
    </row>
    <row r="18" spans="1:9" ht="18" customHeight="1">
      <c r="A18" s="52">
        <v>15</v>
      </c>
      <c r="B18" s="53" t="s">
        <v>1011</v>
      </c>
      <c r="C18" s="143" t="s">
        <v>1016</v>
      </c>
      <c r="D18" s="143"/>
      <c r="E18" s="52">
        <v>14</v>
      </c>
      <c r="F18" s="52"/>
      <c r="G18" s="53">
        <f t="shared" si="0"/>
        <v>14</v>
      </c>
      <c r="H18" s="52"/>
      <c r="I18" s="53">
        <f t="shared" si="1"/>
        <v>14</v>
      </c>
    </row>
    <row r="19" spans="1:9" ht="18" customHeight="1">
      <c r="A19" s="52">
        <v>16</v>
      </c>
      <c r="B19" s="53" t="s">
        <v>1012</v>
      </c>
      <c r="C19" s="143" t="s">
        <v>1017</v>
      </c>
      <c r="D19" s="143"/>
      <c r="E19" s="52">
        <v>1</v>
      </c>
      <c r="F19" s="52"/>
      <c r="G19" s="53">
        <f t="shared" si="0"/>
        <v>1</v>
      </c>
      <c r="H19" s="52"/>
      <c r="I19" s="53">
        <f t="shared" si="1"/>
        <v>1</v>
      </c>
    </row>
    <row r="20" spans="1:9" ht="18" customHeight="1">
      <c r="A20" s="141">
        <v>17</v>
      </c>
      <c r="B20" s="146" t="s">
        <v>1013</v>
      </c>
      <c r="C20" s="147" t="s">
        <v>1018</v>
      </c>
      <c r="D20" s="147"/>
      <c r="E20" s="141">
        <v>1</v>
      </c>
      <c r="F20" s="141"/>
      <c r="G20" s="146">
        <f t="shared" si="0"/>
        <v>1</v>
      </c>
      <c r="H20" s="141"/>
      <c r="I20" s="146">
        <f t="shared" si="1"/>
        <v>1</v>
      </c>
    </row>
    <row r="21" spans="1:9" ht="18" customHeight="1">
      <c r="A21" s="243" t="s">
        <v>1327</v>
      </c>
      <c r="B21" s="244"/>
      <c r="C21" s="244"/>
      <c r="D21" s="244"/>
      <c r="E21" s="244"/>
      <c r="F21" s="244"/>
      <c r="G21" s="244"/>
      <c r="H21" s="244"/>
      <c r="I21" s="245"/>
    </row>
    <row r="22" spans="1:9" ht="14.25" customHeight="1">
      <c r="A22" s="135">
        <v>1</v>
      </c>
      <c r="B22" s="135" t="s">
        <v>1199</v>
      </c>
      <c r="C22" s="163" t="s">
        <v>1200</v>
      </c>
      <c r="D22" s="135" t="s">
        <v>1201</v>
      </c>
      <c r="E22" s="135">
        <v>500</v>
      </c>
      <c r="F22" s="135"/>
      <c r="G22" s="135">
        <v>500</v>
      </c>
      <c r="H22" s="135"/>
      <c r="I22" s="135">
        <v>500</v>
      </c>
    </row>
    <row r="23" spans="1:9" ht="14.25" customHeight="1">
      <c r="A23" s="135">
        <v>2</v>
      </c>
      <c r="B23" s="135" t="s">
        <v>1202</v>
      </c>
      <c r="C23" s="163" t="s">
        <v>1203</v>
      </c>
      <c r="D23" s="135" t="s">
        <v>1201</v>
      </c>
      <c r="E23" s="135">
        <v>45</v>
      </c>
      <c r="F23" s="135"/>
      <c r="G23" s="135">
        <v>45</v>
      </c>
      <c r="H23" s="135"/>
      <c r="I23" s="135">
        <v>45</v>
      </c>
    </row>
    <row r="24" spans="1:9" ht="14.25" customHeight="1">
      <c r="A24" s="135">
        <v>3</v>
      </c>
      <c r="B24" s="135" t="s">
        <v>1204</v>
      </c>
      <c r="C24" s="163" t="s">
        <v>1205</v>
      </c>
      <c r="D24" s="135" t="s">
        <v>1201</v>
      </c>
      <c r="E24" s="135">
        <v>320</v>
      </c>
      <c r="F24" s="135"/>
      <c r="G24" s="135">
        <v>320</v>
      </c>
      <c r="H24" s="135"/>
      <c r="I24" s="135">
        <v>320</v>
      </c>
    </row>
    <row r="25" spans="1:9" ht="14.25" customHeight="1">
      <c r="A25" s="135">
        <v>4</v>
      </c>
      <c r="B25" s="135" t="s">
        <v>1206</v>
      </c>
      <c r="C25" s="163" t="s">
        <v>1207</v>
      </c>
      <c r="D25" s="135" t="s">
        <v>1201</v>
      </c>
      <c r="E25" s="135">
        <v>200</v>
      </c>
      <c r="F25" s="135"/>
      <c r="G25" s="135">
        <v>200</v>
      </c>
      <c r="H25" s="135"/>
      <c r="I25" s="135">
        <v>200</v>
      </c>
    </row>
    <row r="26" spans="1:9" ht="14.25" customHeight="1">
      <c r="A26" s="135">
        <v>5</v>
      </c>
      <c r="B26" s="135" t="s">
        <v>1208</v>
      </c>
      <c r="C26" s="163" t="s">
        <v>1209</v>
      </c>
      <c r="D26" s="135" t="s">
        <v>1201</v>
      </c>
      <c r="E26" s="135">
        <v>100</v>
      </c>
      <c r="F26" s="135"/>
      <c r="G26" s="135">
        <v>100</v>
      </c>
      <c r="H26" s="135"/>
      <c r="I26" s="135">
        <v>100</v>
      </c>
    </row>
    <row r="27" spans="1:9" ht="14.25" customHeight="1">
      <c r="A27" s="135">
        <v>6</v>
      </c>
      <c r="B27" s="135" t="s">
        <v>1210</v>
      </c>
      <c r="C27" s="163" t="s">
        <v>1211</v>
      </c>
      <c r="D27" s="135" t="s">
        <v>1201</v>
      </c>
      <c r="E27" s="135">
        <v>100</v>
      </c>
      <c r="F27" s="135"/>
      <c r="G27" s="135">
        <v>100</v>
      </c>
      <c r="H27" s="135"/>
      <c r="I27" s="135">
        <v>100</v>
      </c>
    </row>
    <row r="28" spans="1:9" ht="14.25" customHeight="1">
      <c r="A28" s="135">
        <v>7</v>
      </c>
      <c r="B28" s="135" t="s">
        <v>1212</v>
      </c>
      <c r="C28" s="163" t="s">
        <v>1213</v>
      </c>
      <c r="D28" s="135" t="s">
        <v>1201</v>
      </c>
      <c r="E28" s="135">
        <v>300</v>
      </c>
      <c r="F28" s="135"/>
      <c r="G28" s="135">
        <v>300</v>
      </c>
      <c r="H28" s="135"/>
      <c r="I28" s="135">
        <v>300</v>
      </c>
    </row>
    <row r="29" spans="1:9" ht="14.25" customHeight="1">
      <c r="A29" s="135">
        <v>8</v>
      </c>
      <c r="B29" s="135" t="s">
        <v>1214</v>
      </c>
      <c r="C29" s="163" t="s">
        <v>1215</v>
      </c>
      <c r="D29" s="135" t="s">
        <v>1201</v>
      </c>
      <c r="E29" s="135">
        <v>250</v>
      </c>
      <c r="F29" s="135"/>
      <c r="G29" s="135">
        <v>250</v>
      </c>
      <c r="H29" s="135"/>
      <c r="I29" s="135">
        <v>250</v>
      </c>
    </row>
    <row r="30" spans="1:9" ht="14.25" customHeight="1">
      <c r="A30" s="135">
        <v>9</v>
      </c>
      <c r="B30" s="135" t="s">
        <v>1216</v>
      </c>
      <c r="C30" s="163" t="s">
        <v>1217</v>
      </c>
      <c r="D30" s="135" t="s">
        <v>1201</v>
      </c>
      <c r="E30" s="135">
        <v>200</v>
      </c>
      <c r="F30" s="135"/>
      <c r="G30" s="135">
        <v>200</v>
      </c>
      <c r="H30" s="135"/>
      <c r="I30" s="135">
        <v>200</v>
      </c>
    </row>
    <row r="31" spans="1:9" ht="14.25" customHeight="1">
      <c r="A31" s="135">
        <v>10</v>
      </c>
      <c r="B31" s="135" t="s">
        <v>1218</v>
      </c>
      <c r="C31" s="163" t="s">
        <v>1219</v>
      </c>
      <c r="D31" s="135" t="s">
        <v>1201</v>
      </c>
      <c r="E31" s="135">
        <v>150</v>
      </c>
      <c r="F31" s="135"/>
      <c r="G31" s="135">
        <v>150</v>
      </c>
      <c r="H31" s="135"/>
      <c r="I31" s="135">
        <v>150</v>
      </c>
    </row>
    <row r="32" spans="1:9" ht="14.25" customHeight="1">
      <c r="A32" s="135">
        <v>11</v>
      </c>
      <c r="B32" s="135" t="s">
        <v>1220</v>
      </c>
      <c r="C32" s="163" t="s">
        <v>1221</v>
      </c>
      <c r="D32" s="135" t="s">
        <v>1201</v>
      </c>
      <c r="E32" s="135">
        <v>100</v>
      </c>
      <c r="F32" s="135"/>
      <c r="G32" s="135">
        <v>100</v>
      </c>
      <c r="H32" s="135"/>
      <c r="I32" s="135">
        <v>100</v>
      </c>
    </row>
    <row r="33" spans="1:9" ht="14.25" customHeight="1">
      <c r="A33" s="135">
        <v>12</v>
      </c>
      <c r="B33" s="135" t="s">
        <v>1222</v>
      </c>
      <c r="C33" s="163" t="s">
        <v>1223</v>
      </c>
      <c r="D33" s="135" t="s">
        <v>1201</v>
      </c>
      <c r="E33" s="135">
        <v>170</v>
      </c>
      <c r="F33" s="135"/>
      <c r="G33" s="135">
        <v>170</v>
      </c>
      <c r="H33" s="135"/>
      <c r="I33" s="135">
        <v>170</v>
      </c>
    </row>
    <row r="34" spans="1:9" ht="14.25" customHeight="1">
      <c r="A34" s="135">
        <v>13</v>
      </c>
      <c r="B34" s="135" t="s">
        <v>1224</v>
      </c>
      <c r="C34" s="163" t="s">
        <v>1225</v>
      </c>
      <c r="D34" s="135" t="s">
        <v>1201</v>
      </c>
      <c r="E34" s="135">
        <v>0</v>
      </c>
      <c r="F34" s="135"/>
      <c r="G34" s="135">
        <v>0</v>
      </c>
      <c r="H34" s="135"/>
      <c r="I34" s="135">
        <v>0</v>
      </c>
    </row>
    <row r="35" spans="1:9" ht="14.25" customHeight="1">
      <c r="A35" s="135">
        <v>14</v>
      </c>
      <c r="B35" s="135" t="s">
        <v>1226</v>
      </c>
      <c r="C35" s="163" t="s">
        <v>1227</v>
      </c>
      <c r="D35" s="135" t="s">
        <v>1201</v>
      </c>
      <c r="E35" s="135">
        <v>100</v>
      </c>
      <c r="F35" s="135"/>
      <c r="G35" s="135">
        <v>100</v>
      </c>
      <c r="H35" s="135"/>
      <c r="I35" s="135">
        <v>100</v>
      </c>
    </row>
    <row r="36" spans="1:9" ht="14.25" customHeight="1">
      <c r="A36" s="135">
        <v>15</v>
      </c>
      <c r="B36" s="135" t="s">
        <v>1228</v>
      </c>
      <c r="C36" s="163" t="s">
        <v>1229</v>
      </c>
      <c r="D36" s="135" t="s">
        <v>1201</v>
      </c>
      <c r="E36" s="135">
        <v>0</v>
      </c>
      <c r="F36" s="135"/>
      <c r="G36" s="135">
        <v>0</v>
      </c>
      <c r="H36" s="135"/>
      <c r="I36" s="135">
        <v>0</v>
      </c>
    </row>
    <row r="37" spans="1:9" ht="14.25" customHeight="1">
      <c r="A37" s="135">
        <v>16</v>
      </c>
      <c r="B37" s="135" t="s">
        <v>1230</v>
      </c>
      <c r="C37" s="163" t="s">
        <v>1326</v>
      </c>
      <c r="D37" s="135" t="s">
        <v>1201</v>
      </c>
      <c r="E37" s="135">
        <v>250</v>
      </c>
      <c r="F37" s="135"/>
      <c r="G37" s="135">
        <v>250</v>
      </c>
      <c r="H37" s="135"/>
      <c r="I37" s="135">
        <v>250</v>
      </c>
    </row>
    <row r="38" spans="1:9" ht="14.25" customHeight="1">
      <c r="A38" s="135">
        <v>17</v>
      </c>
      <c r="B38" s="135" t="s">
        <v>1230</v>
      </c>
      <c r="C38" s="163" t="s">
        <v>1231</v>
      </c>
      <c r="D38" s="135" t="s">
        <v>1201</v>
      </c>
      <c r="E38" s="135">
        <v>20</v>
      </c>
      <c r="F38" s="135"/>
      <c r="G38" s="135">
        <v>20</v>
      </c>
      <c r="H38" s="135"/>
      <c r="I38" s="135">
        <v>20</v>
      </c>
    </row>
    <row r="39" spans="1:9" ht="14.25" customHeight="1">
      <c r="A39" s="52">
        <v>18</v>
      </c>
      <c r="B39" s="53" t="s">
        <v>1232</v>
      </c>
      <c r="C39" s="143" t="s">
        <v>1233</v>
      </c>
      <c r="D39" s="52" t="s">
        <v>1201</v>
      </c>
      <c r="E39" s="52">
        <v>0</v>
      </c>
      <c r="F39" s="52"/>
      <c r="G39" s="53">
        <f t="shared" ref="G39:G92" si="2">SUM(E39:F39)</f>
        <v>0</v>
      </c>
      <c r="H39" s="52"/>
      <c r="I39" s="53">
        <f t="shared" ref="I39:I92" si="3">SUM(G39-H39)</f>
        <v>0</v>
      </c>
    </row>
    <row r="40" spans="1:9" ht="14.25" customHeight="1">
      <c r="A40" s="52">
        <v>19</v>
      </c>
      <c r="B40" s="53" t="s">
        <v>1234</v>
      </c>
      <c r="C40" s="143" t="s">
        <v>1235</v>
      </c>
      <c r="D40" s="52" t="s">
        <v>1201</v>
      </c>
      <c r="E40" s="52">
        <v>0</v>
      </c>
      <c r="F40" s="52"/>
      <c r="G40" s="53">
        <f t="shared" si="2"/>
        <v>0</v>
      </c>
      <c r="H40" s="52"/>
      <c r="I40" s="53">
        <f t="shared" si="3"/>
        <v>0</v>
      </c>
    </row>
    <row r="41" spans="1:9" ht="14.25" customHeight="1">
      <c r="A41" s="52">
        <v>20</v>
      </c>
      <c r="B41" s="53" t="s">
        <v>1236</v>
      </c>
      <c r="C41" s="143" t="s">
        <v>1237</v>
      </c>
      <c r="D41" s="52" t="s">
        <v>1201</v>
      </c>
      <c r="E41" s="52">
        <v>0</v>
      </c>
      <c r="F41" s="52"/>
      <c r="G41" s="53">
        <f t="shared" si="2"/>
        <v>0</v>
      </c>
      <c r="H41" s="52"/>
      <c r="I41" s="53">
        <f t="shared" si="3"/>
        <v>0</v>
      </c>
    </row>
    <row r="42" spans="1:9" ht="14.25" customHeight="1">
      <c r="A42" s="52">
        <v>21</v>
      </c>
      <c r="B42" s="53" t="s">
        <v>1238</v>
      </c>
      <c r="C42" s="143" t="s">
        <v>1239</v>
      </c>
      <c r="D42" s="52" t="s">
        <v>1201</v>
      </c>
      <c r="E42" s="52">
        <v>0</v>
      </c>
      <c r="F42" s="52"/>
      <c r="G42" s="53">
        <f t="shared" si="2"/>
        <v>0</v>
      </c>
      <c r="H42" s="52"/>
      <c r="I42" s="53">
        <f t="shared" si="3"/>
        <v>0</v>
      </c>
    </row>
    <row r="43" spans="1:9" ht="14.25" customHeight="1">
      <c r="A43" s="52">
        <v>22</v>
      </c>
      <c r="B43" s="53" t="s">
        <v>1240</v>
      </c>
      <c r="C43" s="143" t="s">
        <v>1241</v>
      </c>
      <c r="D43" s="52">
        <v>7318</v>
      </c>
      <c r="E43" s="52">
        <v>29</v>
      </c>
      <c r="F43" s="52"/>
      <c r="G43" s="53">
        <f t="shared" si="2"/>
        <v>29</v>
      </c>
      <c r="H43" s="52"/>
      <c r="I43" s="53">
        <f t="shared" si="3"/>
        <v>29</v>
      </c>
    </row>
    <row r="44" spans="1:9" ht="14.25" customHeight="1">
      <c r="A44" s="52">
        <v>23</v>
      </c>
      <c r="B44" s="53" t="s">
        <v>1242</v>
      </c>
      <c r="C44" s="138" t="s">
        <v>1243</v>
      </c>
      <c r="D44" s="52">
        <v>7318</v>
      </c>
      <c r="E44" s="52">
        <v>24</v>
      </c>
      <c r="F44" s="52"/>
      <c r="G44" s="53">
        <f t="shared" si="2"/>
        <v>24</v>
      </c>
      <c r="H44" s="52"/>
      <c r="I44" s="53">
        <f t="shared" si="3"/>
        <v>24</v>
      </c>
    </row>
    <row r="45" spans="1:9" ht="14.25" customHeight="1">
      <c r="A45" s="52">
        <v>24</v>
      </c>
      <c r="B45" s="53" t="s">
        <v>1244</v>
      </c>
      <c r="C45" s="138" t="s">
        <v>1245</v>
      </c>
      <c r="D45" s="52">
        <v>7318</v>
      </c>
      <c r="E45" s="52">
        <v>19</v>
      </c>
      <c r="F45" s="52"/>
      <c r="G45" s="53">
        <f t="shared" si="2"/>
        <v>19</v>
      </c>
      <c r="H45" s="52"/>
      <c r="I45" s="53">
        <f t="shared" si="3"/>
        <v>19</v>
      </c>
    </row>
    <row r="46" spans="1:9" ht="14.25" customHeight="1">
      <c r="A46" s="52">
        <v>25</v>
      </c>
      <c r="B46" s="53" t="s">
        <v>1246</v>
      </c>
      <c r="C46" s="138" t="s">
        <v>1247</v>
      </c>
      <c r="D46" s="52">
        <v>7318</v>
      </c>
      <c r="E46" s="52">
        <v>43</v>
      </c>
      <c r="F46" s="52"/>
      <c r="G46" s="53">
        <f t="shared" si="2"/>
        <v>43</v>
      </c>
      <c r="H46" s="52"/>
      <c r="I46" s="53">
        <f t="shared" si="3"/>
        <v>43</v>
      </c>
    </row>
    <row r="47" spans="1:9" ht="14.25" customHeight="1">
      <c r="A47" s="52">
        <v>26</v>
      </c>
      <c r="B47" s="53" t="s">
        <v>1248</v>
      </c>
      <c r="C47" s="138" t="s">
        <v>1249</v>
      </c>
      <c r="D47" s="52">
        <v>7318</v>
      </c>
      <c r="E47" s="52">
        <f>46+17+24</f>
        <v>87</v>
      </c>
      <c r="F47" s="52"/>
      <c r="G47" s="53">
        <f t="shared" si="2"/>
        <v>87</v>
      </c>
      <c r="H47" s="52"/>
      <c r="I47" s="53">
        <f t="shared" si="3"/>
        <v>87</v>
      </c>
    </row>
    <row r="48" spans="1:9" ht="14.25" customHeight="1">
      <c r="A48" s="52">
        <v>27</v>
      </c>
      <c r="B48" s="53" t="s">
        <v>1250</v>
      </c>
      <c r="C48" s="138" t="s">
        <v>1251</v>
      </c>
      <c r="D48" s="52">
        <v>7318</v>
      </c>
      <c r="E48" s="52">
        <v>28</v>
      </c>
      <c r="F48" s="52"/>
      <c r="G48" s="53">
        <f t="shared" si="2"/>
        <v>28</v>
      </c>
      <c r="H48" s="52"/>
      <c r="I48" s="53">
        <f t="shared" si="3"/>
        <v>28</v>
      </c>
    </row>
    <row r="49" spans="1:9" ht="14.25" customHeight="1">
      <c r="A49" s="52">
        <v>28</v>
      </c>
      <c r="B49" s="53" t="s">
        <v>1252</v>
      </c>
      <c r="C49" s="138" t="s">
        <v>1253</v>
      </c>
      <c r="D49" s="52">
        <v>7318</v>
      </c>
      <c r="E49" s="52">
        <v>21</v>
      </c>
      <c r="F49" s="52"/>
      <c r="G49" s="53">
        <f t="shared" si="2"/>
        <v>21</v>
      </c>
      <c r="H49" s="52"/>
      <c r="I49" s="53">
        <f t="shared" si="3"/>
        <v>21</v>
      </c>
    </row>
    <row r="50" spans="1:9" ht="14.25" customHeight="1">
      <c r="A50" s="52">
        <v>29</v>
      </c>
      <c r="B50" s="53" t="s">
        <v>1254</v>
      </c>
      <c r="C50" s="138" t="s">
        <v>1255</v>
      </c>
      <c r="D50" s="52">
        <v>7318</v>
      </c>
      <c r="E50" s="52">
        <v>36</v>
      </c>
      <c r="F50" s="52"/>
      <c r="G50" s="53">
        <f t="shared" si="2"/>
        <v>36</v>
      </c>
      <c r="H50" s="52"/>
      <c r="I50" s="53">
        <f t="shared" si="3"/>
        <v>36</v>
      </c>
    </row>
    <row r="51" spans="1:9" ht="14.25" customHeight="1">
      <c r="A51" s="52">
        <v>30</v>
      </c>
      <c r="B51" s="53" t="s">
        <v>1256</v>
      </c>
      <c r="C51" s="138" t="s">
        <v>1257</v>
      </c>
      <c r="D51" s="52">
        <v>7318</v>
      </c>
      <c r="E51" s="52">
        <v>20</v>
      </c>
      <c r="F51" s="52"/>
      <c r="G51" s="53">
        <f t="shared" si="2"/>
        <v>20</v>
      </c>
      <c r="H51" s="52"/>
      <c r="I51" s="53">
        <f t="shared" si="3"/>
        <v>20</v>
      </c>
    </row>
    <row r="52" spans="1:9" ht="14.25" customHeight="1">
      <c r="A52" s="52">
        <v>31</v>
      </c>
      <c r="B52" s="53" t="s">
        <v>1258</v>
      </c>
      <c r="C52" s="138" t="s">
        <v>1259</v>
      </c>
      <c r="D52" s="52">
        <v>7318</v>
      </c>
      <c r="E52" s="52">
        <v>11</v>
      </c>
      <c r="F52" s="52"/>
      <c r="G52" s="53">
        <f t="shared" si="2"/>
        <v>11</v>
      </c>
      <c r="H52" s="52"/>
      <c r="I52" s="53">
        <f t="shared" si="3"/>
        <v>11</v>
      </c>
    </row>
    <row r="53" spans="1:9" ht="14.25" customHeight="1">
      <c r="A53" s="52">
        <v>32</v>
      </c>
      <c r="B53" s="53" t="s">
        <v>1260</v>
      </c>
      <c r="C53" s="138" t="s">
        <v>1261</v>
      </c>
      <c r="D53" s="52">
        <v>7318</v>
      </c>
      <c r="E53" s="52">
        <v>72</v>
      </c>
      <c r="F53" s="52"/>
      <c r="G53" s="53">
        <f t="shared" si="2"/>
        <v>72</v>
      </c>
      <c r="H53" s="52"/>
      <c r="I53" s="53">
        <f t="shared" si="3"/>
        <v>72</v>
      </c>
    </row>
    <row r="54" spans="1:9" ht="14.25" customHeight="1">
      <c r="A54" s="52">
        <v>33</v>
      </c>
      <c r="B54" s="53" t="s">
        <v>1262</v>
      </c>
      <c r="C54" s="138" t="s">
        <v>1263</v>
      </c>
      <c r="D54" s="52">
        <v>7318</v>
      </c>
      <c r="E54" s="52">
        <v>63</v>
      </c>
      <c r="F54" s="52"/>
      <c r="G54" s="53">
        <f t="shared" si="2"/>
        <v>63</v>
      </c>
      <c r="H54" s="52"/>
      <c r="I54" s="53">
        <f t="shared" si="3"/>
        <v>63</v>
      </c>
    </row>
    <row r="55" spans="1:9" ht="14.25" customHeight="1">
      <c r="A55" s="52">
        <v>34</v>
      </c>
      <c r="B55" s="53" t="s">
        <v>1264</v>
      </c>
      <c r="C55" s="138" t="s">
        <v>1265</v>
      </c>
      <c r="D55" s="52">
        <v>7318</v>
      </c>
      <c r="E55" s="52">
        <v>30</v>
      </c>
      <c r="F55" s="52"/>
      <c r="G55" s="53">
        <f t="shared" si="2"/>
        <v>30</v>
      </c>
      <c r="H55" s="52"/>
      <c r="I55" s="53">
        <f t="shared" si="3"/>
        <v>30</v>
      </c>
    </row>
    <row r="56" spans="1:9" ht="14.25" customHeight="1">
      <c r="A56" s="52">
        <v>35</v>
      </c>
      <c r="B56" s="53" t="s">
        <v>1266</v>
      </c>
      <c r="C56" s="138" t="s">
        <v>1267</v>
      </c>
      <c r="D56" s="52" t="s">
        <v>1268</v>
      </c>
      <c r="E56" s="52">
        <f>36+39</f>
        <v>75</v>
      </c>
      <c r="F56" s="52"/>
      <c r="G56" s="53">
        <f t="shared" si="2"/>
        <v>75</v>
      </c>
      <c r="H56" s="52"/>
      <c r="I56" s="53">
        <f t="shared" si="3"/>
        <v>75</v>
      </c>
    </row>
    <row r="57" spans="1:9" ht="14.25" customHeight="1">
      <c r="A57" s="52">
        <v>36</v>
      </c>
      <c r="B57" s="53" t="s">
        <v>1269</v>
      </c>
      <c r="C57" s="138" t="s">
        <v>1270</v>
      </c>
      <c r="D57" s="52" t="s">
        <v>1268</v>
      </c>
      <c r="E57" s="52">
        <v>6</v>
      </c>
      <c r="F57" s="52"/>
      <c r="G57" s="53">
        <f t="shared" si="2"/>
        <v>6</v>
      </c>
      <c r="H57" s="52"/>
      <c r="I57" s="53">
        <f t="shared" si="3"/>
        <v>6</v>
      </c>
    </row>
    <row r="58" spans="1:9" ht="14.25" customHeight="1">
      <c r="A58" s="52">
        <v>37</v>
      </c>
      <c r="B58" s="53" t="s">
        <v>1271</v>
      </c>
      <c r="C58" s="138" t="s">
        <v>1414</v>
      </c>
      <c r="D58" s="52" t="s">
        <v>1268</v>
      </c>
      <c r="E58" s="52">
        <v>100</v>
      </c>
      <c r="F58" s="52">
        <v>200</v>
      </c>
      <c r="G58" s="53">
        <f t="shared" si="2"/>
        <v>300</v>
      </c>
      <c r="H58" s="52">
        <v>100</v>
      </c>
      <c r="I58" s="53">
        <f t="shared" si="3"/>
        <v>200</v>
      </c>
    </row>
    <row r="59" spans="1:9" ht="14.25" customHeight="1">
      <c r="A59" s="52">
        <v>38</v>
      </c>
      <c r="B59" s="53" t="s">
        <v>1408</v>
      </c>
      <c r="C59" s="138" t="s">
        <v>1409</v>
      </c>
      <c r="D59" s="52" t="s">
        <v>1268</v>
      </c>
      <c r="E59" s="52">
        <v>50</v>
      </c>
      <c r="F59" s="52"/>
      <c r="G59" s="53">
        <f t="shared" si="2"/>
        <v>50</v>
      </c>
      <c r="H59" s="52">
        <v>32</v>
      </c>
      <c r="I59" s="53">
        <f t="shared" si="3"/>
        <v>18</v>
      </c>
    </row>
    <row r="60" spans="1:9" ht="14.25" customHeight="1">
      <c r="A60" s="52">
        <v>39</v>
      </c>
      <c r="B60" s="53" t="s">
        <v>1272</v>
      </c>
      <c r="C60" s="138" t="s">
        <v>1273</v>
      </c>
      <c r="D60" s="52" t="s">
        <v>1201</v>
      </c>
      <c r="E60" s="52">
        <v>43</v>
      </c>
      <c r="F60" s="52"/>
      <c r="G60" s="53">
        <f t="shared" si="2"/>
        <v>43</v>
      </c>
      <c r="H60" s="52"/>
      <c r="I60" s="53">
        <f t="shared" si="3"/>
        <v>43</v>
      </c>
    </row>
    <row r="61" spans="1:9" ht="14.25" customHeight="1">
      <c r="A61" s="52">
        <v>40</v>
      </c>
      <c r="B61" s="53" t="s">
        <v>1274</v>
      </c>
      <c r="C61" s="138" t="s">
        <v>1275</v>
      </c>
      <c r="D61" s="52" t="s">
        <v>1201</v>
      </c>
      <c r="E61" s="52">
        <v>64</v>
      </c>
      <c r="F61" s="52"/>
      <c r="G61" s="53">
        <f t="shared" si="2"/>
        <v>64</v>
      </c>
      <c r="H61" s="52"/>
      <c r="I61" s="53">
        <f t="shared" si="3"/>
        <v>64</v>
      </c>
    </row>
    <row r="62" spans="1:9" ht="14.25" customHeight="1">
      <c r="A62" s="52">
        <v>41</v>
      </c>
      <c r="B62" s="53" t="s">
        <v>1276</v>
      </c>
      <c r="C62" s="138" t="s">
        <v>1277</v>
      </c>
      <c r="D62" s="52" t="s">
        <v>1201</v>
      </c>
      <c r="E62" s="52">
        <v>64</v>
      </c>
      <c r="F62" s="52"/>
      <c r="G62" s="53">
        <f t="shared" si="2"/>
        <v>64</v>
      </c>
      <c r="H62" s="52">
        <v>8</v>
      </c>
      <c r="I62" s="53">
        <f t="shared" si="3"/>
        <v>56</v>
      </c>
    </row>
    <row r="63" spans="1:9" ht="14.25" customHeight="1">
      <c r="A63" s="52">
        <v>42</v>
      </c>
      <c r="B63" s="53" t="s">
        <v>1278</v>
      </c>
      <c r="C63" s="138" t="s">
        <v>1279</v>
      </c>
      <c r="D63" s="52" t="s">
        <v>1201</v>
      </c>
      <c r="E63" s="52">
        <v>100</v>
      </c>
      <c r="F63" s="52"/>
      <c r="G63" s="53">
        <f t="shared" si="2"/>
        <v>100</v>
      </c>
      <c r="H63" s="52">
        <v>3</v>
      </c>
      <c r="I63" s="53">
        <f t="shared" si="3"/>
        <v>97</v>
      </c>
    </row>
    <row r="64" spans="1:9" ht="14.25" customHeight="1">
      <c r="A64" s="52">
        <v>43</v>
      </c>
      <c r="B64" s="53" t="s">
        <v>1280</v>
      </c>
      <c r="C64" s="138" t="s">
        <v>1281</v>
      </c>
      <c r="D64" s="52" t="s">
        <v>1201</v>
      </c>
      <c r="E64" s="52">
        <v>20</v>
      </c>
      <c r="F64" s="52"/>
      <c r="G64" s="53">
        <f t="shared" si="2"/>
        <v>20</v>
      </c>
      <c r="H64" s="52"/>
      <c r="I64" s="53">
        <f t="shared" si="3"/>
        <v>20</v>
      </c>
    </row>
    <row r="65" spans="1:9" ht="14.25" customHeight="1">
      <c r="A65" s="52">
        <v>44</v>
      </c>
      <c r="B65" s="53" t="s">
        <v>1282</v>
      </c>
      <c r="C65" s="138" t="s">
        <v>1283</v>
      </c>
      <c r="D65" s="52" t="s">
        <v>1201</v>
      </c>
      <c r="E65" s="52">
        <v>60</v>
      </c>
      <c r="F65" s="52"/>
      <c r="G65" s="53">
        <f t="shared" si="2"/>
        <v>60</v>
      </c>
      <c r="H65" s="52"/>
      <c r="I65" s="53">
        <f t="shared" si="3"/>
        <v>60</v>
      </c>
    </row>
    <row r="66" spans="1:9" ht="14.25" customHeight="1">
      <c r="A66" s="52">
        <v>45</v>
      </c>
      <c r="B66" s="53" t="s">
        <v>1284</v>
      </c>
      <c r="C66" s="138" t="s">
        <v>1285</v>
      </c>
      <c r="D66" s="52" t="s">
        <v>1201</v>
      </c>
      <c r="E66" s="52">
        <v>70</v>
      </c>
      <c r="F66" s="52"/>
      <c r="G66" s="53">
        <f t="shared" si="2"/>
        <v>70</v>
      </c>
      <c r="H66" s="52">
        <v>2</v>
      </c>
      <c r="I66" s="53">
        <f t="shared" si="3"/>
        <v>68</v>
      </c>
    </row>
    <row r="67" spans="1:9" ht="14.25" customHeight="1">
      <c r="A67" s="52">
        <v>46</v>
      </c>
      <c r="B67" s="53" t="s">
        <v>1286</v>
      </c>
      <c r="C67" s="138" t="s">
        <v>1287</v>
      </c>
      <c r="D67" s="52" t="s">
        <v>1201</v>
      </c>
      <c r="E67" s="52">
        <v>5</v>
      </c>
      <c r="F67" s="52"/>
      <c r="G67" s="53">
        <f t="shared" si="2"/>
        <v>5</v>
      </c>
      <c r="H67" s="52"/>
      <c r="I67" s="53">
        <f t="shared" si="3"/>
        <v>5</v>
      </c>
    </row>
    <row r="68" spans="1:9" ht="14.25" customHeight="1">
      <c r="A68" s="52">
        <v>47</v>
      </c>
      <c r="B68" s="53" t="s">
        <v>1288</v>
      </c>
      <c r="C68" s="138" t="s">
        <v>1289</v>
      </c>
      <c r="D68" s="52" t="s">
        <v>1201</v>
      </c>
      <c r="E68" s="52">
        <v>100</v>
      </c>
      <c r="F68" s="52"/>
      <c r="G68" s="53">
        <f t="shared" si="2"/>
        <v>100</v>
      </c>
      <c r="H68" s="52"/>
      <c r="I68" s="53">
        <f t="shared" si="3"/>
        <v>100</v>
      </c>
    </row>
    <row r="69" spans="1:9" ht="14.25" customHeight="1">
      <c r="A69" s="52">
        <v>48</v>
      </c>
      <c r="B69" s="53" t="s">
        <v>1290</v>
      </c>
      <c r="C69" s="138" t="s">
        <v>1291</v>
      </c>
      <c r="D69" s="52" t="s">
        <v>1201</v>
      </c>
      <c r="E69" s="52">
        <v>25</v>
      </c>
      <c r="F69" s="52"/>
      <c r="G69" s="53">
        <f t="shared" si="2"/>
        <v>25</v>
      </c>
      <c r="H69" s="52"/>
      <c r="I69" s="53">
        <f t="shared" si="3"/>
        <v>25</v>
      </c>
    </row>
    <row r="70" spans="1:9" ht="14.25" customHeight="1">
      <c r="A70" s="52">
        <v>49</v>
      </c>
      <c r="B70" s="53" t="s">
        <v>1292</v>
      </c>
      <c r="C70" s="138" t="s">
        <v>1293</v>
      </c>
      <c r="D70" s="52" t="s">
        <v>1201</v>
      </c>
      <c r="E70" s="52">
        <v>20</v>
      </c>
      <c r="F70" s="52"/>
      <c r="G70" s="53">
        <f t="shared" si="2"/>
        <v>20</v>
      </c>
      <c r="H70" s="52"/>
      <c r="I70" s="53">
        <f t="shared" si="3"/>
        <v>20</v>
      </c>
    </row>
    <row r="71" spans="1:9" ht="14.25" customHeight="1">
      <c r="A71" s="52">
        <v>50</v>
      </c>
      <c r="B71" s="53" t="s">
        <v>1294</v>
      </c>
      <c r="C71" s="138" t="s">
        <v>1295</v>
      </c>
      <c r="D71" s="52" t="s">
        <v>1201</v>
      </c>
      <c r="E71" s="52">
        <v>15</v>
      </c>
      <c r="F71" s="52"/>
      <c r="G71" s="53">
        <f t="shared" si="2"/>
        <v>15</v>
      </c>
      <c r="H71" s="52"/>
      <c r="I71" s="53">
        <f t="shared" si="3"/>
        <v>15</v>
      </c>
    </row>
    <row r="72" spans="1:9" ht="14.25" customHeight="1">
      <c r="A72" s="52">
        <v>51</v>
      </c>
      <c r="B72" s="53" t="s">
        <v>1296</v>
      </c>
      <c r="C72" s="138" t="s">
        <v>1297</v>
      </c>
      <c r="D72" s="52" t="s">
        <v>1201</v>
      </c>
      <c r="E72" s="52">
        <v>5</v>
      </c>
      <c r="F72" s="52"/>
      <c r="G72" s="53">
        <f t="shared" si="2"/>
        <v>5</v>
      </c>
      <c r="H72" s="52"/>
      <c r="I72" s="53">
        <f t="shared" si="3"/>
        <v>5</v>
      </c>
    </row>
    <row r="73" spans="1:9" ht="14.25" customHeight="1">
      <c r="A73" s="52">
        <v>52</v>
      </c>
      <c r="B73" s="53" t="s">
        <v>1298</v>
      </c>
      <c r="C73" s="138" t="s">
        <v>1299</v>
      </c>
      <c r="D73" s="52" t="s">
        <v>1201</v>
      </c>
      <c r="E73" s="52">
        <v>50</v>
      </c>
      <c r="F73" s="52"/>
      <c r="G73" s="53">
        <f t="shared" si="2"/>
        <v>50</v>
      </c>
      <c r="H73" s="52">
        <v>2</v>
      </c>
      <c r="I73" s="53">
        <f t="shared" si="3"/>
        <v>48</v>
      </c>
    </row>
    <row r="74" spans="1:9" ht="14.25" customHeight="1">
      <c r="A74" s="52">
        <v>53</v>
      </c>
      <c r="B74" s="53" t="s">
        <v>1300</v>
      </c>
      <c r="C74" s="138" t="s">
        <v>1301</v>
      </c>
      <c r="D74" s="52" t="s">
        <v>1201</v>
      </c>
      <c r="E74" s="52">
        <v>30</v>
      </c>
      <c r="F74" s="52"/>
      <c r="G74" s="53">
        <f t="shared" si="2"/>
        <v>30</v>
      </c>
      <c r="H74" s="52"/>
      <c r="I74" s="53">
        <f t="shared" si="3"/>
        <v>30</v>
      </c>
    </row>
    <row r="75" spans="1:9" ht="14.25" customHeight="1">
      <c r="A75" s="52">
        <v>54</v>
      </c>
      <c r="B75" s="53" t="s">
        <v>1302</v>
      </c>
      <c r="C75" s="138" t="s">
        <v>1303</v>
      </c>
      <c r="D75" s="52" t="s">
        <v>1201</v>
      </c>
      <c r="E75" s="52">
        <v>30</v>
      </c>
      <c r="F75" s="52"/>
      <c r="G75" s="53">
        <f t="shared" si="2"/>
        <v>30</v>
      </c>
      <c r="H75" s="52"/>
      <c r="I75" s="53">
        <f t="shared" si="3"/>
        <v>30</v>
      </c>
    </row>
    <row r="76" spans="1:9" ht="14.25" customHeight="1">
      <c r="A76" s="52">
        <v>55</v>
      </c>
      <c r="B76" s="53" t="s">
        <v>1304</v>
      </c>
      <c r="C76" s="138" t="s">
        <v>1305</v>
      </c>
      <c r="D76" s="52" t="s">
        <v>1201</v>
      </c>
      <c r="E76" s="52">
        <v>30</v>
      </c>
      <c r="F76" s="52"/>
      <c r="G76" s="53">
        <f t="shared" si="2"/>
        <v>30</v>
      </c>
      <c r="H76" s="52"/>
      <c r="I76" s="53">
        <f t="shared" si="3"/>
        <v>30</v>
      </c>
    </row>
    <row r="77" spans="1:9" ht="14.25" customHeight="1">
      <c r="A77" s="52">
        <v>56</v>
      </c>
      <c r="B77" s="53" t="s">
        <v>1306</v>
      </c>
      <c r="C77" s="138" t="s">
        <v>1307</v>
      </c>
      <c r="D77" s="52" t="s">
        <v>1201</v>
      </c>
      <c r="E77" s="52">
        <v>25</v>
      </c>
      <c r="F77" s="52"/>
      <c r="G77" s="53">
        <f t="shared" si="2"/>
        <v>25</v>
      </c>
      <c r="H77" s="52"/>
      <c r="I77" s="53">
        <f t="shared" si="3"/>
        <v>25</v>
      </c>
    </row>
    <row r="78" spans="1:9" ht="14.25" customHeight="1">
      <c r="A78" s="52">
        <v>57</v>
      </c>
      <c r="B78" s="53" t="s">
        <v>1308</v>
      </c>
      <c r="C78" s="138" t="s">
        <v>1309</v>
      </c>
      <c r="D78" s="52" t="s">
        <v>1201</v>
      </c>
      <c r="E78" s="52">
        <v>25</v>
      </c>
      <c r="F78" s="52"/>
      <c r="G78" s="53">
        <f t="shared" si="2"/>
        <v>25</v>
      </c>
      <c r="H78" s="52"/>
      <c r="I78" s="53">
        <f t="shared" si="3"/>
        <v>25</v>
      </c>
    </row>
    <row r="79" spans="1:9" ht="14.25" customHeight="1">
      <c r="A79" s="52">
        <v>58</v>
      </c>
      <c r="B79" s="53" t="s">
        <v>1310</v>
      </c>
      <c r="C79" s="138" t="s">
        <v>1311</v>
      </c>
      <c r="D79" s="52" t="s">
        <v>1201</v>
      </c>
      <c r="E79" s="52">
        <v>50</v>
      </c>
      <c r="F79" s="52"/>
      <c r="G79" s="53">
        <f t="shared" si="2"/>
        <v>50</v>
      </c>
      <c r="H79" s="52"/>
      <c r="I79" s="53">
        <f t="shared" si="3"/>
        <v>50</v>
      </c>
    </row>
    <row r="80" spans="1:9" ht="14.25" customHeight="1">
      <c r="A80" s="52">
        <v>59</v>
      </c>
      <c r="B80" s="53" t="s">
        <v>1392</v>
      </c>
      <c r="C80" s="138" t="s">
        <v>1393</v>
      </c>
      <c r="D80" s="52" t="s">
        <v>1201</v>
      </c>
      <c r="E80" s="52">
        <v>25</v>
      </c>
      <c r="F80" s="52"/>
      <c r="G80" s="53">
        <f t="shared" si="2"/>
        <v>25</v>
      </c>
      <c r="H80" s="52"/>
      <c r="I80" s="53">
        <f t="shared" si="3"/>
        <v>25</v>
      </c>
    </row>
    <row r="81" spans="1:9" ht="14.25" customHeight="1">
      <c r="A81" s="52">
        <v>60</v>
      </c>
      <c r="B81" s="53" t="s">
        <v>1394</v>
      </c>
      <c r="C81" s="138" t="s">
        <v>1395</v>
      </c>
      <c r="D81" s="52" t="s">
        <v>1201</v>
      </c>
      <c r="E81" s="52">
        <v>32</v>
      </c>
      <c r="F81" s="52"/>
      <c r="G81" s="53">
        <f t="shared" si="2"/>
        <v>32</v>
      </c>
      <c r="H81" s="52"/>
      <c r="I81" s="53">
        <f t="shared" si="3"/>
        <v>32</v>
      </c>
    </row>
    <row r="82" spans="1:9" ht="14.25" customHeight="1">
      <c r="A82" s="52">
        <v>61</v>
      </c>
      <c r="B82" s="53" t="s">
        <v>1396</v>
      </c>
      <c r="C82" s="138" t="s">
        <v>1397</v>
      </c>
      <c r="D82" s="52" t="s">
        <v>1201</v>
      </c>
      <c r="E82" s="52">
        <v>50</v>
      </c>
      <c r="F82" s="52"/>
      <c r="G82" s="53">
        <f t="shared" si="2"/>
        <v>50</v>
      </c>
      <c r="H82" s="52"/>
      <c r="I82" s="53">
        <f t="shared" si="3"/>
        <v>50</v>
      </c>
    </row>
    <row r="83" spans="1:9" ht="14.25" customHeight="1">
      <c r="A83" s="52">
        <v>62</v>
      </c>
      <c r="B83" s="53" t="s">
        <v>1312</v>
      </c>
      <c r="C83" s="143" t="s">
        <v>1313</v>
      </c>
      <c r="D83" s="52" t="s">
        <v>1201</v>
      </c>
      <c r="E83" s="52">
        <v>17</v>
      </c>
      <c r="F83" s="52"/>
      <c r="G83" s="53">
        <f t="shared" si="2"/>
        <v>17</v>
      </c>
      <c r="H83" s="52"/>
      <c r="I83" s="53">
        <f t="shared" si="3"/>
        <v>17</v>
      </c>
    </row>
    <row r="84" spans="1:9" ht="14.25" customHeight="1">
      <c r="A84" s="52">
        <v>63</v>
      </c>
      <c r="B84" s="53" t="s">
        <v>1314</v>
      </c>
      <c r="C84" s="143" t="s">
        <v>1315</v>
      </c>
      <c r="D84" s="52" t="s">
        <v>1201</v>
      </c>
      <c r="E84" s="52">
        <v>8</v>
      </c>
      <c r="F84" s="52"/>
      <c r="G84" s="53">
        <f t="shared" si="2"/>
        <v>8</v>
      </c>
      <c r="H84" s="52"/>
      <c r="I84" s="53">
        <f t="shared" si="3"/>
        <v>8</v>
      </c>
    </row>
    <row r="85" spans="1:9" ht="14.25" customHeight="1">
      <c r="A85" s="52">
        <v>64</v>
      </c>
      <c r="B85" s="53" t="s">
        <v>1316</v>
      </c>
      <c r="C85" s="143" t="s">
        <v>1317</v>
      </c>
      <c r="D85" s="52" t="s">
        <v>1201</v>
      </c>
      <c r="E85" s="52">
        <v>10</v>
      </c>
      <c r="F85" s="52"/>
      <c r="G85" s="53">
        <f t="shared" si="2"/>
        <v>10</v>
      </c>
      <c r="H85" s="52"/>
      <c r="I85" s="53">
        <f t="shared" si="3"/>
        <v>10</v>
      </c>
    </row>
    <row r="86" spans="1:9" ht="14.25" customHeight="1">
      <c r="A86" s="52">
        <v>65</v>
      </c>
      <c r="B86" s="53" t="s">
        <v>1318</v>
      </c>
      <c r="C86" s="143" t="s">
        <v>1319</v>
      </c>
      <c r="D86" s="52" t="s">
        <v>1201</v>
      </c>
      <c r="E86" s="52">
        <v>7</v>
      </c>
      <c r="F86" s="52"/>
      <c r="G86" s="53">
        <f t="shared" si="2"/>
        <v>7</v>
      </c>
      <c r="H86" s="52"/>
      <c r="I86" s="53">
        <f t="shared" si="3"/>
        <v>7</v>
      </c>
    </row>
    <row r="87" spans="1:9" ht="14.25" customHeight="1">
      <c r="A87" s="52">
        <v>66</v>
      </c>
      <c r="B87" s="53" t="s">
        <v>1320</v>
      </c>
      <c r="C87" s="143" t="s">
        <v>1321</v>
      </c>
      <c r="D87" s="52" t="s">
        <v>1201</v>
      </c>
      <c r="E87" s="52">
        <v>6</v>
      </c>
      <c r="F87" s="52"/>
      <c r="G87" s="53">
        <f t="shared" si="2"/>
        <v>6</v>
      </c>
      <c r="H87" s="52"/>
      <c r="I87" s="53">
        <f t="shared" si="3"/>
        <v>6</v>
      </c>
    </row>
    <row r="88" spans="1:9" ht="14.25" customHeight="1">
      <c r="A88" s="52">
        <v>67</v>
      </c>
      <c r="B88" s="53" t="s">
        <v>1322</v>
      </c>
      <c r="C88" s="143" t="s">
        <v>1323</v>
      </c>
      <c r="D88" s="145" t="s">
        <v>1324</v>
      </c>
      <c r="E88" s="52">
        <v>1</v>
      </c>
      <c r="F88" s="52"/>
      <c r="G88" s="53">
        <f t="shared" si="2"/>
        <v>1</v>
      </c>
      <c r="H88" s="52"/>
      <c r="I88" s="53">
        <f t="shared" si="3"/>
        <v>1</v>
      </c>
    </row>
    <row r="89" spans="1:9">
      <c r="A89" s="53">
        <v>68</v>
      </c>
      <c r="B89" s="53" t="s">
        <v>1322</v>
      </c>
      <c r="C89" s="143" t="s">
        <v>1325</v>
      </c>
      <c r="D89" s="145" t="s">
        <v>1324</v>
      </c>
      <c r="E89" s="52">
        <v>4</v>
      </c>
      <c r="F89" s="52"/>
      <c r="G89" s="53">
        <f t="shared" si="2"/>
        <v>4</v>
      </c>
      <c r="H89" s="52"/>
      <c r="I89" s="53">
        <f t="shared" si="3"/>
        <v>4</v>
      </c>
    </row>
    <row r="90" spans="1:9">
      <c r="A90" s="53">
        <v>69</v>
      </c>
      <c r="B90" s="53" t="s">
        <v>1410</v>
      </c>
      <c r="C90" s="143" t="s">
        <v>1411</v>
      </c>
      <c r="D90" s="129"/>
      <c r="E90" s="52"/>
      <c r="F90" s="129"/>
      <c r="G90" s="53">
        <f t="shared" si="2"/>
        <v>0</v>
      </c>
      <c r="H90" s="129">
        <v>2</v>
      </c>
      <c r="I90" s="53">
        <f t="shared" si="3"/>
        <v>-2</v>
      </c>
    </row>
    <row r="91" spans="1:9">
      <c r="A91" s="53">
        <v>70</v>
      </c>
      <c r="B91" s="53" t="s">
        <v>1412</v>
      </c>
      <c r="C91" s="143" t="s">
        <v>1413</v>
      </c>
      <c r="D91" s="129"/>
      <c r="E91" s="52"/>
      <c r="F91" s="129"/>
      <c r="G91" s="53">
        <f t="shared" si="2"/>
        <v>0</v>
      </c>
      <c r="H91" s="129"/>
      <c r="I91" s="53">
        <f t="shared" si="3"/>
        <v>0</v>
      </c>
    </row>
    <row r="92" spans="1:9">
      <c r="A92" s="53">
        <v>71</v>
      </c>
      <c r="B92" s="53" t="s">
        <v>1421</v>
      </c>
      <c r="C92" s="180" t="s">
        <v>1424</v>
      </c>
      <c r="D92" s="129">
        <v>2710</v>
      </c>
      <c r="E92" s="52">
        <v>2</v>
      </c>
      <c r="F92" s="129">
        <v>0</v>
      </c>
      <c r="G92" s="53">
        <f t="shared" si="2"/>
        <v>2</v>
      </c>
      <c r="H92" s="129">
        <v>2</v>
      </c>
      <c r="I92" s="53">
        <f t="shared" si="3"/>
        <v>0</v>
      </c>
    </row>
    <row r="93" spans="1:9">
      <c r="A93" s="53">
        <v>72</v>
      </c>
      <c r="B93" s="53" t="s">
        <v>1423</v>
      </c>
      <c r="C93" s="180" t="s">
        <v>1422</v>
      </c>
      <c r="D93" s="129">
        <v>2710</v>
      </c>
      <c r="E93" s="52">
        <v>0</v>
      </c>
      <c r="F93" s="129">
        <v>20</v>
      </c>
      <c r="G93" s="53">
        <f t="shared" ref="G93:G101" si="4">SUM(E93:F93)</f>
        <v>20</v>
      </c>
      <c r="H93" s="129">
        <v>4</v>
      </c>
      <c r="I93" s="53">
        <f t="shared" ref="I93:I101" si="5">SUM(G93-H93)</f>
        <v>16</v>
      </c>
    </row>
    <row r="94" spans="1:9">
      <c r="A94" s="53">
        <v>73</v>
      </c>
      <c r="B94" s="135" t="s">
        <v>1425</v>
      </c>
      <c r="C94" s="163" t="s">
        <v>1426</v>
      </c>
      <c r="D94" s="154"/>
      <c r="E94" s="161"/>
      <c r="F94" s="135">
        <v>1</v>
      </c>
      <c r="G94" s="162">
        <f t="shared" si="4"/>
        <v>1</v>
      </c>
      <c r="H94" s="129"/>
      <c r="I94" s="53">
        <f t="shared" si="5"/>
        <v>1</v>
      </c>
    </row>
    <row r="95" spans="1:9">
      <c r="A95" s="164">
        <v>74</v>
      </c>
      <c r="B95" s="135" t="s">
        <v>1427</v>
      </c>
      <c r="C95" s="163" t="s">
        <v>1428</v>
      </c>
      <c r="D95" s="154"/>
      <c r="E95" s="161"/>
      <c r="F95" s="135">
        <v>25</v>
      </c>
      <c r="G95" s="162">
        <f t="shared" si="4"/>
        <v>25</v>
      </c>
      <c r="H95" s="129"/>
      <c r="I95" s="53">
        <f t="shared" si="5"/>
        <v>25</v>
      </c>
    </row>
    <row r="96" spans="1:9">
      <c r="A96" s="53">
        <v>75</v>
      </c>
      <c r="B96" s="135" t="s">
        <v>1429</v>
      </c>
      <c r="C96" s="163" t="s">
        <v>1430</v>
      </c>
      <c r="D96" s="154"/>
      <c r="E96" s="161"/>
      <c r="F96" s="135">
        <v>25</v>
      </c>
      <c r="G96" s="162">
        <f t="shared" si="4"/>
        <v>25</v>
      </c>
      <c r="H96" s="129"/>
      <c r="I96" s="53">
        <f t="shared" si="5"/>
        <v>25</v>
      </c>
    </row>
    <row r="97" spans="1:9">
      <c r="A97" s="53">
        <v>76</v>
      </c>
      <c r="B97" s="135" t="s">
        <v>1431</v>
      </c>
      <c r="C97" s="163" t="s">
        <v>1432</v>
      </c>
      <c r="D97" s="154"/>
      <c r="E97" s="161">
        <v>2</v>
      </c>
      <c r="F97" s="135">
        <v>84</v>
      </c>
      <c r="G97" s="162">
        <f t="shared" si="4"/>
        <v>86</v>
      </c>
      <c r="H97" s="129">
        <v>4</v>
      </c>
      <c r="I97" s="53">
        <f t="shared" si="5"/>
        <v>82</v>
      </c>
    </row>
    <row r="98" spans="1:9">
      <c r="A98" s="53">
        <v>77</v>
      </c>
      <c r="B98" s="129" t="s">
        <v>1433</v>
      </c>
      <c r="C98" s="130" t="s">
        <v>1434</v>
      </c>
      <c r="D98" s="154"/>
      <c r="E98" s="161"/>
      <c r="F98" s="129">
        <v>1</v>
      </c>
      <c r="G98" s="162">
        <f t="shared" si="4"/>
        <v>1</v>
      </c>
      <c r="H98" s="129"/>
      <c r="I98" s="53">
        <f t="shared" si="5"/>
        <v>1</v>
      </c>
    </row>
    <row r="99" spans="1:9">
      <c r="A99" s="53">
        <v>78</v>
      </c>
      <c r="B99" s="129" t="s">
        <v>1436</v>
      </c>
      <c r="C99" s="154" t="s">
        <v>1435</v>
      </c>
      <c r="D99" s="154"/>
      <c r="E99" s="52"/>
      <c r="F99" s="129"/>
      <c r="G99" s="162">
        <f t="shared" si="4"/>
        <v>0</v>
      </c>
      <c r="H99" s="129">
        <v>1</v>
      </c>
      <c r="I99" s="53">
        <f t="shared" si="5"/>
        <v>-1</v>
      </c>
    </row>
    <row r="100" spans="1:9">
      <c r="A100" s="53">
        <v>79</v>
      </c>
      <c r="B100" s="129" t="s">
        <v>1437</v>
      </c>
      <c r="C100" s="154" t="s">
        <v>1438</v>
      </c>
      <c r="D100" s="154"/>
      <c r="E100" s="52"/>
      <c r="F100" s="129"/>
      <c r="G100" s="162">
        <f t="shared" si="4"/>
        <v>0</v>
      </c>
      <c r="H100" s="129"/>
      <c r="I100" s="53">
        <f t="shared" si="5"/>
        <v>0</v>
      </c>
    </row>
    <row r="101" spans="1:9">
      <c r="A101" s="53">
        <v>80</v>
      </c>
      <c r="B101" s="129" t="s">
        <v>1562</v>
      </c>
      <c r="C101" s="154" t="s">
        <v>1563</v>
      </c>
      <c r="D101" s="154"/>
      <c r="E101" s="52"/>
      <c r="F101" s="129"/>
      <c r="G101" s="162">
        <f t="shared" si="4"/>
        <v>0</v>
      </c>
      <c r="H101" s="129">
        <v>1</v>
      </c>
      <c r="I101" s="53">
        <f t="shared" si="5"/>
        <v>-1</v>
      </c>
    </row>
    <row r="102" spans="1:9">
      <c r="A102" s="53">
        <v>81</v>
      </c>
      <c r="B102" s="129" t="s">
        <v>1575</v>
      </c>
      <c r="C102" s="154" t="s">
        <v>1576</v>
      </c>
      <c r="D102" s="154"/>
      <c r="E102" s="52"/>
      <c r="F102" s="129">
        <v>6</v>
      </c>
      <c r="G102" s="53">
        <f t="shared" ref="G102" si="6">SUM(E102:F102)</f>
        <v>6</v>
      </c>
      <c r="H102" s="129">
        <v>1</v>
      </c>
      <c r="I102" s="53">
        <f t="shared" ref="I102" si="7">SUM(G102-H102)</f>
        <v>5</v>
      </c>
    </row>
    <row r="103" spans="1:9">
      <c r="A103" s="53">
        <v>82</v>
      </c>
      <c r="B103" s="151" t="s">
        <v>1591</v>
      </c>
      <c r="C103" s="23" t="s">
        <v>1592</v>
      </c>
      <c r="D103" s="154"/>
      <c r="E103" s="52">
        <v>0</v>
      </c>
      <c r="F103" s="129">
        <v>6</v>
      </c>
      <c r="G103" s="53">
        <f t="shared" ref="G103:G104" si="8">SUM(E103:F103)</f>
        <v>6</v>
      </c>
      <c r="H103" s="129">
        <v>2</v>
      </c>
      <c r="I103" s="53">
        <f t="shared" ref="I103:I104" si="9">SUM(G103-H103)</f>
        <v>4</v>
      </c>
    </row>
    <row r="104" spans="1:9">
      <c r="A104" s="53">
        <v>83</v>
      </c>
      <c r="B104" s="151" t="s">
        <v>1593</v>
      </c>
      <c r="C104" s="193" t="s">
        <v>1594</v>
      </c>
      <c r="D104" s="154"/>
      <c r="E104" s="52">
        <v>0</v>
      </c>
      <c r="F104" s="129"/>
      <c r="G104" s="53">
        <f t="shared" si="8"/>
        <v>0</v>
      </c>
      <c r="H104" s="129">
        <v>1</v>
      </c>
      <c r="I104" s="53">
        <f t="shared" si="9"/>
        <v>-1</v>
      </c>
    </row>
    <row r="105" spans="1:9">
      <c r="A105" s="53">
        <v>84</v>
      </c>
      <c r="B105" s="151" t="s">
        <v>1595</v>
      </c>
      <c r="C105" s="193" t="s">
        <v>1596</v>
      </c>
      <c r="D105" s="154"/>
      <c r="E105" s="52">
        <v>0</v>
      </c>
      <c r="F105" s="129"/>
      <c r="G105" s="53">
        <f t="shared" ref="G105" si="10">SUM(E105:F105)</f>
        <v>0</v>
      </c>
      <c r="H105" s="129">
        <v>1</v>
      </c>
      <c r="I105" s="53">
        <f t="shared" ref="I105" si="11">SUM(G105-H105)</f>
        <v>-1</v>
      </c>
    </row>
  </sheetData>
  <mergeCells count="2">
    <mergeCell ref="A2:I2"/>
    <mergeCell ref="A21:I21"/>
  </mergeCells>
  <pageMargins left="0.73" right="0.41" top="0.35433070866141736" bottom="0.35433070866141736" header="0.31496062992125984" footer="0.31496062992125984"/>
  <pageSetup paperSize="9" orientation="portrait" r:id="rId1"/>
  <ignoredErrors>
    <ignoredError sqref="G92:G93" formulaRange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2:I56"/>
  <sheetViews>
    <sheetView topLeftCell="A46" workbookViewId="0">
      <selection activeCell="C8" sqref="C8"/>
    </sheetView>
  </sheetViews>
  <sheetFormatPr defaultRowHeight="15"/>
  <cols>
    <col min="1" max="1" width="5.28515625" bestFit="1" customWidth="1"/>
    <col min="2" max="2" width="11.140625" bestFit="1" customWidth="1"/>
    <col min="3" max="3" width="57.42578125" bestFit="1" customWidth="1"/>
    <col min="4" max="4" width="8.85546875" hidden="1" customWidth="1"/>
    <col min="5" max="5" width="0" hidden="1" customWidth="1"/>
    <col min="6" max="6" width="0" style="150" hidden="1" customWidth="1"/>
  </cols>
  <sheetData>
    <row r="2" spans="1:9" ht="15.75">
      <c r="A2" s="246" t="s">
        <v>1052</v>
      </c>
      <c r="B2" s="246"/>
      <c r="C2" s="246"/>
      <c r="D2" s="246"/>
    </row>
    <row r="3" spans="1:9" ht="15.75">
      <c r="A3" s="82"/>
      <c r="B3" s="82"/>
      <c r="C3" s="82"/>
      <c r="D3" s="82"/>
    </row>
    <row r="4" spans="1:9" s="25" customFormat="1" ht="25.5">
      <c r="A4" s="94" t="s">
        <v>404</v>
      </c>
      <c r="B4" s="95" t="s">
        <v>232</v>
      </c>
      <c r="C4" s="94" t="s">
        <v>1</v>
      </c>
      <c r="D4" s="95" t="s">
        <v>233</v>
      </c>
      <c r="E4" s="137" t="s">
        <v>218</v>
      </c>
      <c r="F4" s="137" t="s">
        <v>770</v>
      </c>
      <c r="G4" s="137" t="s">
        <v>219</v>
      </c>
    </row>
    <row r="5" spans="1:9" s="17" customFormat="1" ht="21.75" customHeight="1">
      <c r="A5" s="46">
        <v>1</v>
      </c>
      <c r="B5" s="46" t="s">
        <v>786</v>
      </c>
      <c r="C5" s="81" t="s">
        <v>821</v>
      </c>
      <c r="D5" s="46">
        <v>0</v>
      </c>
      <c r="E5" s="16"/>
      <c r="F5" s="24"/>
      <c r="G5" s="16">
        <f>SUM(D5+E5-F5)</f>
        <v>0</v>
      </c>
    </row>
    <row r="6" spans="1:9" s="17" customFormat="1" ht="21.75" customHeight="1">
      <c r="A6" s="46">
        <v>2</v>
      </c>
      <c r="B6" s="46" t="s">
        <v>787</v>
      </c>
      <c r="C6" s="81" t="s">
        <v>1615</v>
      </c>
      <c r="D6" s="46">
        <v>12</v>
      </c>
      <c r="E6" s="16"/>
      <c r="F6" s="24"/>
      <c r="G6" s="16">
        <f t="shared" ref="G6:G56" si="0">SUM(D6+E6-F6)</f>
        <v>12</v>
      </c>
    </row>
    <row r="7" spans="1:9" s="17" customFormat="1" ht="21.75" customHeight="1">
      <c r="A7" s="46">
        <v>3</v>
      </c>
      <c r="B7" s="46" t="s">
        <v>788</v>
      </c>
      <c r="C7" s="81" t="s">
        <v>1616</v>
      </c>
      <c r="D7" s="46">
        <v>1</v>
      </c>
      <c r="E7" s="16"/>
      <c r="F7" s="24"/>
      <c r="G7" s="16">
        <f t="shared" si="0"/>
        <v>1</v>
      </c>
      <c r="H7" s="83"/>
      <c r="I7" s="83"/>
    </row>
    <row r="8" spans="1:9" s="17" customFormat="1" ht="21.75" customHeight="1">
      <c r="A8" s="46">
        <v>4</v>
      </c>
      <c r="B8" s="46" t="s">
        <v>789</v>
      </c>
      <c r="C8" s="81" t="s">
        <v>822</v>
      </c>
      <c r="D8" s="46">
        <v>0</v>
      </c>
      <c r="E8" s="16"/>
      <c r="F8" s="24"/>
      <c r="G8" s="16">
        <f t="shared" si="0"/>
        <v>0</v>
      </c>
      <c r="H8" s="83"/>
      <c r="I8" s="83"/>
    </row>
    <row r="9" spans="1:9" s="17" customFormat="1" ht="21.75" customHeight="1">
      <c r="A9" s="46">
        <v>5</v>
      </c>
      <c r="B9" s="46" t="s">
        <v>790</v>
      </c>
      <c r="C9" s="81" t="s">
        <v>823</v>
      </c>
      <c r="D9" s="46">
        <v>4</v>
      </c>
      <c r="E9" s="16"/>
      <c r="F9" s="24"/>
      <c r="G9" s="16">
        <f t="shared" si="0"/>
        <v>4</v>
      </c>
      <c r="H9" s="83"/>
      <c r="I9" s="83"/>
    </row>
    <row r="10" spans="1:9" s="17" customFormat="1" ht="21.75" customHeight="1">
      <c r="A10" s="46">
        <v>6</v>
      </c>
      <c r="B10" s="46" t="s">
        <v>791</v>
      </c>
      <c r="C10" s="81" t="s">
        <v>824</v>
      </c>
      <c r="D10" s="46">
        <v>4</v>
      </c>
      <c r="E10" s="16"/>
      <c r="F10" s="24"/>
      <c r="G10" s="16">
        <f t="shared" si="0"/>
        <v>4</v>
      </c>
      <c r="H10" s="83"/>
      <c r="I10" s="83"/>
    </row>
    <row r="11" spans="1:9" s="17" customFormat="1" ht="21.75" customHeight="1">
      <c r="A11" s="46">
        <v>7</v>
      </c>
      <c r="B11" s="46" t="s">
        <v>792</v>
      </c>
      <c r="C11" s="81" t="s">
        <v>825</v>
      </c>
      <c r="D11" s="46">
        <v>1</v>
      </c>
      <c r="E11" s="16"/>
      <c r="F11" s="24"/>
      <c r="G11" s="16">
        <f t="shared" si="0"/>
        <v>1</v>
      </c>
      <c r="H11" s="83"/>
      <c r="I11" s="83"/>
    </row>
    <row r="12" spans="1:9" s="17" customFormat="1" ht="21.75" customHeight="1">
      <c r="A12" s="46">
        <v>8</v>
      </c>
      <c r="B12" s="46" t="s">
        <v>793</v>
      </c>
      <c r="C12" s="81" t="s">
        <v>826</v>
      </c>
      <c r="D12" s="46">
        <v>7</v>
      </c>
      <c r="E12" s="16"/>
      <c r="F12" s="24"/>
      <c r="G12" s="16">
        <f t="shared" si="0"/>
        <v>7</v>
      </c>
      <c r="H12" s="83"/>
      <c r="I12" s="83"/>
    </row>
    <row r="13" spans="1:9" s="17" customFormat="1" ht="21.75" customHeight="1">
      <c r="A13" s="46">
        <v>9</v>
      </c>
      <c r="B13" s="46" t="s">
        <v>794</v>
      </c>
      <c r="C13" s="81" t="s">
        <v>827</v>
      </c>
      <c r="D13" s="46">
        <v>1</v>
      </c>
      <c r="E13" s="16"/>
      <c r="F13" s="24"/>
      <c r="G13" s="16">
        <f t="shared" si="0"/>
        <v>1</v>
      </c>
      <c r="H13" s="83"/>
      <c r="I13" s="83"/>
    </row>
    <row r="14" spans="1:9" s="17" customFormat="1" ht="21.75" customHeight="1">
      <c r="A14" s="46">
        <v>10</v>
      </c>
      <c r="B14" s="46" t="s">
        <v>795</v>
      </c>
      <c r="C14" s="81" t="s">
        <v>991</v>
      </c>
      <c r="D14" s="46">
        <v>2</v>
      </c>
      <c r="E14" s="16"/>
      <c r="F14" s="24"/>
      <c r="G14" s="16">
        <f t="shared" si="0"/>
        <v>2</v>
      </c>
      <c r="H14" s="83"/>
      <c r="I14" s="83"/>
    </row>
    <row r="15" spans="1:9" s="17" customFormat="1" ht="21.75" customHeight="1">
      <c r="A15" s="46">
        <v>11</v>
      </c>
      <c r="B15" s="46" t="s">
        <v>796</v>
      </c>
      <c r="C15" s="81" t="s">
        <v>990</v>
      </c>
      <c r="D15" s="46">
        <v>4</v>
      </c>
      <c r="E15" s="16"/>
      <c r="F15" s="24"/>
      <c r="G15" s="16">
        <f t="shared" si="0"/>
        <v>4</v>
      </c>
      <c r="H15" s="83"/>
      <c r="I15" s="83"/>
    </row>
    <row r="16" spans="1:9" s="17" customFormat="1" ht="21.75" customHeight="1">
      <c r="A16" s="46">
        <v>12</v>
      </c>
      <c r="B16" s="46" t="s">
        <v>797</v>
      </c>
      <c r="C16" s="81" t="s">
        <v>836</v>
      </c>
      <c r="D16" s="46">
        <v>3</v>
      </c>
      <c r="E16" s="16"/>
      <c r="F16" s="24"/>
      <c r="G16" s="16">
        <f t="shared" si="0"/>
        <v>3</v>
      </c>
      <c r="H16" s="83"/>
      <c r="I16" s="83"/>
    </row>
    <row r="17" spans="1:9" s="17" customFormat="1" ht="21.75" customHeight="1">
      <c r="A17" s="46">
        <v>13</v>
      </c>
      <c r="B17" s="46" t="s">
        <v>798</v>
      </c>
      <c r="C17" s="81" t="s">
        <v>992</v>
      </c>
      <c r="D17" s="46">
        <v>1</v>
      </c>
      <c r="E17" s="16"/>
      <c r="F17" s="24"/>
      <c r="G17" s="16">
        <f t="shared" si="0"/>
        <v>1</v>
      </c>
      <c r="H17" s="83"/>
      <c r="I17" s="83"/>
    </row>
    <row r="18" spans="1:9" s="17" customFormat="1" ht="21.75" customHeight="1">
      <c r="A18" s="46">
        <v>14</v>
      </c>
      <c r="B18" s="46" t="s">
        <v>799</v>
      </c>
      <c r="C18" s="81" t="s">
        <v>993</v>
      </c>
      <c r="D18" s="46">
        <v>17</v>
      </c>
      <c r="E18" s="16"/>
      <c r="F18" s="24"/>
      <c r="G18" s="16">
        <f t="shared" si="0"/>
        <v>17</v>
      </c>
      <c r="H18" s="83"/>
      <c r="I18" s="83"/>
    </row>
    <row r="19" spans="1:9" s="17" customFormat="1" ht="21.75" customHeight="1">
      <c r="A19" s="46">
        <v>15</v>
      </c>
      <c r="B19" s="46" t="s">
        <v>800</v>
      </c>
      <c r="C19" s="81" t="s">
        <v>828</v>
      </c>
      <c r="D19" s="46">
        <v>0</v>
      </c>
      <c r="E19" s="16"/>
      <c r="F19" s="24"/>
      <c r="G19" s="16">
        <f t="shared" si="0"/>
        <v>0</v>
      </c>
      <c r="H19" s="83"/>
      <c r="I19" s="83"/>
    </row>
    <row r="20" spans="1:9" s="17" customFormat="1" ht="21.75" customHeight="1">
      <c r="A20" s="46">
        <v>16</v>
      </c>
      <c r="B20" s="46" t="s">
        <v>801</v>
      </c>
      <c r="C20" s="81" t="s">
        <v>831</v>
      </c>
      <c r="D20" s="46">
        <v>1</v>
      </c>
      <c r="E20" s="16"/>
      <c r="F20" s="24"/>
      <c r="G20" s="16">
        <f t="shared" si="0"/>
        <v>1</v>
      </c>
    </row>
    <row r="21" spans="1:9" s="17" customFormat="1" ht="21.75" customHeight="1">
      <c r="A21" s="46">
        <v>17</v>
      </c>
      <c r="B21" s="46" t="s">
        <v>802</v>
      </c>
      <c r="C21" s="81" t="s">
        <v>832</v>
      </c>
      <c r="D21" s="46">
        <v>0</v>
      </c>
      <c r="E21" s="16"/>
      <c r="F21" s="24"/>
      <c r="G21" s="16">
        <f t="shared" si="0"/>
        <v>0</v>
      </c>
    </row>
    <row r="22" spans="1:9" s="17" customFormat="1" ht="21.75" customHeight="1">
      <c r="A22" s="46">
        <v>18</v>
      </c>
      <c r="B22" s="46" t="s">
        <v>803</v>
      </c>
      <c r="C22" s="81" t="s">
        <v>833</v>
      </c>
      <c r="D22" s="46">
        <v>1</v>
      </c>
      <c r="E22" s="16"/>
      <c r="F22" s="24"/>
      <c r="G22" s="16">
        <f t="shared" si="0"/>
        <v>1</v>
      </c>
    </row>
    <row r="23" spans="1:9" s="17" customFormat="1" ht="21.75" customHeight="1">
      <c r="A23" s="46">
        <v>19</v>
      </c>
      <c r="B23" s="46" t="s">
        <v>804</v>
      </c>
      <c r="C23" s="81" t="s">
        <v>834</v>
      </c>
      <c r="D23" s="46">
        <v>4</v>
      </c>
      <c r="E23" s="16"/>
      <c r="F23" s="24">
        <v>1</v>
      </c>
      <c r="G23" s="16">
        <f t="shared" si="0"/>
        <v>3</v>
      </c>
    </row>
    <row r="24" spans="1:9" s="17" customFormat="1" ht="21.75" customHeight="1">
      <c r="A24" s="46">
        <v>20</v>
      </c>
      <c r="B24" s="46" t="s">
        <v>805</v>
      </c>
      <c r="C24" s="81" t="s">
        <v>835</v>
      </c>
      <c r="D24" s="46">
        <v>0</v>
      </c>
      <c r="E24" s="16"/>
      <c r="F24" s="24"/>
      <c r="G24" s="16">
        <f t="shared" si="0"/>
        <v>0</v>
      </c>
    </row>
    <row r="25" spans="1:9" s="17" customFormat="1" ht="21.75" customHeight="1">
      <c r="A25" s="46">
        <v>21</v>
      </c>
      <c r="B25" s="46" t="s">
        <v>806</v>
      </c>
      <c r="C25" s="81" t="s">
        <v>996</v>
      </c>
      <c r="D25" s="46">
        <v>0</v>
      </c>
      <c r="E25" s="16"/>
      <c r="F25" s="24"/>
      <c r="G25" s="16">
        <f t="shared" si="0"/>
        <v>0</v>
      </c>
    </row>
    <row r="26" spans="1:9" s="17" customFormat="1" ht="21.75" customHeight="1">
      <c r="A26" s="46">
        <v>22</v>
      </c>
      <c r="B26" s="46" t="s">
        <v>807</v>
      </c>
      <c r="C26" s="81" t="s">
        <v>994</v>
      </c>
      <c r="D26" s="46">
        <v>18</v>
      </c>
      <c r="E26" s="16"/>
      <c r="F26" s="24"/>
      <c r="G26" s="16">
        <f t="shared" si="0"/>
        <v>18</v>
      </c>
    </row>
    <row r="27" spans="1:9" s="17" customFormat="1" ht="21.75" customHeight="1">
      <c r="A27" s="46">
        <v>23</v>
      </c>
      <c r="B27" s="46" t="s">
        <v>808</v>
      </c>
      <c r="C27" s="81" t="s">
        <v>837</v>
      </c>
      <c r="D27" s="46">
        <v>4</v>
      </c>
      <c r="E27" s="16"/>
      <c r="F27" s="24"/>
      <c r="G27" s="16">
        <f t="shared" si="0"/>
        <v>4</v>
      </c>
    </row>
    <row r="28" spans="1:9" s="17" customFormat="1" ht="21.75" customHeight="1">
      <c r="A28" s="46">
        <v>24</v>
      </c>
      <c r="B28" s="46" t="s">
        <v>809</v>
      </c>
      <c r="C28" s="81" t="s">
        <v>995</v>
      </c>
      <c r="D28" s="46">
        <v>2</v>
      </c>
      <c r="E28" s="16"/>
      <c r="F28" s="24"/>
      <c r="G28" s="16">
        <f t="shared" si="0"/>
        <v>2</v>
      </c>
    </row>
    <row r="29" spans="1:9" s="17" customFormat="1" ht="21.75" customHeight="1">
      <c r="A29" s="46">
        <v>25</v>
      </c>
      <c r="B29" s="46" t="s">
        <v>810</v>
      </c>
      <c r="C29" s="81" t="s">
        <v>777</v>
      </c>
      <c r="D29" s="46">
        <v>17</v>
      </c>
      <c r="E29" s="16"/>
      <c r="F29" s="24"/>
      <c r="G29" s="16">
        <f t="shared" si="0"/>
        <v>17</v>
      </c>
    </row>
    <row r="30" spans="1:9" s="17" customFormat="1" ht="21.75" customHeight="1">
      <c r="A30" s="46">
        <v>26</v>
      </c>
      <c r="B30" s="46" t="s">
        <v>811</v>
      </c>
      <c r="C30" s="81" t="s">
        <v>778</v>
      </c>
      <c r="D30" s="46">
        <v>10</v>
      </c>
      <c r="E30" s="16"/>
      <c r="F30" s="24"/>
      <c r="G30" s="16">
        <f t="shared" si="0"/>
        <v>10</v>
      </c>
    </row>
    <row r="31" spans="1:9" s="17" customFormat="1" ht="21.75" customHeight="1">
      <c r="A31" s="46">
        <v>27</v>
      </c>
      <c r="B31" s="46" t="s">
        <v>812</v>
      </c>
      <c r="C31" s="81" t="s">
        <v>779</v>
      </c>
      <c r="D31" s="46">
        <v>6</v>
      </c>
      <c r="E31" s="16"/>
      <c r="F31" s="24"/>
      <c r="G31" s="16">
        <f t="shared" si="0"/>
        <v>6</v>
      </c>
    </row>
    <row r="32" spans="1:9" s="17" customFormat="1" ht="21.75" customHeight="1">
      <c r="A32" s="46">
        <v>28</v>
      </c>
      <c r="B32" s="46" t="s">
        <v>813</v>
      </c>
      <c r="C32" s="81" t="s">
        <v>780</v>
      </c>
      <c r="D32" s="46">
        <v>2</v>
      </c>
      <c r="E32" s="16"/>
      <c r="F32" s="24"/>
      <c r="G32" s="16">
        <f t="shared" si="0"/>
        <v>2</v>
      </c>
    </row>
    <row r="33" spans="1:7" s="17" customFormat="1" ht="21.75" customHeight="1">
      <c r="A33" s="46">
        <v>29</v>
      </c>
      <c r="B33" s="46" t="s">
        <v>814</v>
      </c>
      <c r="C33" s="81" t="s">
        <v>781</v>
      </c>
      <c r="D33" s="46">
        <v>9</v>
      </c>
      <c r="E33" s="16"/>
      <c r="F33" s="24">
        <v>1</v>
      </c>
      <c r="G33" s="16">
        <f t="shared" si="0"/>
        <v>8</v>
      </c>
    </row>
    <row r="34" spans="1:7" s="17" customFormat="1" ht="21.75" customHeight="1">
      <c r="A34" s="46">
        <v>30</v>
      </c>
      <c r="B34" s="46" t="s">
        <v>815</v>
      </c>
      <c r="C34" s="81" t="s">
        <v>838</v>
      </c>
      <c r="D34" s="46">
        <v>3</v>
      </c>
      <c r="E34" s="16"/>
      <c r="F34" s="24">
        <v>1</v>
      </c>
      <c r="G34" s="16">
        <f t="shared" si="0"/>
        <v>2</v>
      </c>
    </row>
    <row r="35" spans="1:7" s="17" customFormat="1" ht="21.75" customHeight="1">
      <c r="A35" s="46">
        <v>31</v>
      </c>
      <c r="B35" s="46" t="s">
        <v>816</v>
      </c>
      <c r="C35" s="81" t="s">
        <v>782</v>
      </c>
      <c r="D35" s="46">
        <v>0</v>
      </c>
      <c r="E35" s="16"/>
      <c r="F35" s="24"/>
      <c r="G35" s="16">
        <f t="shared" si="0"/>
        <v>0</v>
      </c>
    </row>
    <row r="36" spans="1:7" s="17" customFormat="1" ht="21.75" customHeight="1">
      <c r="A36" s="46">
        <v>32</v>
      </c>
      <c r="B36" s="46" t="s">
        <v>817</v>
      </c>
      <c r="C36" s="81" t="s">
        <v>783</v>
      </c>
      <c r="D36" s="46">
        <v>0</v>
      </c>
      <c r="E36" s="16"/>
      <c r="F36" s="24"/>
      <c r="G36" s="16">
        <f t="shared" si="0"/>
        <v>0</v>
      </c>
    </row>
    <row r="37" spans="1:7" s="17" customFormat="1" ht="21.75" customHeight="1">
      <c r="A37" s="46">
        <v>33</v>
      </c>
      <c r="B37" s="46" t="s">
        <v>818</v>
      </c>
      <c r="C37" s="81" t="s">
        <v>784</v>
      </c>
      <c r="D37" s="46">
        <v>0</v>
      </c>
      <c r="E37" s="16"/>
      <c r="F37" s="24"/>
      <c r="G37" s="16">
        <f t="shared" si="0"/>
        <v>0</v>
      </c>
    </row>
    <row r="38" spans="1:7" s="17" customFormat="1" ht="21.75" customHeight="1">
      <c r="A38" s="46">
        <v>34</v>
      </c>
      <c r="B38" s="46" t="s">
        <v>819</v>
      </c>
      <c r="C38" s="81" t="s">
        <v>785</v>
      </c>
      <c r="D38" s="46">
        <v>0</v>
      </c>
      <c r="E38" s="16"/>
      <c r="F38" s="24"/>
      <c r="G38" s="16">
        <f t="shared" si="0"/>
        <v>0</v>
      </c>
    </row>
    <row r="39" spans="1:7" s="17" customFormat="1" ht="21.75" customHeight="1">
      <c r="A39" s="46">
        <v>35</v>
      </c>
      <c r="B39" s="46" t="s">
        <v>820</v>
      </c>
      <c r="C39" s="81" t="s">
        <v>829</v>
      </c>
      <c r="D39" s="46">
        <v>1</v>
      </c>
      <c r="E39" s="16"/>
      <c r="F39" s="24"/>
      <c r="G39" s="16">
        <f t="shared" si="0"/>
        <v>1</v>
      </c>
    </row>
    <row r="40" spans="1:7" s="17" customFormat="1" ht="21.75" customHeight="1">
      <c r="A40" s="46">
        <v>36</v>
      </c>
      <c r="B40" s="46" t="s">
        <v>920</v>
      </c>
      <c r="C40" s="81" t="s">
        <v>830</v>
      </c>
      <c r="D40" s="46">
        <v>0</v>
      </c>
      <c r="E40" s="16"/>
      <c r="F40" s="24"/>
      <c r="G40" s="16">
        <f t="shared" si="0"/>
        <v>0</v>
      </c>
    </row>
    <row r="41" spans="1:7" ht="21.75" customHeight="1">
      <c r="A41" s="46">
        <v>37</v>
      </c>
      <c r="B41" s="46" t="s">
        <v>997</v>
      </c>
      <c r="C41" s="81" t="s">
        <v>998</v>
      </c>
      <c r="D41" s="46">
        <v>1</v>
      </c>
      <c r="E41" s="16"/>
      <c r="F41" s="24"/>
      <c r="G41" s="16">
        <f t="shared" si="0"/>
        <v>1</v>
      </c>
    </row>
    <row r="42" spans="1:7" ht="21.75" customHeight="1">
      <c r="A42" s="46">
        <v>38</v>
      </c>
      <c r="B42" s="46" t="s">
        <v>1022</v>
      </c>
      <c r="C42" s="81" t="s">
        <v>1026</v>
      </c>
      <c r="D42" s="46">
        <v>4</v>
      </c>
      <c r="E42" s="16"/>
      <c r="F42" s="24"/>
      <c r="G42" s="16">
        <f t="shared" si="0"/>
        <v>4</v>
      </c>
    </row>
    <row r="43" spans="1:7" ht="21.75" customHeight="1">
      <c r="A43" s="46">
        <v>39</v>
      </c>
      <c r="B43" s="46" t="s">
        <v>1023</v>
      </c>
      <c r="C43" s="81" t="s">
        <v>1027</v>
      </c>
      <c r="D43" s="46">
        <v>1</v>
      </c>
      <c r="E43" s="16"/>
      <c r="F43" s="24"/>
      <c r="G43" s="16">
        <f t="shared" si="0"/>
        <v>1</v>
      </c>
    </row>
    <row r="44" spans="1:7" ht="21.75" customHeight="1">
      <c r="A44" s="46">
        <v>40</v>
      </c>
      <c r="B44" s="46" t="s">
        <v>1024</v>
      </c>
      <c r="C44" s="81" t="s">
        <v>1025</v>
      </c>
      <c r="D44" s="46">
        <v>2</v>
      </c>
      <c r="E44" s="16"/>
      <c r="F44" s="24"/>
      <c r="G44" s="16">
        <f t="shared" si="0"/>
        <v>2</v>
      </c>
    </row>
    <row r="45" spans="1:7" ht="21.75" customHeight="1">
      <c r="A45" s="46">
        <v>41</v>
      </c>
      <c r="B45" s="46" t="s">
        <v>1028</v>
      </c>
      <c r="C45" s="81" t="s">
        <v>1029</v>
      </c>
      <c r="D45" s="46">
        <v>1</v>
      </c>
      <c r="E45" s="16"/>
      <c r="F45" s="24"/>
      <c r="G45" s="16">
        <f t="shared" si="0"/>
        <v>1</v>
      </c>
    </row>
    <row r="46" spans="1:7" ht="21.75" customHeight="1">
      <c r="A46" s="46">
        <v>42</v>
      </c>
      <c r="B46" s="46" t="s">
        <v>1030</v>
      </c>
      <c r="C46" s="81" t="s">
        <v>1031</v>
      </c>
      <c r="D46" s="46">
        <v>2</v>
      </c>
      <c r="E46" s="16"/>
      <c r="F46" s="24"/>
      <c r="G46" s="16">
        <f t="shared" si="0"/>
        <v>2</v>
      </c>
    </row>
    <row r="47" spans="1:7" ht="21.75" customHeight="1">
      <c r="A47" s="46">
        <v>32</v>
      </c>
      <c r="B47" s="46" t="s">
        <v>1032</v>
      </c>
      <c r="C47" s="81" t="s">
        <v>1033</v>
      </c>
      <c r="D47" s="46">
        <v>2</v>
      </c>
      <c r="E47" s="16"/>
      <c r="F47" s="24"/>
      <c r="G47" s="16">
        <f t="shared" si="0"/>
        <v>2</v>
      </c>
    </row>
    <row r="48" spans="1:7" ht="21.75" customHeight="1">
      <c r="A48" s="46">
        <v>33</v>
      </c>
      <c r="B48" s="46" t="s">
        <v>1034</v>
      </c>
      <c r="C48" s="81" t="s">
        <v>1035</v>
      </c>
      <c r="D48" s="46">
        <v>2</v>
      </c>
      <c r="E48" s="16"/>
      <c r="F48" s="24"/>
      <c r="G48" s="16">
        <f t="shared" si="0"/>
        <v>2</v>
      </c>
    </row>
    <row r="49" spans="1:7" ht="21.75" customHeight="1">
      <c r="A49" s="46">
        <v>34</v>
      </c>
      <c r="B49" s="46" t="s">
        <v>1036</v>
      </c>
      <c r="C49" s="81" t="s">
        <v>1037</v>
      </c>
      <c r="D49" s="46">
        <v>1</v>
      </c>
      <c r="E49" s="16"/>
      <c r="F49" s="24"/>
      <c r="G49" s="16">
        <f t="shared" si="0"/>
        <v>1</v>
      </c>
    </row>
    <row r="50" spans="1:7" ht="21.75" customHeight="1">
      <c r="A50" s="46">
        <v>35</v>
      </c>
      <c r="B50" s="46" t="s">
        <v>1038</v>
      </c>
      <c r="C50" s="81" t="s">
        <v>1039</v>
      </c>
      <c r="D50" s="46">
        <v>2</v>
      </c>
      <c r="E50" s="16"/>
      <c r="F50" s="24"/>
      <c r="G50" s="16">
        <f t="shared" si="0"/>
        <v>2</v>
      </c>
    </row>
    <row r="51" spans="1:7" ht="21.75" customHeight="1">
      <c r="A51" s="46">
        <v>36</v>
      </c>
      <c r="B51" s="46" t="s">
        <v>1040</v>
      </c>
      <c r="C51" s="81" t="s">
        <v>1041</v>
      </c>
      <c r="D51" s="46">
        <v>7</v>
      </c>
      <c r="E51" s="16"/>
      <c r="F51" s="24"/>
      <c r="G51" s="16">
        <f t="shared" si="0"/>
        <v>7</v>
      </c>
    </row>
    <row r="52" spans="1:7" ht="21.75" customHeight="1">
      <c r="A52" s="46">
        <v>37</v>
      </c>
      <c r="B52" s="46" t="s">
        <v>1042</v>
      </c>
      <c r="C52" s="81" t="s">
        <v>1043</v>
      </c>
      <c r="D52" s="46">
        <v>1</v>
      </c>
      <c r="E52" s="16"/>
      <c r="F52" s="24"/>
      <c r="G52" s="16">
        <f t="shared" si="0"/>
        <v>1</v>
      </c>
    </row>
    <row r="53" spans="1:7" ht="21.75" customHeight="1">
      <c r="A53" s="46">
        <v>38</v>
      </c>
      <c r="B53" s="46" t="s">
        <v>1044</v>
      </c>
      <c r="C53" s="81" t="s">
        <v>1045</v>
      </c>
      <c r="D53" s="46">
        <v>4</v>
      </c>
      <c r="E53" s="16"/>
      <c r="F53" s="24"/>
      <c r="G53" s="16">
        <f t="shared" si="0"/>
        <v>4</v>
      </c>
    </row>
    <row r="54" spans="1:7" ht="21.75" customHeight="1">
      <c r="A54" s="46">
        <v>39</v>
      </c>
      <c r="B54" s="46" t="s">
        <v>1046</v>
      </c>
      <c r="C54" s="81" t="s">
        <v>1047</v>
      </c>
      <c r="D54" s="46">
        <v>3</v>
      </c>
      <c r="E54" s="16"/>
      <c r="F54" s="24"/>
      <c r="G54" s="16">
        <f t="shared" si="0"/>
        <v>3</v>
      </c>
    </row>
    <row r="55" spans="1:7" ht="21.75" customHeight="1">
      <c r="A55" s="46">
        <v>40</v>
      </c>
      <c r="B55" s="46" t="s">
        <v>1048</v>
      </c>
      <c r="C55" s="81" t="s">
        <v>1049</v>
      </c>
      <c r="D55" s="46">
        <v>3</v>
      </c>
      <c r="E55" s="16"/>
      <c r="F55" s="24"/>
      <c r="G55" s="16">
        <f t="shared" si="0"/>
        <v>3</v>
      </c>
    </row>
    <row r="56" spans="1:7" ht="21.75" customHeight="1">
      <c r="A56" s="46">
        <v>41</v>
      </c>
      <c r="B56" s="46" t="s">
        <v>1050</v>
      </c>
      <c r="C56" s="81" t="s">
        <v>1051</v>
      </c>
      <c r="D56" s="46">
        <v>2</v>
      </c>
      <c r="E56" s="16"/>
      <c r="F56" s="24"/>
      <c r="G56" s="16">
        <f t="shared" si="0"/>
        <v>2</v>
      </c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2:D30"/>
  <sheetViews>
    <sheetView workbookViewId="0">
      <selection activeCell="H25" sqref="H25"/>
    </sheetView>
  </sheetViews>
  <sheetFormatPr defaultRowHeight="15.75"/>
  <cols>
    <col min="1" max="1" width="6.85546875" style="82" bestFit="1" customWidth="1"/>
    <col min="2" max="2" width="13.140625" style="82" bestFit="1" customWidth="1"/>
    <col min="3" max="3" width="30.7109375" style="82" bestFit="1" customWidth="1"/>
    <col min="4" max="4" width="8.5703125" style="82" bestFit="1" customWidth="1"/>
    <col min="5" max="16384" width="9.140625" style="82"/>
  </cols>
  <sheetData>
    <row r="2" spans="1:4">
      <c r="A2" s="246" t="s">
        <v>967</v>
      </c>
      <c r="B2" s="246"/>
      <c r="C2" s="246"/>
      <c r="D2" s="246"/>
    </row>
    <row r="4" spans="1:4" ht="33.75" customHeight="1">
      <c r="A4" s="54" t="s">
        <v>0</v>
      </c>
      <c r="B4" s="54" t="s">
        <v>232</v>
      </c>
      <c r="C4" s="54" t="s">
        <v>1</v>
      </c>
      <c r="D4" s="54" t="s">
        <v>233</v>
      </c>
    </row>
    <row r="5" spans="1:4" s="84" customFormat="1" ht="21.75" customHeight="1">
      <c r="A5" s="40">
        <v>1</v>
      </c>
      <c r="B5" s="40" t="s">
        <v>945</v>
      </c>
      <c r="C5" s="44" t="s">
        <v>923</v>
      </c>
      <c r="D5" s="40">
        <v>2</v>
      </c>
    </row>
    <row r="6" spans="1:4" s="84" customFormat="1" ht="21.75" customHeight="1">
      <c r="A6" s="40">
        <v>2</v>
      </c>
      <c r="B6" s="40" t="s">
        <v>946</v>
      </c>
      <c r="C6" s="44" t="s">
        <v>924</v>
      </c>
      <c r="D6" s="40"/>
    </row>
    <row r="7" spans="1:4" s="84" customFormat="1" ht="21.75" customHeight="1">
      <c r="A7" s="40">
        <v>3</v>
      </c>
      <c r="B7" s="40" t="s">
        <v>947</v>
      </c>
      <c r="C7" s="44" t="s">
        <v>925</v>
      </c>
      <c r="D7" s="40">
        <v>10</v>
      </c>
    </row>
    <row r="8" spans="1:4" s="84" customFormat="1" ht="21.75" customHeight="1">
      <c r="A8" s="40">
        <v>4</v>
      </c>
      <c r="B8" s="40" t="s">
        <v>948</v>
      </c>
      <c r="C8" s="44" t="s">
        <v>926</v>
      </c>
      <c r="D8" s="40">
        <v>29</v>
      </c>
    </row>
    <row r="9" spans="1:4" s="84" customFormat="1" ht="21.75" customHeight="1">
      <c r="A9" s="40">
        <v>5</v>
      </c>
      <c r="B9" s="40" t="s">
        <v>949</v>
      </c>
      <c r="C9" s="44" t="s">
        <v>971</v>
      </c>
      <c r="D9" s="40">
        <v>7</v>
      </c>
    </row>
    <row r="10" spans="1:4" s="84" customFormat="1" ht="21.75" customHeight="1">
      <c r="A10" s="40">
        <v>6</v>
      </c>
      <c r="B10" s="40" t="s">
        <v>950</v>
      </c>
      <c r="C10" s="44" t="s">
        <v>927</v>
      </c>
      <c r="D10" s="40">
        <v>2</v>
      </c>
    </row>
    <row r="11" spans="1:4" s="84" customFormat="1" ht="21.75" customHeight="1">
      <c r="A11" s="40">
        <v>7</v>
      </c>
      <c r="B11" s="40" t="s">
        <v>951</v>
      </c>
      <c r="C11" s="44" t="s">
        <v>928</v>
      </c>
      <c r="D11" s="40">
        <v>2</v>
      </c>
    </row>
    <row r="12" spans="1:4" s="84" customFormat="1" ht="21.75" customHeight="1">
      <c r="A12" s="40">
        <v>8</v>
      </c>
      <c r="B12" s="40" t="s">
        <v>952</v>
      </c>
      <c r="C12" s="44" t="s">
        <v>929</v>
      </c>
      <c r="D12" s="40">
        <v>7</v>
      </c>
    </row>
    <row r="13" spans="1:4" s="84" customFormat="1" ht="21.75" customHeight="1">
      <c r="A13" s="40">
        <v>9</v>
      </c>
      <c r="B13" s="40" t="s">
        <v>953</v>
      </c>
      <c r="C13" s="44" t="s">
        <v>930</v>
      </c>
      <c r="D13" s="40">
        <v>1</v>
      </c>
    </row>
    <row r="14" spans="1:4" s="84" customFormat="1" ht="21.75" customHeight="1">
      <c r="A14" s="40">
        <v>10</v>
      </c>
      <c r="B14" s="40" t="s">
        <v>954</v>
      </c>
      <c r="C14" s="44" t="s">
        <v>931</v>
      </c>
      <c r="D14" s="40">
        <v>3</v>
      </c>
    </row>
    <row r="15" spans="1:4" s="84" customFormat="1" ht="21.75" customHeight="1">
      <c r="A15" s="40">
        <v>11</v>
      </c>
      <c r="B15" s="40" t="s">
        <v>955</v>
      </c>
      <c r="C15" s="44" t="s">
        <v>932</v>
      </c>
      <c r="D15" s="40">
        <v>4</v>
      </c>
    </row>
    <row r="16" spans="1:4" s="84" customFormat="1" ht="21.75" customHeight="1">
      <c r="A16" s="40">
        <v>12</v>
      </c>
      <c r="B16" s="40" t="s">
        <v>956</v>
      </c>
      <c r="C16" s="92" t="s">
        <v>933</v>
      </c>
      <c r="D16" s="93"/>
    </row>
    <row r="17" spans="1:4" s="84" customFormat="1" ht="21.75" customHeight="1">
      <c r="A17" s="40">
        <v>13</v>
      </c>
      <c r="B17" s="40" t="s">
        <v>957</v>
      </c>
      <c r="C17" s="92" t="s">
        <v>972</v>
      </c>
      <c r="D17" s="93">
        <v>23</v>
      </c>
    </row>
    <row r="18" spans="1:4" s="84" customFormat="1" ht="21.75" customHeight="1">
      <c r="A18" s="40">
        <v>14</v>
      </c>
      <c r="B18" s="40" t="s">
        <v>958</v>
      </c>
      <c r="C18" s="44" t="s">
        <v>934</v>
      </c>
      <c r="D18" s="40"/>
    </row>
    <row r="19" spans="1:4" s="84" customFormat="1" ht="21.75" customHeight="1">
      <c r="A19" s="40">
        <v>15</v>
      </c>
      <c r="B19" s="40" t="s">
        <v>959</v>
      </c>
      <c r="C19" s="44" t="s">
        <v>935</v>
      </c>
      <c r="D19" s="40">
        <v>11</v>
      </c>
    </row>
    <row r="20" spans="1:4" s="84" customFormat="1" ht="21.75" customHeight="1">
      <c r="A20" s="40">
        <v>16</v>
      </c>
      <c r="B20" s="40" t="s">
        <v>960</v>
      </c>
      <c r="C20" s="44" t="s">
        <v>936</v>
      </c>
      <c r="D20" s="40">
        <v>15</v>
      </c>
    </row>
    <row r="21" spans="1:4" s="84" customFormat="1" ht="21.75" customHeight="1">
      <c r="A21" s="40">
        <v>17</v>
      </c>
      <c r="B21" s="40" t="s">
        <v>961</v>
      </c>
      <c r="C21" s="44" t="s">
        <v>937</v>
      </c>
      <c r="D21" s="40">
        <v>29</v>
      </c>
    </row>
    <row r="22" spans="1:4" s="84" customFormat="1" ht="21.75" customHeight="1">
      <c r="A22" s="40">
        <v>18</v>
      </c>
      <c r="B22" s="40" t="s">
        <v>962</v>
      </c>
      <c r="C22" s="44" t="s">
        <v>938</v>
      </c>
      <c r="D22" s="40">
        <v>10</v>
      </c>
    </row>
    <row r="23" spans="1:4" s="84" customFormat="1" ht="21.75" customHeight="1">
      <c r="A23" s="40">
        <v>19</v>
      </c>
      <c r="B23" s="40" t="s">
        <v>963</v>
      </c>
      <c r="C23" s="44" t="s">
        <v>939</v>
      </c>
      <c r="D23" s="40">
        <v>2</v>
      </c>
    </row>
    <row r="24" spans="1:4" s="84" customFormat="1" ht="21.75" customHeight="1">
      <c r="A24" s="40">
        <v>20</v>
      </c>
      <c r="B24" s="40" t="s">
        <v>964</v>
      </c>
      <c r="C24" s="44" t="s">
        <v>940</v>
      </c>
      <c r="D24" s="40">
        <v>3</v>
      </c>
    </row>
    <row r="25" spans="1:4" s="84" customFormat="1" ht="21.75" customHeight="1">
      <c r="A25" s="40">
        <v>21</v>
      </c>
      <c r="B25" s="40" t="s">
        <v>965</v>
      </c>
      <c r="C25" s="44" t="s">
        <v>941</v>
      </c>
      <c r="D25" s="40">
        <v>8</v>
      </c>
    </row>
    <row r="26" spans="1:4" s="84" customFormat="1" ht="21.75" customHeight="1">
      <c r="A26" s="40">
        <v>22</v>
      </c>
      <c r="B26" s="40" t="s">
        <v>966</v>
      </c>
      <c r="C26" s="44" t="s">
        <v>942</v>
      </c>
      <c r="D26" s="40">
        <v>7</v>
      </c>
    </row>
    <row r="27" spans="1:4" ht="21.75" customHeight="1">
      <c r="A27" s="40">
        <v>23</v>
      </c>
      <c r="B27" s="40" t="s">
        <v>968</v>
      </c>
      <c r="C27" s="44" t="s">
        <v>943</v>
      </c>
      <c r="D27" s="40"/>
    </row>
    <row r="28" spans="1:4" ht="21.75" customHeight="1">
      <c r="A28" s="40">
        <v>24</v>
      </c>
      <c r="B28" s="40" t="s">
        <v>973</v>
      </c>
      <c r="C28" s="44" t="s">
        <v>944</v>
      </c>
      <c r="D28" s="40">
        <v>1</v>
      </c>
    </row>
    <row r="29" spans="1:4" ht="21.75" customHeight="1">
      <c r="A29" s="40">
        <v>25</v>
      </c>
      <c r="B29" s="40" t="s">
        <v>974</v>
      </c>
      <c r="C29" s="44" t="s">
        <v>969</v>
      </c>
      <c r="D29" s="40">
        <v>1</v>
      </c>
    </row>
    <row r="30" spans="1:4" ht="21.75" customHeight="1">
      <c r="A30" s="40">
        <v>26</v>
      </c>
      <c r="B30" s="40" t="s">
        <v>975</v>
      </c>
      <c r="C30" s="44" t="s">
        <v>970</v>
      </c>
      <c r="D30" s="40">
        <v>2</v>
      </c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G16"/>
  <sheetViews>
    <sheetView workbookViewId="0">
      <selection activeCell="D2" sqref="D1:F1048576"/>
    </sheetView>
  </sheetViews>
  <sheetFormatPr defaultRowHeight="15"/>
  <cols>
    <col min="1" max="1" width="6.85546875" bestFit="1" customWidth="1"/>
    <col min="2" max="2" width="12.28515625" style="25" customWidth="1"/>
    <col min="3" max="3" width="57.7109375" bestFit="1" customWidth="1"/>
    <col min="4" max="4" width="8.7109375" style="25" hidden="1" customWidth="1"/>
    <col min="5" max="6" width="0" style="150" hidden="1" customWidth="1"/>
    <col min="7" max="7" width="9.140625" style="150"/>
  </cols>
  <sheetData>
    <row r="1" spans="1:7" ht="15.75">
      <c r="A1" s="246" t="s">
        <v>1646</v>
      </c>
      <c r="B1" s="246"/>
      <c r="C1" s="246"/>
      <c r="D1" s="246"/>
    </row>
    <row r="2" spans="1:7" ht="31.5">
      <c r="A2" s="54" t="s">
        <v>0</v>
      </c>
      <c r="B2" s="54" t="s">
        <v>232</v>
      </c>
      <c r="C2" s="54" t="s">
        <v>1</v>
      </c>
      <c r="D2" s="54" t="s">
        <v>233</v>
      </c>
      <c r="E2" s="54" t="s">
        <v>218</v>
      </c>
      <c r="F2" s="54" t="s">
        <v>770</v>
      </c>
      <c r="G2" s="54" t="s">
        <v>219</v>
      </c>
    </row>
    <row r="3" spans="1:7" s="17" customFormat="1" ht="17.25">
      <c r="A3" s="24">
        <v>1</v>
      </c>
      <c r="B3" s="24" t="s">
        <v>1069</v>
      </c>
      <c r="C3" s="16" t="s">
        <v>1064</v>
      </c>
      <c r="D3" s="24">
        <v>1</v>
      </c>
      <c r="E3" s="24"/>
      <c r="F3" s="24"/>
      <c r="G3" s="24">
        <f>SUM(D3+E3)-F3</f>
        <v>1</v>
      </c>
    </row>
    <row r="4" spans="1:7" s="17" customFormat="1">
      <c r="A4" s="24">
        <v>2</v>
      </c>
      <c r="B4" s="24" t="s">
        <v>1070</v>
      </c>
      <c r="C4" s="16" t="s">
        <v>1067</v>
      </c>
      <c r="D4" s="24">
        <v>1</v>
      </c>
      <c r="E4" s="24"/>
      <c r="F4" s="24"/>
      <c r="G4" s="24">
        <f t="shared" ref="G4:G16" si="0">SUM(D4+E4)-F4</f>
        <v>1</v>
      </c>
    </row>
    <row r="5" spans="1:7" s="17" customFormat="1">
      <c r="A5" s="24">
        <v>3</v>
      </c>
      <c r="B5" s="24" t="s">
        <v>1071</v>
      </c>
      <c r="C5" s="16" t="s">
        <v>1054</v>
      </c>
      <c r="D5" s="24">
        <v>1</v>
      </c>
      <c r="E5" s="24"/>
      <c r="F5" s="24"/>
      <c r="G5" s="24">
        <f t="shared" si="0"/>
        <v>1</v>
      </c>
    </row>
    <row r="6" spans="1:7" s="17" customFormat="1" ht="17.25">
      <c r="A6" s="24">
        <v>4</v>
      </c>
      <c r="B6" s="24" t="s">
        <v>1072</v>
      </c>
      <c r="C6" s="16" t="s">
        <v>1055</v>
      </c>
      <c r="D6" s="24">
        <v>3</v>
      </c>
      <c r="E6" s="24"/>
      <c r="F6" s="24"/>
      <c r="G6" s="24">
        <f t="shared" si="0"/>
        <v>3</v>
      </c>
    </row>
    <row r="7" spans="1:7" s="17" customFormat="1" ht="17.25">
      <c r="A7" s="24">
        <v>5</v>
      </c>
      <c r="B7" s="24" t="s">
        <v>1073</v>
      </c>
      <c r="C7" s="16" t="s">
        <v>1056</v>
      </c>
      <c r="D7" s="24">
        <v>1</v>
      </c>
      <c r="E7" s="24"/>
      <c r="F7" s="24"/>
      <c r="G7" s="24">
        <f t="shared" si="0"/>
        <v>1</v>
      </c>
    </row>
    <row r="8" spans="1:7" s="17" customFormat="1" ht="17.25">
      <c r="A8" s="24">
        <v>6</v>
      </c>
      <c r="B8" s="24" t="s">
        <v>1074</v>
      </c>
      <c r="C8" s="16" t="s">
        <v>1057</v>
      </c>
      <c r="D8" s="24">
        <v>1</v>
      </c>
      <c r="E8" s="24"/>
      <c r="F8" s="24"/>
      <c r="G8" s="24">
        <f t="shared" si="0"/>
        <v>1</v>
      </c>
    </row>
    <row r="9" spans="1:7" s="17" customFormat="1" ht="17.25">
      <c r="A9" s="24">
        <v>7</v>
      </c>
      <c r="B9" s="24" t="s">
        <v>1075</v>
      </c>
      <c r="C9" s="16" t="s">
        <v>1068</v>
      </c>
      <c r="D9" s="24">
        <v>1</v>
      </c>
      <c r="E9" s="24"/>
      <c r="F9" s="24"/>
      <c r="G9" s="24">
        <f t="shared" si="0"/>
        <v>1</v>
      </c>
    </row>
    <row r="10" spans="1:7" s="17" customFormat="1" ht="17.25">
      <c r="A10" s="24">
        <v>8</v>
      </c>
      <c r="B10" s="24" t="s">
        <v>1076</v>
      </c>
      <c r="C10" s="16" t="s">
        <v>1060</v>
      </c>
      <c r="D10" s="24">
        <v>2</v>
      </c>
      <c r="E10" s="24"/>
      <c r="F10" s="24"/>
      <c r="G10" s="24">
        <f t="shared" si="0"/>
        <v>2</v>
      </c>
    </row>
    <row r="11" spans="1:7" s="17" customFormat="1" ht="17.25">
      <c r="A11" s="24">
        <v>9</v>
      </c>
      <c r="B11" s="24" t="s">
        <v>1077</v>
      </c>
      <c r="C11" s="16" t="s">
        <v>1061</v>
      </c>
      <c r="D11" s="24">
        <v>1</v>
      </c>
      <c r="E11" s="24"/>
      <c r="F11" s="24"/>
      <c r="G11" s="24">
        <f t="shared" si="0"/>
        <v>1</v>
      </c>
    </row>
    <row r="12" spans="1:7" s="17" customFormat="1" ht="17.25">
      <c r="A12" s="24">
        <v>10</v>
      </c>
      <c r="B12" s="24" t="s">
        <v>1078</v>
      </c>
      <c r="C12" s="16" t="s">
        <v>1063</v>
      </c>
      <c r="D12" s="24">
        <v>10</v>
      </c>
      <c r="E12" s="24"/>
      <c r="F12" s="24"/>
      <c r="G12" s="24">
        <f t="shared" si="0"/>
        <v>10</v>
      </c>
    </row>
    <row r="13" spans="1:7" s="17" customFormat="1">
      <c r="A13" s="24">
        <v>11</v>
      </c>
      <c r="B13" s="24" t="s">
        <v>1079</v>
      </c>
      <c r="C13" s="16" t="s">
        <v>1062</v>
      </c>
      <c r="D13" s="24">
        <v>1</v>
      </c>
      <c r="E13" s="24"/>
      <c r="F13" s="24"/>
      <c r="G13" s="24">
        <f t="shared" si="0"/>
        <v>1</v>
      </c>
    </row>
    <row r="14" spans="1:7" s="17" customFormat="1">
      <c r="A14" s="24">
        <v>12</v>
      </c>
      <c r="B14" s="24" t="s">
        <v>1080</v>
      </c>
      <c r="C14" s="16" t="s">
        <v>1066</v>
      </c>
      <c r="D14" s="24">
        <v>1</v>
      </c>
      <c r="E14" s="24"/>
      <c r="F14" s="24"/>
      <c r="G14" s="24">
        <f t="shared" si="0"/>
        <v>1</v>
      </c>
    </row>
    <row r="15" spans="1:7" s="17" customFormat="1">
      <c r="A15" s="24">
        <v>13</v>
      </c>
      <c r="B15" s="24" t="s">
        <v>1081</v>
      </c>
      <c r="C15" s="16" t="s">
        <v>1065</v>
      </c>
      <c r="D15" s="24">
        <v>1</v>
      </c>
      <c r="E15" s="24"/>
      <c r="F15" s="24"/>
      <c r="G15" s="24">
        <f t="shared" si="0"/>
        <v>1</v>
      </c>
    </row>
    <row r="16" spans="1:7" s="17" customFormat="1">
      <c r="A16" s="24">
        <v>14</v>
      </c>
      <c r="B16" s="24" t="s">
        <v>1082</v>
      </c>
      <c r="C16" s="16" t="s">
        <v>1391</v>
      </c>
      <c r="D16" s="24">
        <v>0</v>
      </c>
      <c r="E16" s="24">
        <v>2</v>
      </c>
      <c r="F16" s="24">
        <v>1</v>
      </c>
      <c r="G16" s="24">
        <f t="shared" si="0"/>
        <v>1</v>
      </c>
    </row>
  </sheetData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2:G48"/>
  <sheetViews>
    <sheetView workbookViewId="0">
      <selection activeCell="C13" sqref="C13"/>
    </sheetView>
  </sheetViews>
  <sheetFormatPr defaultRowHeight="15"/>
  <cols>
    <col min="1" max="1" width="5.85546875" style="127" bestFit="1" customWidth="1"/>
    <col min="2" max="2" width="10.5703125" style="127" bestFit="1" customWidth="1"/>
    <col min="3" max="3" width="51.28515625" style="127" bestFit="1" customWidth="1"/>
    <col min="4" max="4" width="10.5703125" style="127" hidden="1" customWidth="1"/>
    <col min="5" max="6" width="0" style="127" hidden="1" customWidth="1"/>
    <col min="7" max="7" width="9.7109375" style="210" customWidth="1"/>
    <col min="8" max="16384" width="9.140625" style="127"/>
  </cols>
  <sheetData>
    <row r="2" spans="1:7" ht="16.5" customHeight="1">
      <c r="A2" s="248" t="s">
        <v>1183</v>
      </c>
      <c r="B2" s="249"/>
      <c r="C2" s="249"/>
      <c r="D2" s="249"/>
      <c r="E2" s="249"/>
      <c r="F2" s="249"/>
      <c r="G2" s="249"/>
    </row>
    <row r="3" spans="1:7" s="128" customFormat="1">
      <c r="A3" s="169" t="s">
        <v>0</v>
      </c>
      <c r="B3" s="169" t="s">
        <v>232</v>
      </c>
      <c r="C3" s="169" t="s">
        <v>1</v>
      </c>
      <c r="D3" s="169" t="s">
        <v>233</v>
      </c>
      <c r="E3" s="137" t="s">
        <v>218</v>
      </c>
      <c r="F3" s="137" t="s">
        <v>770</v>
      </c>
      <c r="G3" s="137" t="s">
        <v>219</v>
      </c>
    </row>
    <row r="4" spans="1:7" s="128" customFormat="1">
      <c r="A4" s="52">
        <v>1</v>
      </c>
      <c r="B4" s="52" t="s">
        <v>1162</v>
      </c>
      <c r="C4" s="138" t="s">
        <v>1128</v>
      </c>
      <c r="D4" s="52">
        <v>0</v>
      </c>
      <c r="E4" s="140"/>
      <c r="F4" s="140"/>
      <c r="G4" s="53">
        <f>SUM(D4+E4)-F4</f>
        <v>0</v>
      </c>
    </row>
    <row r="5" spans="1:7" s="128" customFormat="1">
      <c r="A5" s="52">
        <v>2</v>
      </c>
      <c r="B5" s="52" t="s">
        <v>1163</v>
      </c>
      <c r="C5" s="138" t="s">
        <v>1084</v>
      </c>
      <c r="D5" s="52">
        <v>4</v>
      </c>
      <c r="E5" s="140"/>
      <c r="F5" s="140">
        <v>1</v>
      </c>
      <c r="G5" s="53">
        <f t="shared" ref="G5:G29" si="0">SUM(D5+E5)-F5</f>
        <v>3</v>
      </c>
    </row>
    <row r="6" spans="1:7" s="128" customFormat="1">
      <c r="A6" s="52">
        <v>3</v>
      </c>
      <c r="B6" s="52" t="s">
        <v>1164</v>
      </c>
      <c r="C6" s="138" t="s">
        <v>1083</v>
      </c>
      <c r="D6" s="52">
        <v>1</v>
      </c>
      <c r="E6" s="140"/>
      <c r="F6" s="140"/>
      <c r="G6" s="53">
        <f t="shared" si="0"/>
        <v>1</v>
      </c>
    </row>
    <row r="7" spans="1:7" s="128" customFormat="1">
      <c r="A7" s="52">
        <v>4</v>
      </c>
      <c r="B7" s="52" t="s">
        <v>1165</v>
      </c>
      <c r="C7" s="138" t="s">
        <v>1129</v>
      </c>
      <c r="D7" s="52">
        <v>1</v>
      </c>
      <c r="E7" s="140"/>
      <c r="F7" s="140"/>
      <c r="G7" s="53">
        <f t="shared" si="0"/>
        <v>1</v>
      </c>
    </row>
    <row r="8" spans="1:7" s="128" customFormat="1">
      <c r="A8" s="52">
        <v>5</v>
      </c>
      <c r="B8" s="52" t="s">
        <v>1166</v>
      </c>
      <c r="C8" s="138" t="s">
        <v>1085</v>
      </c>
      <c r="D8" s="52">
        <v>1</v>
      </c>
      <c r="E8" s="140"/>
      <c r="F8" s="140"/>
      <c r="G8" s="53">
        <f t="shared" si="0"/>
        <v>1</v>
      </c>
    </row>
    <row r="9" spans="1:7" s="128" customFormat="1">
      <c r="A9" s="52">
        <v>6</v>
      </c>
      <c r="B9" s="52" t="s">
        <v>1167</v>
      </c>
      <c r="C9" s="138" t="s">
        <v>1130</v>
      </c>
      <c r="D9" s="52">
        <v>3</v>
      </c>
      <c r="E9" s="140"/>
      <c r="F9" s="140"/>
      <c r="G9" s="53">
        <f t="shared" si="0"/>
        <v>3</v>
      </c>
    </row>
    <row r="10" spans="1:7" s="128" customFormat="1">
      <c r="A10" s="52">
        <v>7</v>
      </c>
      <c r="B10" s="52" t="s">
        <v>1168</v>
      </c>
      <c r="C10" s="138" t="s">
        <v>1131</v>
      </c>
      <c r="D10" s="52">
        <v>1</v>
      </c>
      <c r="E10" s="140"/>
      <c r="F10" s="140"/>
      <c r="G10" s="53">
        <f t="shared" si="0"/>
        <v>1</v>
      </c>
    </row>
    <row r="11" spans="1:7" s="128" customFormat="1">
      <c r="A11" s="52">
        <v>8</v>
      </c>
      <c r="B11" s="52" t="s">
        <v>1169</v>
      </c>
      <c r="C11" s="138" t="s">
        <v>1184</v>
      </c>
      <c r="D11" s="52">
        <v>3</v>
      </c>
      <c r="E11" s="140"/>
      <c r="F11" s="140"/>
      <c r="G11" s="53">
        <f t="shared" si="0"/>
        <v>3</v>
      </c>
    </row>
    <row r="12" spans="1:7" s="128" customFormat="1">
      <c r="A12" s="52">
        <v>9</v>
      </c>
      <c r="B12" s="52" t="s">
        <v>1170</v>
      </c>
      <c r="C12" s="138" t="s">
        <v>1086</v>
      </c>
      <c r="D12" s="52">
        <v>0</v>
      </c>
      <c r="E12" s="140"/>
      <c r="F12" s="140"/>
      <c r="G12" s="53">
        <f t="shared" si="0"/>
        <v>0</v>
      </c>
    </row>
    <row r="13" spans="1:7" s="128" customFormat="1">
      <c r="A13" s="52">
        <v>10</v>
      </c>
      <c r="B13" s="52" t="s">
        <v>1171</v>
      </c>
      <c r="C13" s="138" t="s">
        <v>1087</v>
      </c>
      <c r="D13" s="52">
        <v>0</v>
      </c>
      <c r="E13" s="140"/>
      <c r="F13" s="140"/>
      <c r="G13" s="53">
        <f t="shared" si="0"/>
        <v>0</v>
      </c>
    </row>
    <row r="14" spans="1:7" s="128" customFormat="1">
      <c r="A14" s="52">
        <v>11</v>
      </c>
      <c r="B14" s="52" t="s">
        <v>1172</v>
      </c>
      <c r="C14" s="138" t="s">
        <v>1088</v>
      </c>
      <c r="D14" s="52">
        <v>0</v>
      </c>
      <c r="E14" s="140"/>
      <c r="F14" s="140"/>
      <c r="G14" s="53">
        <f t="shared" si="0"/>
        <v>0</v>
      </c>
    </row>
    <row r="15" spans="1:7" s="128" customFormat="1">
      <c r="A15" s="52">
        <v>12</v>
      </c>
      <c r="B15" s="52" t="s">
        <v>1173</v>
      </c>
      <c r="C15" s="138" t="s">
        <v>1185</v>
      </c>
      <c r="D15" s="52">
        <v>1</v>
      </c>
      <c r="E15" s="140"/>
      <c r="F15" s="140"/>
      <c r="G15" s="53">
        <f t="shared" si="0"/>
        <v>1</v>
      </c>
    </row>
    <row r="16" spans="1:7" s="128" customFormat="1">
      <c r="A16" s="52">
        <v>13</v>
      </c>
      <c r="B16" s="52" t="s">
        <v>1174</v>
      </c>
      <c r="C16" s="138" t="s">
        <v>1132</v>
      </c>
      <c r="D16" s="52">
        <v>0</v>
      </c>
      <c r="E16" s="140"/>
      <c r="F16" s="140"/>
      <c r="G16" s="53">
        <f t="shared" si="0"/>
        <v>0</v>
      </c>
    </row>
    <row r="17" spans="1:7" s="128" customFormat="1">
      <c r="A17" s="52">
        <v>14</v>
      </c>
      <c r="B17" s="52" t="s">
        <v>1175</v>
      </c>
      <c r="C17" s="138" t="s">
        <v>1133</v>
      </c>
      <c r="D17" s="52">
        <v>1</v>
      </c>
      <c r="E17" s="140"/>
      <c r="F17" s="140"/>
      <c r="G17" s="53">
        <f t="shared" si="0"/>
        <v>1</v>
      </c>
    </row>
    <row r="18" spans="1:7" s="128" customFormat="1">
      <c r="A18" s="52">
        <v>15</v>
      </c>
      <c r="B18" s="52" t="s">
        <v>1176</v>
      </c>
      <c r="C18" s="138" t="s">
        <v>1134</v>
      </c>
      <c r="D18" s="52">
        <v>0</v>
      </c>
      <c r="E18" s="140"/>
      <c r="F18" s="140"/>
      <c r="G18" s="53">
        <f t="shared" si="0"/>
        <v>0</v>
      </c>
    </row>
    <row r="19" spans="1:7" s="128" customFormat="1">
      <c r="A19" s="52">
        <v>16</v>
      </c>
      <c r="B19" s="52" t="s">
        <v>1177</v>
      </c>
      <c r="C19" s="138" t="s">
        <v>1135</v>
      </c>
      <c r="D19" s="52">
        <v>0</v>
      </c>
      <c r="E19" s="140"/>
      <c r="F19" s="140"/>
      <c r="G19" s="53">
        <f t="shared" si="0"/>
        <v>0</v>
      </c>
    </row>
    <row r="20" spans="1:7" s="128" customFormat="1">
      <c r="A20" s="52">
        <v>17</v>
      </c>
      <c r="B20" s="52" t="s">
        <v>1178</v>
      </c>
      <c r="C20" s="138" t="s">
        <v>1136</v>
      </c>
      <c r="D20" s="52">
        <v>0</v>
      </c>
      <c r="E20" s="140"/>
      <c r="F20" s="140"/>
      <c r="G20" s="53">
        <f t="shared" si="0"/>
        <v>0</v>
      </c>
    </row>
    <row r="21" spans="1:7" s="128" customFormat="1">
      <c r="A21" s="52">
        <v>18</v>
      </c>
      <c r="B21" s="52" t="s">
        <v>1179</v>
      </c>
      <c r="C21" s="138" t="s">
        <v>1186</v>
      </c>
      <c r="D21" s="52">
        <v>2</v>
      </c>
      <c r="E21" s="140"/>
      <c r="F21" s="140"/>
      <c r="G21" s="53">
        <f t="shared" si="0"/>
        <v>2</v>
      </c>
    </row>
    <row r="22" spans="1:7" s="128" customFormat="1">
      <c r="A22" s="52">
        <v>19</v>
      </c>
      <c r="B22" s="52" t="s">
        <v>1180</v>
      </c>
      <c r="C22" s="138" t="s">
        <v>1137</v>
      </c>
      <c r="D22" s="52">
        <v>2</v>
      </c>
      <c r="E22" s="140"/>
      <c r="F22" s="140"/>
      <c r="G22" s="53">
        <f t="shared" si="0"/>
        <v>2</v>
      </c>
    </row>
    <row r="23" spans="1:7" s="128" customFormat="1">
      <c r="A23" s="52">
        <v>20</v>
      </c>
      <c r="B23" s="52" t="s">
        <v>1181</v>
      </c>
      <c r="C23" s="138" t="s">
        <v>1138</v>
      </c>
      <c r="D23" s="52">
        <v>1</v>
      </c>
      <c r="E23" s="140"/>
      <c r="F23" s="140"/>
      <c r="G23" s="53">
        <f t="shared" si="0"/>
        <v>1</v>
      </c>
    </row>
    <row r="24" spans="1:7" s="128" customFormat="1">
      <c r="A24" s="52">
        <v>21</v>
      </c>
      <c r="B24" s="52" t="s">
        <v>1182</v>
      </c>
      <c r="C24" s="138" t="s">
        <v>1139</v>
      </c>
      <c r="D24" s="52">
        <v>1</v>
      </c>
      <c r="E24" s="140"/>
      <c r="F24" s="140"/>
      <c r="G24" s="53">
        <f t="shared" si="0"/>
        <v>1</v>
      </c>
    </row>
    <row r="25" spans="1:7" s="128" customFormat="1">
      <c r="A25" s="52">
        <v>22</v>
      </c>
      <c r="B25" s="52" t="s">
        <v>1187</v>
      </c>
      <c r="C25" s="138" t="s">
        <v>1188</v>
      </c>
      <c r="D25" s="52">
        <v>1</v>
      </c>
      <c r="E25" s="140"/>
      <c r="F25" s="140"/>
      <c r="G25" s="53">
        <f t="shared" si="0"/>
        <v>1</v>
      </c>
    </row>
    <row r="26" spans="1:7" s="128" customFormat="1">
      <c r="A26" s="52">
        <v>23</v>
      </c>
      <c r="B26" s="52" t="s">
        <v>1189</v>
      </c>
      <c r="C26" s="138" t="s">
        <v>1190</v>
      </c>
      <c r="D26" s="52">
        <v>1</v>
      </c>
      <c r="E26" s="140"/>
      <c r="F26" s="140"/>
      <c r="G26" s="53">
        <f t="shared" si="0"/>
        <v>1</v>
      </c>
    </row>
    <row r="27" spans="1:7" s="128" customFormat="1">
      <c r="A27" s="52">
        <v>24</v>
      </c>
      <c r="B27" s="52" t="s">
        <v>1191</v>
      </c>
      <c r="C27" s="138" t="s">
        <v>1192</v>
      </c>
      <c r="D27" s="52">
        <v>1</v>
      </c>
      <c r="E27" s="140"/>
      <c r="F27" s="140"/>
      <c r="G27" s="53">
        <f t="shared" si="0"/>
        <v>1</v>
      </c>
    </row>
    <row r="28" spans="1:7" s="128" customFormat="1">
      <c r="A28" s="52">
        <v>25</v>
      </c>
      <c r="B28" s="52" t="s">
        <v>1193</v>
      </c>
      <c r="C28" s="138" t="s">
        <v>1194</v>
      </c>
      <c r="D28" s="52">
        <v>2</v>
      </c>
      <c r="E28" s="140"/>
      <c r="F28" s="140"/>
      <c r="G28" s="53">
        <f t="shared" si="0"/>
        <v>2</v>
      </c>
    </row>
    <row r="29" spans="1:7" s="128" customFormat="1">
      <c r="A29" s="52">
        <v>26</v>
      </c>
      <c r="B29" s="52" t="s">
        <v>1195</v>
      </c>
      <c r="C29" s="138" t="s">
        <v>1196</v>
      </c>
      <c r="D29" s="52">
        <v>4</v>
      </c>
      <c r="E29" s="140"/>
      <c r="F29" s="140"/>
      <c r="G29" s="53">
        <f t="shared" si="0"/>
        <v>4</v>
      </c>
    </row>
    <row r="30" spans="1:7">
      <c r="A30" s="131"/>
      <c r="B30" s="131"/>
      <c r="C30" s="132"/>
      <c r="D30" s="131"/>
    </row>
    <row r="31" spans="1:7">
      <c r="A31" s="247" t="s">
        <v>1454</v>
      </c>
      <c r="B31" s="247"/>
      <c r="C31" s="247"/>
      <c r="D31" s="247"/>
    </row>
    <row r="32" spans="1:7">
      <c r="A32" s="133">
        <v>1</v>
      </c>
      <c r="B32" s="133" t="s">
        <v>1470</v>
      </c>
      <c r="C32" s="170" t="s">
        <v>1456</v>
      </c>
      <c r="D32" s="135">
        <v>1</v>
      </c>
      <c r="E32" s="168"/>
      <c r="F32" s="168"/>
      <c r="G32" s="53">
        <f t="shared" ref="G32" si="1">SUM(D32+E32)-F32</f>
        <v>1</v>
      </c>
    </row>
    <row r="33" spans="1:7">
      <c r="A33" s="133">
        <v>2</v>
      </c>
      <c r="B33" s="133" t="s">
        <v>1471</v>
      </c>
      <c r="C33" s="170" t="s">
        <v>1457</v>
      </c>
      <c r="D33" s="135">
        <v>1</v>
      </c>
      <c r="E33" s="168"/>
      <c r="F33" s="168"/>
      <c r="G33" s="53">
        <f t="shared" ref="G33:G48" si="2">SUM(D33+E33)-F33</f>
        <v>1</v>
      </c>
    </row>
    <row r="34" spans="1:7">
      <c r="A34" s="133">
        <v>3</v>
      </c>
      <c r="B34" s="133" t="s">
        <v>1472</v>
      </c>
      <c r="C34" s="170" t="s">
        <v>1458</v>
      </c>
      <c r="D34" s="135">
        <v>1</v>
      </c>
      <c r="E34" s="168"/>
      <c r="F34" s="168"/>
      <c r="G34" s="53">
        <f t="shared" si="2"/>
        <v>1</v>
      </c>
    </row>
    <row r="35" spans="1:7">
      <c r="A35" s="133">
        <v>4</v>
      </c>
      <c r="B35" s="133" t="s">
        <v>1473</v>
      </c>
      <c r="C35" s="170" t="s">
        <v>1459</v>
      </c>
      <c r="D35" s="135">
        <v>2</v>
      </c>
      <c r="E35" s="168"/>
      <c r="F35" s="168"/>
      <c r="G35" s="53">
        <f t="shared" si="2"/>
        <v>2</v>
      </c>
    </row>
    <row r="36" spans="1:7">
      <c r="A36" s="133">
        <v>5</v>
      </c>
      <c r="B36" s="133" t="s">
        <v>1474</v>
      </c>
      <c r="C36" s="170" t="s">
        <v>1460</v>
      </c>
      <c r="D36" s="135">
        <v>0</v>
      </c>
      <c r="E36" s="168"/>
      <c r="F36" s="168"/>
      <c r="G36" s="53">
        <f t="shared" si="2"/>
        <v>0</v>
      </c>
    </row>
    <row r="37" spans="1:7">
      <c r="A37" s="133">
        <v>6</v>
      </c>
      <c r="B37" s="133" t="s">
        <v>1475</v>
      </c>
      <c r="C37" s="170" t="s">
        <v>1461</v>
      </c>
      <c r="D37" s="135">
        <v>1</v>
      </c>
      <c r="E37" s="168"/>
      <c r="F37" s="168"/>
      <c r="G37" s="53">
        <f t="shared" si="2"/>
        <v>1</v>
      </c>
    </row>
    <row r="38" spans="1:7">
      <c r="A38" s="133">
        <v>7</v>
      </c>
      <c r="B38" s="133" t="s">
        <v>1476</v>
      </c>
      <c r="C38" s="170" t="s">
        <v>1462</v>
      </c>
      <c r="D38" s="135">
        <v>2</v>
      </c>
      <c r="E38" s="168"/>
      <c r="F38" s="168"/>
      <c r="G38" s="53">
        <f t="shared" si="2"/>
        <v>2</v>
      </c>
    </row>
    <row r="39" spans="1:7">
      <c r="A39" s="133">
        <v>8</v>
      </c>
      <c r="B39" s="133" t="s">
        <v>1477</v>
      </c>
      <c r="C39" s="170" t="s">
        <v>1463</v>
      </c>
      <c r="D39" s="135">
        <v>1</v>
      </c>
      <c r="E39" s="168"/>
      <c r="F39" s="168"/>
      <c r="G39" s="53">
        <f t="shared" si="2"/>
        <v>1</v>
      </c>
    </row>
    <row r="40" spans="1:7">
      <c r="A40" s="133">
        <v>9</v>
      </c>
      <c r="B40" s="133" t="s">
        <v>1478</v>
      </c>
      <c r="C40" s="170" t="s">
        <v>1464</v>
      </c>
      <c r="D40" s="135">
        <v>0</v>
      </c>
      <c r="E40" s="168"/>
      <c r="F40" s="168"/>
      <c r="G40" s="53">
        <f t="shared" si="2"/>
        <v>0</v>
      </c>
    </row>
    <row r="41" spans="1:7">
      <c r="A41" s="133">
        <v>10</v>
      </c>
      <c r="B41" s="133" t="s">
        <v>1479</v>
      </c>
      <c r="C41" s="170" t="s">
        <v>1455</v>
      </c>
      <c r="D41" s="135">
        <v>4</v>
      </c>
      <c r="E41" s="168"/>
      <c r="F41" s="168">
        <v>1</v>
      </c>
      <c r="G41" s="53">
        <f t="shared" si="2"/>
        <v>3</v>
      </c>
    </row>
    <row r="42" spans="1:7">
      <c r="A42" s="133">
        <v>11</v>
      </c>
      <c r="B42" s="133" t="s">
        <v>1480</v>
      </c>
      <c r="C42" s="170" t="s">
        <v>1465</v>
      </c>
      <c r="D42" s="135">
        <v>0</v>
      </c>
      <c r="E42" s="168"/>
      <c r="F42" s="168"/>
      <c r="G42" s="53">
        <f t="shared" si="2"/>
        <v>0</v>
      </c>
    </row>
    <row r="43" spans="1:7">
      <c r="A43" s="133">
        <v>12</v>
      </c>
      <c r="B43" s="133" t="s">
        <v>1481</v>
      </c>
      <c r="C43" s="170" t="s">
        <v>1466</v>
      </c>
      <c r="D43" s="135">
        <v>0</v>
      </c>
      <c r="E43" s="168"/>
      <c r="F43" s="168"/>
      <c r="G43" s="53">
        <f t="shared" si="2"/>
        <v>0</v>
      </c>
    </row>
    <row r="44" spans="1:7">
      <c r="A44" s="133">
        <v>13</v>
      </c>
      <c r="B44" s="133" t="s">
        <v>1482</v>
      </c>
      <c r="C44" s="170" t="s">
        <v>1467</v>
      </c>
      <c r="D44" s="135">
        <v>0</v>
      </c>
      <c r="E44" s="168"/>
      <c r="F44" s="168"/>
      <c r="G44" s="53">
        <f t="shared" si="2"/>
        <v>0</v>
      </c>
    </row>
    <row r="45" spans="1:7">
      <c r="A45" s="133">
        <v>14</v>
      </c>
      <c r="B45" s="133" t="s">
        <v>1483</v>
      </c>
      <c r="C45" s="170" t="s">
        <v>1468</v>
      </c>
      <c r="D45" s="135">
        <v>0</v>
      </c>
      <c r="E45" s="168"/>
      <c r="F45" s="168"/>
      <c r="G45" s="53">
        <f t="shared" si="2"/>
        <v>0</v>
      </c>
    </row>
    <row r="46" spans="1:7">
      <c r="A46" s="133">
        <v>15</v>
      </c>
      <c r="B46" s="133" t="s">
        <v>1484</v>
      </c>
      <c r="C46" s="170" t="s">
        <v>1089</v>
      </c>
      <c r="D46" s="135">
        <v>1</v>
      </c>
      <c r="E46" s="168"/>
      <c r="F46" s="168"/>
      <c r="G46" s="53">
        <f t="shared" si="2"/>
        <v>1</v>
      </c>
    </row>
    <row r="47" spans="1:7">
      <c r="A47" s="133">
        <v>16</v>
      </c>
      <c r="B47" s="133" t="s">
        <v>1485</v>
      </c>
      <c r="C47" s="170" t="s">
        <v>1469</v>
      </c>
      <c r="D47" s="135">
        <v>0</v>
      </c>
      <c r="E47" s="168"/>
      <c r="F47" s="168"/>
      <c r="G47" s="53">
        <f t="shared" si="2"/>
        <v>0</v>
      </c>
    </row>
    <row r="48" spans="1:7">
      <c r="A48" s="133">
        <v>17</v>
      </c>
      <c r="B48" s="133" t="s">
        <v>1486</v>
      </c>
      <c r="C48" s="134" t="s">
        <v>1090</v>
      </c>
      <c r="D48" s="135">
        <v>0</v>
      </c>
      <c r="E48" s="168"/>
      <c r="F48" s="168"/>
      <c r="G48" s="53">
        <f t="shared" si="2"/>
        <v>0</v>
      </c>
    </row>
  </sheetData>
  <mergeCells count="2">
    <mergeCell ref="A31:D31"/>
    <mergeCell ref="A2:G2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G76"/>
  <sheetViews>
    <sheetView workbookViewId="0">
      <selection activeCell="D2" sqref="D1:F1048576"/>
    </sheetView>
  </sheetViews>
  <sheetFormatPr defaultRowHeight="15"/>
  <cols>
    <col min="1" max="1" width="6.85546875" style="25" bestFit="1" customWidth="1"/>
    <col min="2" max="2" width="13.140625" style="25" bestFit="1" customWidth="1"/>
    <col min="3" max="3" width="30.85546875" style="30" bestFit="1" customWidth="1"/>
    <col min="4" max="4" width="11.7109375" style="150" hidden="1" customWidth="1"/>
    <col min="5" max="6" width="0" style="150" hidden="1" customWidth="1"/>
    <col min="7" max="7" width="9.140625" style="150"/>
  </cols>
  <sheetData>
    <row r="1" spans="1:7">
      <c r="A1" s="250" t="s">
        <v>1383</v>
      </c>
      <c r="B1" s="250"/>
      <c r="C1" s="250"/>
      <c r="D1" s="250"/>
    </row>
    <row r="2" spans="1:7">
      <c r="A2" s="152" t="s">
        <v>0</v>
      </c>
      <c r="B2" s="152" t="s">
        <v>232</v>
      </c>
      <c r="C2" s="165" t="s">
        <v>1</v>
      </c>
      <c r="D2" s="153" t="s">
        <v>233</v>
      </c>
      <c r="E2" s="137" t="s">
        <v>218</v>
      </c>
      <c r="F2" s="137" t="s">
        <v>770</v>
      </c>
      <c r="G2" s="137" t="s">
        <v>219</v>
      </c>
    </row>
    <row r="3" spans="1:7" ht="15.75">
      <c r="A3" s="149">
        <v>1</v>
      </c>
      <c r="B3" s="149" t="s">
        <v>1332</v>
      </c>
      <c r="C3" s="166" t="s">
        <v>1092</v>
      </c>
      <c r="D3" s="148">
        <v>1</v>
      </c>
      <c r="E3" s="151"/>
      <c r="F3" s="151"/>
      <c r="G3" s="151">
        <f>SUM(D3+E3)-F3</f>
        <v>1</v>
      </c>
    </row>
    <row r="4" spans="1:7" ht="15.75">
      <c r="A4" s="149">
        <v>2</v>
      </c>
      <c r="B4" s="149" t="s">
        <v>1333</v>
      </c>
      <c r="C4" s="166" t="s">
        <v>1093</v>
      </c>
      <c r="D4" s="148">
        <v>15</v>
      </c>
      <c r="E4" s="151"/>
      <c r="F4" s="151"/>
      <c r="G4" s="151">
        <f t="shared" ref="G4:G65" si="0">SUM(D4+E4)-F4</f>
        <v>15</v>
      </c>
    </row>
    <row r="5" spans="1:7" ht="15.75">
      <c r="A5" s="149">
        <v>3</v>
      </c>
      <c r="B5" s="149" t="s">
        <v>1334</v>
      </c>
      <c r="C5" s="166" t="s">
        <v>1094</v>
      </c>
      <c r="D5" s="148">
        <v>17</v>
      </c>
      <c r="E5" s="151"/>
      <c r="F5" s="151"/>
      <c r="G5" s="151">
        <f t="shared" si="0"/>
        <v>17</v>
      </c>
    </row>
    <row r="6" spans="1:7" ht="15.75">
      <c r="A6" s="149">
        <v>4</v>
      </c>
      <c r="B6" s="149" t="s">
        <v>1335</v>
      </c>
      <c r="C6" s="166" t="s">
        <v>1095</v>
      </c>
      <c r="D6" s="148">
        <v>9</v>
      </c>
      <c r="E6" s="151"/>
      <c r="F6" s="151">
        <v>2</v>
      </c>
      <c r="G6" s="151">
        <f t="shared" si="0"/>
        <v>7</v>
      </c>
    </row>
    <row r="7" spans="1:7" ht="15.75">
      <c r="A7" s="149">
        <v>5</v>
      </c>
      <c r="B7" s="149" t="s">
        <v>1336</v>
      </c>
      <c r="C7" s="166" t="s">
        <v>1096</v>
      </c>
      <c r="D7" s="148">
        <v>1</v>
      </c>
      <c r="E7" s="151"/>
      <c r="F7" s="151"/>
      <c r="G7" s="151">
        <f t="shared" si="0"/>
        <v>1</v>
      </c>
    </row>
    <row r="8" spans="1:7" ht="15.75">
      <c r="A8" s="149">
        <v>6</v>
      </c>
      <c r="B8" s="149" t="s">
        <v>1337</v>
      </c>
      <c r="C8" s="166" t="s">
        <v>1097</v>
      </c>
      <c r="D8" s="148">
        <v>22</v>
      </c>
      <c r="E8" s="151"/>
      <c r="F8" s="151">
        <v>1</v>
      </c>
      <c r="G8" s="151">
        <f t="shared" si="0"/>
        <v>21</v>
      </c>
    </row>
    <row r="9" spans="1:7" ht="15.75">
      <c r="A9" s="149">
        <v>7</v>
      </c>
      <c r="B9" s="149" t="s">
        <v>1338</v>
      </c>
      <c r="C9" s="166" t="s">
        <v>1098</v>
      </c>
      <c r="D9" s="148">
        <v>1</v>
      </c>
      <c r="E9" s="151"/>
      <c r="F9" s="151"/>
      <c r="G9" s="151">
        <f t="shared" si="0"/>
        <v>1</v>
      </c>
    </row>
    <row r="10" spans="1:7" ht="15.75">
      <c r="A10" s="149">
        <v>8</v>
      </c>
      <c r="B10" s="149" t="s">
        <v>1339</v>
      </c>
      <c r="C10" s="166" t="s">
        <v>1099</v>
      </c>
      <c r="D10" s="148">
        <v>5</v>
      </c>
      <c r="E10" s="151"/>
      <c r="F10" s="151"/>
      <c r="G10" s="151">
        <f t="shared" si="0"/>
        <v>5</v>
      </c>
    </row>
    <row r="11" spans="1:7" ht="15.75">
      <c r="A11" s="149">
        <v>9</v>
      </c>
      <c r="B11" s="149" t="s">
        <v>1340</v>
      </c>
      <c r="C11" s="166" t="s">
        <v>1100</v>
      </c>
      <c r="D11" s="148">
        <v>25</v>
      </c>
      <c r="E11" s="151"/>
      <c r="F11" s="151"/>
      <c r="G11" s="151">
        <f t="shared" si="0"/>
        <v>25</v>
      </c>
    </row>
    <row r="12" spans="1:7" ht="15.75">
      <c r="A12" s="149">
        <v>10</v>
      </c>
      <c r="B12" s="149" t="s">
        <v>1341</v>
      </c>
      <c r="C12" s="166" t="s">
        <v>1101</v>
      </c>
      <c r="D12" s="148">
        <v>18</v>
      </c>
      <c r="E12" s="151"/>
      <c r="F12" s="151"/>
      <c r="G12" s="151">
        <f t="shared" si="0"/>
        <v>18</v>
      </c>
    </row>
    <row r="13" spans="1:7" ht="15.75">
      <c r="A13" s="149">
        <v>11</v>
      </c>
      <c r="B13" s="149" t="s">
        <v>1342</v>
      </c>
      <c r="C13" s="166" t="s">
        <v>1102</v>
      </c>
      <c r="D13" s="148">
        <v>13</v>
      </c>
      <c r="E13" s="151"/>
      <c r="F13" s="151"/>
      <c r="G13" s="151">
        <f t="shared" si="0"/>
        <v>13</v>
      </c>
    </row>
    <row r="14" spans="1:7" ht="15.75">
      <c r="A14" s="149">
        <v>12</v>
      </c>
      <c r="B14" s="149" t="s">
        <v>1343</v>
      </c>
      <c r="C14" s="166" t="s">
        <v>1103</v>
      </c>
      <c r="D14" s="148"/>
      <c r="E14" s="151"/>
      <c r="F14" s="151"/>
      <c r="G14" s="151">
        <f t="shared" si="0"/>
        <v>0</v>
      </c>
    </row>
    <row r="15" spans="1:7" ht="15.75">
      <c r="A15" s="149">
        <v>13</v>
      </c>
      <c r="B15" s="149" t="s">
        <v>1344</v>
      </c>
      <c r="C15" s="166" t="s">
        <v>1104</v>
      </c>
      <c r="D15" s="148"/>
      <c r="E15" s="151"/>
      <c r="F15" s="151"/>
      <c r="G15" s="151">
        <f t="shared" si="0"/>
        <v>0</v>
      </c>
    </row>
    <row r="16" spans="1:7" ht="15.75">
      <c r="A16" s="149">
        <v>14</v>
      </c>
      <c r="B16" s="149" t="s">
        <v>1345</v>
      </c>
      <c r="C16" s="166" t="s">
        <v>1105</v>
      </c>
      <c r="D16" s="148"/>
      <c r="E16" s="151"/>
      <c r="F16" s="151"/>
      <c r="G16" s="151">
        <f t="shared" si="0"/>
        <v>0</v>
      </c>
    </row>
    <row r="17" spans="1:7" ht="15.75">
      <c r="A17" s="149">
        <v>15</v>
      </c>
      <c r="B17" s="149" t="s">
        <v>1346</v>
      </c>
      <c r="C17" s="166" t="s">
        <v>1617</v>
      </c>
      <c r="D17" s="148">
        <v>6</v>
      </c>
      <c r="E17" s="151"/>
      <c r="F17" s="151">
        <v>1</v>
      </c>
      <c r="G17" s="151">
        <f t="shared" si="0"/>
        <v>5</v>
      </c>
    </row>
    <row r="18" spans="1:7" ht="15.75">
      <c r="A18" s="149">
        <v>16</v>
      </c>
      <c r="B18" s="149" t="s">
        <v>1347</v>
      </c>
      <c r="C18" s="166" t="s">
        <v>1384</v>
      </c>
      <c r="D18" s="148">
        <v>7</v>
      </c>
      <c r="E18" s="151"/>
      <c r="F18" s="151">
        <v>1</v>
      </c>
      <c r="G18" s="151">
        <f t="shared" si="0"/>
        <v>6</v>
      </c>
    </row>
    <row r="19" spans="1:7" ht="15.75">
      <c r="A19" s="149">
        <v>17</v>
      </c>
      <c r="B19" s="149" t="s">
        <v>1348</v>
      </c>
      <c r="C19" s="166" t="s">
        <v>1385</v>
      </c>
      <c r="D19" s="148">
        <v>6</v>
      </c>
      <c r="E19" s="151"/>
      <c r="F19" s="151"/>
      <c r="G19" s="151">
        <f t="shared" si="0"/>
        <v>6</v>
      </c>
    </row>
    <row r="20" spans="1:7" ht="15.75">
      <c r="A20" s="149">
        <v>18</v>
      </c>
      <c r="B20" s="149" t="s">
        <v>1349</v>
      </c>
      <c r="C20" s="166" t="s">
        <v>1386</v>
      </c>
      <c r="D20" s="148">
        <v>2</v>
      </c>
      <c r="E20" s="151"/>
      <c r="F20" s="151">
        <v>1</v>
      </c>
      <c r="G20" s="151">
        <f t="shared" si="0"/>
        <v>1</v>
      </c>
    </row>
    <row r="21" spans="1:7" ht="15.75">
      <c r="A21" s="149">
        <v>19</v>
      </c>
      <c r="B21" s="149" t="s">
        <v>1350</v>
      </c>
      <c r="C21" s="166" t="s">
        <v>1387</v>
      </c>
      <c r="D21" s="148">
        <v>2</v>
      </c>
      <c r="E21" s="151"/>
      <c r="F21" s="151"/>
      <c r="G21" s="151">
        <f t="shared" si="0"/>
        <v>2</v>
      </c>
    </row>
    <row r="22" spans="1:7" ht="15.75">
      <c r="A22" s="149">
        <v>20</v>
      </c>
      <c r="B22" s="149" t="s">
        <v>1351</v>
      </c>
      <c r="C22" s="166" t="s">
        <v>1388</v>
      </c>
      <c r="D22" s="148">
        <v>1</v>
      </c>
      <c r="E22" s="151"/>
      <c r="F22" s="151"/>
      <c r="G22" s="151">
        <f t="shared" si="0"/>
        <v>1</v>
      </c>
    </row>
    <row r="23" spans="1:7" ht="15.75">
      <c r="A23" s="149">
        <v>21</v>
      </c>
      <c r="B23" s="149" t="s">
        <v>1352</v>
      </c>
      <c r="C23" s="166" t="s">
        <v>1389</v>
      </c>
      <c r="D23" s="148">
        <v>0</v>
      </c>
      <c r="E23" s="151"/>
      <c r="F23" s="151"/>
      <c r="G23" s="151">
        <f t="shared" si="0"/>
        <v>0</v>
      </c>
    </row>
    <row r="24" spans="1:7" ht="15.75">
      <c r="A24" s="149">
        <v>22</v>
      </c>
      <c r="B24" s="149" t="s">
        <v>1353</v>
      </c>
      <c r="C24" s="166" t="s">
        <v>1390</v>
      </c>
      <c r="D24" s="148">
        <v>0</v>
      </c>
      <c r="E24" s="151"/>
      <c r="F24" s="151"/>
      <c r="G24" s="151">
        <f t="shared" si="0"/>
        <v>0</v>
      </c>
    </row>
    <row r="25" spans="1:7" ht="15.75">
      <c r="A25" s="149">
        <v>23</v>
      </c>
      <c r="B25" s="149" t="s">
        <v>1607</v>
      </c>
      <c r="C25" s="166" t="s">
        <v>1610</v>
      </c>
      <c r="D25" s="148">
        <v>1</v>
      </c>
      <c r="E25" s="151"/>
      <c r="F25" s="151"/>
      <c r="G25" s="151">
        <f t="shared" si="0"/>
        <v>1</v>
      </c>
    </row>
    <row r="26" spans="1:7" ht="15.75">
      <c r="A26" s="149">
        <v>24</v>
      </c>
      <c r="B26" s="149" t="s">
        <v>1608</v>
      </c>
      <c r="C26" s="166" t="s">
        <v>1611</v>
      </c>
      <c r="D26" s="148">
        <v>4</v>
      </c>
      <c r="E26" s="151"/>
      <c r="F26" s="151"/>
      <c r="G26" s="151">
        <f t="shared" si="0"/>
        <v>4</v>
      </c>
    </row>
    <row r="27" spans="1:7" ht="15.75">
      <c r="A27" s="149">
        <v>25</v>
      </c>
      <c r="B27" s="149" t="s">
        <v>1609</v>
      </c>
      <c r="C27" s="166" t="s">
        <v>1612</v>
      </c>
      <c r="D27" s="148">
        <v>3</v>
      </c>
      <c r="E27" s="151"/>
      <c r="F27" s="151"/>
      <c r="G27" s="151">
        <f t="shared" si="0"/>
        <v>3</v>
      </c>
    </row>
    <row r="28" spans="1:7" ht="15.75">
      <c r="A28" s="149">
        <v>26</v>
      </c>
      <c r="B28" s="149" t="s">
        <v>1354</v>
      </c>
      <c r="C28" s="166" t="s">
        <v>1106</v>
      </c>
      <c r="D28" s="148">
        <v>0</v>
      </c>
      <c r="E28" s="151"/>
      <c r="F28" s="151"/>
      <c r="G28" s="151">
        <f t="shared" si="0"/>
        <v>0</v>
      </c>
    </row>
    <row r="29" spans="1:7" ht="15.75">
      <c r="A29" s="149">
        <v>27</v>
      </c>
      <c r="B29" s="149" t="s">
        <v>1355</v>
      </c>
      <c r="C29" s="166" t="s">
        <v>1107</v>
      </c>
      <c r="D29" s="148">
        <v>5</v>
      </c>
      <c r="E29" s="151"/>
      <c r="F29" s="151"/>
      <c r="G29" s="151">
        <f t="shared" si="0"/>
        <v>5</v>
      </c>
    </row>
    <row r="30" spans="1:7" ht="15.75">
      <c r="A30" s="149">
        <v>28</v>
      </c>
      <c r="B30" s="149" t="s">
        <v>1356</v>
      </c>
      <c r="C30" s="166" t="s">
        <v>1108</v>
      </c>
      <c r="D30" s="148">
        <v>9</v>
      </c>
      <c r="E30" s="151"/>
      <c r="F30" s="151"/>
      <c r="G30" s="151">
        <f t="shared" si="0"/>
        <v>9</v>
      </c>
    </row>
    <row r="31" spans="1:7" ht="15.75">
      <c r="A31" s="149">
        <v>29</v>
      </c>
      <c r="B31" s="149" t="s">
        <v>1357</v>
      </c>
      <c r="C31" s="166" t="s">
        <v>1109</v>
      </c>
      <c r="D31" s="148">
        <v>33</v>
      </c>
      <c r="E31" s="151"/>
      <c r="F31" s="151">
        <v>1</v>
      </c>
      <c r="G31" s="151">
        <f t="shared" si="0"/>
        <v>32</v>
      </c>
    </row>
    <row r="32" spans="1:7" ht="15.75">
      <c r="A32" s="149">
        <v>30</v>
      </c>
      <c r="B32" s="149" t="s">
        <v>1358</v>
      </c>
      <c r="C32" s="166" t="s">
        <v>1110</v>
      </c>
      <c r="D32" s="148">
        <v>26</v>
      </c>
      <c r="E32" s="151"/>
      <c r="F32" s="151">
        <v>1</v>
      </c>
      <c r="G32" s="151">
        <f t="shared" si="0"/>
        <v>25</v>
      </c>
    </row>
    <row r="33" spans="1:7" ht="15.75">
      <c r="A33" s="149">
        <v>31</v>
      </c>
      <c r="B33" s="149" t="s">
        <v>1359</v>
      </c>
      <c r="C33" s="166" t="s">
        <v>1111</v>
      </c>
      <c r="D33" s="148">
        <v>12</v>
      </c>
      <c r="E33" s="151"/>
      <c r="F33" s="151"/>
      <c r="G33" s="151">
        <f t="shared" si="0"/>
        <v>12</v>
      </c>
    </row>
    <row r="34" spans="1:7" ht="15.75">
      <c r="A34" s="149">
        <v>32</v>
      </c>
      <c r="B34" s="149" t="s">
        <v>1360</v>
      </c>
      <c r="C34" s="166" t="s">
        <v>1112</v>
      </c>
      <c r="D34" s="148">
        <v>5</v>
      </c>
      <c r="E34" s="151"/>
      <c r="F34" s="151">
        <v>1</v>
      </c>
      <c r="G34" s="151">
        <f t="shared" si="0"/>
        <v>4</v>
      </c>
    </row>
    <row r="35" spans="1:7" ht="15.75">
      <c r="A35" s="149">
        <v>33</v>
      </c>
      <c r="B35" s="149" t="s">
        <v>1361</v>
      </c>
      <c r="C35" s="166" t="s">
        <v>1113</v>
      </c>
      <c r="D35" s="148">
        <v>1</v>
      </c>
      <c r="E35" s="151"/>
      <c r="F35" s="151"/>
      <c r="G35" s="151">
        <f t="shared" si="0"/>
        <v>1</v>
      </c>
    </row>
    <row r="36" spans="1:7" ht="15.75">
      <c r="A36" s="149">
        <v>34</v>
      </c>
      <c r="B36" s="149" t="s">
        <v>1362</v>
      </c>
      <c r="C36" s="166" t="s">
        <v>1114</v>
      </c>
      <c r="D36" s="148">
        <v>0</v>
      </c>
      <c r="E36" s="151"/>
      <c r="F36" s="151"/>
      <c r="G36" s="151">
        <f t="shared" si="0"/>
        <v>0</v>
      </c>
    </row>
    <row r="37" spans="1:7" ht="15.75">
      <c r="A37" s="149">
        <v>35</v>
      </c>
      <c r="B37" s="149" t="s">
        <v>1363</v>
      </c>
      <c r="C37" s="166" t="s">
        <v>1115</v>
      </c>
      <c r="D37" s="148">
        <v>0</v>
      </c>
      <c r="E37" s="151"/>
      <c r="F37" s="151"/>
      <c r="G37" s="151">
        <f t="shared" si="0"/>
        <v>0</v>
      </c>
    </row>
    <row r="38" spans="1:7" ht="15.75">
      <c r="A38" s="149">
        <v>36</v>
      </c>
      <c r="B38" s="149" t="s">
        <v>1364</v>
      </c>
      <c r="C38" s="166" t="s">
        <v>1116</v>
      </c>
      <c r="D38" s="148">
        <f>5+2</f>
        <v>7</v>
      </c>
      <c r="E38" s="151"/>
      <c r="F38" s="151"/>
      <c r="G38" s="151">
        <f t="shared" si="0"/>
        <v>7</v>
      </c>
    </row>
    <row r="39" spans="1:7" ht="15.75">
      <c r="A39" s="149">
        <v>37</v>
      </c>
      <c r="B39" s="149" t="s">
        <v>1381</v>
      </c>
      <c r="C39" s="166" t="s">
        <v>1382</v>
      </c>
      <c r="D39" s="148">
        <f>11+8</f>
        <v>19</v>
      </c>
      <c r="E39" s="151"/>
      <c r="F39" s="151"/>
      <c r="G39" s="151">
        <f t="shared" si="0"/>
        <v>19</v>
      </c>
    </row>
    <row r="40" spans="1:7" ht="15.75">
      <c r="A40" s="149">
        <v>38</v>
      </c>
      <c r="B40" s="149" t="s">
        <v>1605</v>
      </c>
      <c r="C40" s="166" t="s">
        <v>1606</v>
      </c>
      <c r="D40" s="148">
        <v>6</v>
      </c>
      <c r="E40" s="151"/>
      <c r="F40" s="151"/>
      <c r="G40" s="151">
        <f t="shared" si="0"/>
        <v>6</v>
      </c>
    </row>
    <row r="41" spans="1:7" ht="15.75">
      <c r="A41" s="149">
        <v>39</v>
      </c>
      <c r="B41" s="149" t="s">
        <v>1365</v>
      </c>
      <c r="C41" s="166" t="s">
        <v>1117</v>
      </c>
      <c r="D41" s="148">
        <v>9</v>
      </c>
      <c r="E41" s="151"/>
      <c r="F41" s="151"/>
      <c r="G41" s="151">
        <f t="shared" si="0"/>
        <v>9</v>
      </c>
    </row>
    <row r="42" spans="1:7" ht="15.75">
      <c r="A42" s="149">
        <v>40</v>
      </c>
      <c r="B42" s="149" t="s">
        <v>1366</v>
      </c>
      <c r="C42" s="166" t="s">
        <v>1118</v>
      </c>
      <c r="D42" s="148">
        <v>6</v>
      </c>
      <c r="E42" s="151"/>
      <c r="F42" s="151"/>
      <c r="G42" s="151">
        <f t="shared" si="0"/>
        <v>6</v>
      </c>
    </row>
    <row r="43" spans="1:7" ht="15.75">
      <c r="A43" s="149">
        <v>41</v>
      </c>
      <c r="B43" s="149" t="s">
        <v>1367</v>
      </c>
      <c r="C43" s="166" t="s">
        <v>1119</v>
      </c>
      <c r="D43" s="148">
        <f>16+2+9</f>
        <v>27</v>
      </c>
      <c r="E43" s="151"/>
      <c r="F43" s="151"/>
      <c r="G43" s="151">
        <f t="shared" si="0"/>
        <v>27</v>
      </c>
    </row>
    <row r="44" spans="1:7" ht="15.75">
      <c r="A44" s="149">
        <v>42</v>
      </c>
      <c r="B44" s="149" t="s">
        <v>1368</v>
      </c>
      <c r="C44" s="166" t="s">
        <v>1120</v>
      </c>
      <c r="D44" s="148">
        <v>10</v>
      </c>
      <c r="E44" s="151"/>
      <c r="F44" s="151">
        <v>1</v>
      </c>
      <c r="G44" s="151">
        <f t="shared" si="0"/>
        <v>9</v>
      </c>
    </row>
    <row r="45" spans="1:7" ht="15.75">
      <c r="A45" s="149">
        <v>43</v>
      </c>
      <c r="B45" s="149" t="s">
        <v>1369</v>
      </c>
      <c r="C45" s="166" t="s">
        <v>1121</v>
      </c>
      <c r="D45" s="148">
        <v>0</v>
      </c>
      <c r="E45" s="151"/>
      <c r="F45" s="151"/>
      <c r="G45" s="151">
        <f t="shared" si="0"/>
        <v>0</v>
      </c>
    </row>
    <row r="46" spans="1:7" ht="15.75">
      <c r="A46" s="149">
        <v>44</v>
      </c>
      <c r="B46" s="149" t="s">
        <v>1370</v>
      </c>
      <c r="C46" s="166" t="s">
        <v>1122</v>
      </c>
      <c r="D46" s="148">
        <v>20</v>
      </c>
      <c r="E46" s="151"/>
      <c r="F46" s="151">
        <v>4</v>
      </c>
      <c r="G46" s="151">
        <f t="shared" si="0"/>
        <v>16</v>
      </c>
    </row>
    <row r="47" spans="1:7" ht="15.75">
      <c r="A47" s="149">
        <v>45</v>
      </c>
      <c r="B47" s="149" t="s">
        <v>1371</v>
      </c>
      <c r="C47" s="166" t="s">
        <v>1123</v>
      </c>
      <c r="D47" s="148">
        <v>0</v>
      </c>
      <c r="E47" s="151"/>
      <c r="F47" s="151"/>
      <c r="G47" s="151">
        <f t="shared" si="0"/>
        <v>0</v>
      </c>
    </row>
    <row r="48" spans="1:7" ht="15.75">
      <c r="A48" s="149">
        <v>46</v>
      </c>
      <c r="B48" s="149" t="s">
        <v>1372</v>
      </c>
      <c r="C48" s="166" t="s">
        <v>1124</v>
      </c>
      <c r="D48" s="148">
        <v>5</v>
      </c>
      <c r="E48" s="151"/>
      <c r="F48" s="151"/>
      <c r="G48" s="151">
        <f t="shared" si="0"/>
        <v>5</v>
      </c>
    </row>
    <row r="49" spans="1:7" ht="15.75">
      <c r="A49" s="149">
        <v>47</v>
      </c>
      <c r="B49" s="149" t="s">
        <v>1373</v>
      </c>
      <c r="C49" s="166" t="s">
        <v>1125</v>
      </c>
      <c r="D49" s="148">
        <v>20</v>
      </c>
      <c r="E49" s="151"/>
      <c r="F49" s="151"/>
      <c r="G49" s="151">
        <f t="shared" si="0"/>
        <v>20</v>
      </c>
    </row>
    <row r="50" spans="1:7" ht="15.75">
      <c r="A50" s="149">
        <v>48</v>
      </c>
      <c r="B50" s="149" t="s">
        <v>1374</v>
      </c>
      <c r="C50" s="166" t="s">
        <v>1126</v>
      </c>
      <c r="D50" s="148">
        <v>10</v>
      </c>
      <c r="E50" s="151"/>
      <c r="F50" s="151"/>
      <c r="G50" s="151">
        <f t="shared" si="0"/>
        <v>10</v>
      </c>
    </row>
    <row r="51" spans="1:7" ht="15.75">
      <c r="A51" s="149">
        <v>49</v>
      </c>
      <c r="B51" s="149" t="s">
        <v>1375</v>
      </c>
      <c r="C51" s="166" t="s">
        <v>1328</v>
      </c>
      <c r="D51" s="148">
        <v>6</v>
      </c>
      <c r="E51" s="151"/>
      <c r="F51" s="151"/>
      <c r="G51" s="151">
        <f t="shared" si="0"/>
        <v>6</v>
      </c>
    </row>
    <row r="52" spans="1:7" ht="15.75">
      <c r="A52" s="149">
        <v>50</v>
      </c>
      <c r="B52" s="149" t="s">
        <v>1376</v>
      </c>
      <c r="C52" s="166" t="s">
        <v>1329</v>
      </c>
      <c r="D52" s="148">
        <v>2</v>
      </c>
      <c r="E52" s="151"/>
      <c r="F52" s="151"/>
      <c r="G52" s="151">
        <f t="shared" si="0"/>
        <v>2</v>
      </c>
    </row>
    <row r="53" spans="1:7" ht="15.75">
      <c r="A53" s="149">
        <v>51</v>
      </c>
      <c r="B53" s="149" t="s">
        <v>1377</v>
      </c>
      <c r="C53" s="166" t="s">
        <v>1330</v>
      </c>
      <c r="D53" s="148">
        <v>7</v>
      </c>
      <c r="E53" s="151"/>
      <c r="F53" s="151"/>
      <c r="G53" s="151">
        <f t="shared" si="0"/>
        <v>7</v>
      </c>
    </row>
    <row r="54" spans="1:7" ht="15.75">
      <c r="A54" s="149">
        <v>52</v>
      </c>
      <c r="B54" s="149" t="s">
        <v>1378</v>
      </c>
      <c r="C54" s="166" t="s">
        <v>1331</v>
      </c>
      <c r="D54" s="148">
        <v>4</v>
      </c>
      <c r="E54" s="151"/>
      <c r="F54" s="151"/>
      <c r="G54" s="151">
        <f t="shared" si="0"/>
        <v>4</v>
      </c>
    </row>
    <row r="55" spans="1:7" ht="15.75">
      <c r="A55" s="149">
        <v>53</v>
      </c>
      <c r="B55" s="149" t="s">
        <v>1379</v>
      </c>
      <c r="C55" s="166" t="s">
        <v>1127</v>
      </c>
      <c r="D55" s="148">
        <v>6</v>
      </c>
      <c r="E55" s="151"/>
      <c r="F55" s="151"/>
      <c r="G55" s="151">
        <f t="shared" si="0"/>
        <v>6</v>
      </c>
    </row>
    <row r="56" spans="1:7" ht="15.75">
      <c r="A56" s="149">
        <v>54</v>
      </c>
      <c r="B56" s="149" t="s">
        <v>1380</v>
      </c>
      <c r="C56" s="166" t="s">
        <v>1127</v>
      </c>
      <c r="D56" s="148"/>
      <c r="E56" s="151"/>
      <c r="F56" s="151"/>
      <c r="G56" s="151">
        <f t="shared" si="0"/>
        <v>0</v>
      </c>
    </row>
    <row r="57" spans="1:7" ht="15.75">
      <c r="A57" s="149">
        <v>55</v>
      </c>
      <c r="B57" s="149" t="s">
        <v>1439</v>
      </c>
      <c r="C57" s="166" t="s">
        <v>1639</v>
      </c>
      <c r="D57" s="151">
        <v>6</v>
      </c>
      <c r="E57" s="151"/>
      <c r="F57" s="151"/>
      <c r="G57" s="151">
        <f t="shared" si="0"/>
        <v>6</v>
      </c>
    </row>
    <row r="58" spans="1:7" ht="15.75">
      <c r="A58" s="149">
        <v>56</v>
      </c>
      <c r="B58" s="149" t="s">
        <v>1638</v>
      </c>
      <c r="C58" s="166" t="s">
        <v>1449</v>
      </c>
      <c r="D58" s="151">
        <v>28</v>
      </c>
      <c r="E58" s="151"/>
      <c r="F58" s="151"/>
      <c r="G58" s="151">
        <f t="shared" ref="G58" si="1">SUM(D58+E58)-F58</f>
        <v>28</v>
      </c>
    </row>
    <row r="59" spans="1:7" ht="15.75">
      <c r="A59" s="149">
        <v>57</v>
      </c>
      <c r="B59" s="149" t="s">
        <v>1441</v>
      </c>
      <c r="C59" s="166" t="s">
        <v>1640</v>
      </c>
      <c r="D59" s="151">
        <v>3</v>
      </c>
      <c r="E59" s="151"/>
      <c r="F59" s="151"/>
      <c r="G59" s="151">
        <f t="shared" si="0"/>
        <v>3</v>
      </c>
    </row>
    <row r="60" spans="1:7" ht="15.75">
      <c r="A60" s="149">
        <v>58</v>
      </c>
      <c r="B60" s="149" t="s">
        <v>1443</v>
      </c>
      <c r="C60" s="166" t="s">
        <v>1440</v>
      </c>
      <c r="D60" s="151">
        <v>31</v>
      </c>
      <c r="E60" s="151"/>
      <c r="F60" s="151"/>
      <c r="G60" s="151">
        <f t="shared" si="0"/>
        <v>31</v>
      </c>
    </row>
    <row r="61" spans="1:7" ht="15.75">
      <c r="A61" s="149">
        <v>59</v>
      </c>
      <c r="B61" s="149" t="s">
        <v>1445</v>
      </c>
      <c r="C61" s="166" t="s">
        <v>1442</v>
      </c>
      <c r="D61" s="151">
        <v>1</v>
      </c>
      <c r="E61" s="151"/>
      <c r="F61" s="151"/>
      <c r="G61" s="151">
        <f t="shared" si="0"/>
        <v>1</v>
      </c>
    </row>
    <row r="62" spans="1:7" ht="15.75">
      <c r="A62" s="149">
        <v>60</v>
      </c>
      <c r="B62" s="149" t="s">
        <v>1447</v>
      </c>
      <c r="C62" s="166" t="s">
        <v>1444</v>
      </c>
      <c r="D62" s="151">
        <v>12</v>
      </c>
      <c r="E62" s="151"/>
      <c r="F62" s="151">
        <v>2</v>
      </c>
      <c r="G62" s="151">
        <f t="shared" si="0"/>
        <v>10</v>
      </c>
    </row>
    <row r="63" spans="1:7" ht="15.75">
      <c r="A63" s="149">
        <v>61</v>
      </c>
      <c r="B63" s="149" t="s">
        <v>1450</v>
      </c>
      <c r="C63" s="166" t="s">
        <v>1446</v>
      </c>
      <c r="D63" s="151">
        <v>3</v>
      </c>
      <c r="E63" s="151"/>
      <c r="F63" s="151">
        <v>1</v>
      </c>
      <c r="G63" s="151">
        <f t="shared" si="0"/>
        <v>2</v>
      </c>
    </row>
    <row r="64" spans="1:7" ht="15.75">
      <c r="A64" s="24">
        <v>62</v>
      </c>
      <c r="B64" s="149" t="s">
        <v>1451</v>
      </c>
      <c r="C64" s="166" t="s">
        <v>1448</v>
      </c>
      <c r="D64" s="151">
        <v>0</v>
      </c>
      <c r="E64" s="151"/>
      <c r="F64" s="151"/>
      <c r="G64" s="151">
        <f t="shared" si="0"/>
        <v>0</v>
      </c>
    </row>
    <row r="65" spans="1:7" ht="15.75">
      <c r="A65" s="24">
        <v>63</v>
      </c>
      <c r="B65" s="24" t="s">
        <v>1621</v>
      </c>
      <c r="C65" s="166" t="s">
        <v>1635</v>
      </c>
      <c r="D65" s="151">
        <v>3</v>
      </c>
      <c r="E65" s="151"/>
      <c r="F65" s="151"/>
      <c r="G65" s="151">
        <f t="shared" si="0"/>
        <v>3</v>
      </c>
    </row>
    <row r="66" spans="1:7" ht="15.75">
      <c r="A66" s="24">
        <v>64</v>
      </c>
      <c r="B66" s="24" t="s">
        <v>1622</v>
      </c>
      <c r="C66" s="166" t="s">
        <v>1618</v>
      </c>
      <c r="D66" s="151">
        <v>22</v>
      </c>
      <c r="E66" s="151"/>
      <c r="F66" s="151">
        <v>1</v>
      </c>
      <c r="G66" s="151">
        <f t="shared" ref="G66" si="2">SUM(D66+E66)-F66</f>
        <v>21</v>
      </c>
    </row>
    <row r="67" spans="1:7" ht="15.75">
      <c r="A67" s="24">
        <v>65</v>
      </c>
      <c r="B67" s="24" t="s">
        <v>1623</v>
      </c>
      <c r="C67" s="166" t="s">
        <v>1619</v>
      </c>
      <c r="D67" s="151">
        <v>46</v>
      </c>
      <c r="E67" s="151"/>
      <c r="F67" s="151"/>
      <c r="G67" s="151">
        <f t="shared" ref="G67" si="3">SUM(D67+E67)-F67</f>
        <v>46</v>
      </c>
    </row>
    <row r="68" spans="1:7" ht="15.75">
      <c r="A68" s="24">
        <v>66</v>
      </c>
      <c r="B68" s="24" t="s">
        <v>1624</v>
      </c>
      <c r="C68" s="166" t="s">
        <v>1620</v>
      </c>
      <c r="D68" s="151">
        <v>9</v>
      </c>
      <c r="E68" s="151"/>
      <c r="F68" s="151"/>
      <c r="G68" s="151">
        <f t="shared" ref="G68" si="4">SUM(D68+E68)-F68</f>
        <v>9</v>
      </c>
    </row>
    <row r="69" spans="1:7" ht="15.75">
      <c r="A69" s="24">
        <v>67</v>
      </c>
      <c r="B69" s="24" t="s">
        <v>1632</v>
      </c>
      <c r="C69" s="166" t="s">
        <v>1634</v>
      </c>
      <c r="D69" s="151">
        <v>65</v>
      </c>
      <c r="E69" s="151"/>
      <c r="F69" s="151"/>
      <c r="G69" s="151">
        <f t="shared" ref="G69:G71" si="5">SUM(D69+E69)-F69</f>
        <v>65</v>
      </c>
    </row>
    <row r="70" spans="1:7" ht="15.75">
      <c r="A70" s="24">
        <v>68</v>
      </c>
      <c r="B70" s="24" t="s">
        <v>1632</v>
      </c>
      <c r="C70" s="166" t="s">
        <v>1633</v>
      </c>
      <c r="D70" s="151">
        <v>6</v>
      </c>
      <c r="E70" s="151"/>
      <c r="F70" s="151"/>
      <c r="G70" s="151">
        <f t="shared" si="5"/>
        <v>6</v>
      </c>
    </row>
    <row r="71" spans="1:7" ht="15.75">
      <c r="A71" s="24">
        <v>69</v>
      </c>
      <c r="B71" s="24" t="s">
        <v>1636</v>
      </c>
      <c r="C71" s="166" t="s">
        <v>1637</v>
      </c>
      <c r="D71" s="151">
        <v>4</v>
      </c>
      <c r="E71" s="151"/>
      <c r="F71" s="151"/>
      <c r="G71" s="151">
        <f t="shared" si="5"/>
        <v>4</v>
      </c>
    </row>
    <row r="72" spans="1:7" ht="15.75">
      <c r="A72" s="24">
        <v>70</v>
      </c>
      <c r="B72" s="24" t="s">
        <v>1625</v>
      </c>
      <c r="C72" s="166" t="s">
        <v>1626</v>
      </c>
      <c r="D72" s="151">
        <v>47</v>
      </c>
      <c r="E72" s="151"/>
      <c r="F72" s="151"/>
      <c r="G72" s="151">
        <f t="shared" ref="G72:G73" si="6">SUM(D72+E72)-F72</f>
        <v>47</v>
      </c>
    </row>
    <row r="73" spans="1:7" ht="15.75">
      <c r="A73" s="24">
        <v>71</v>
      </c>
      <c r="B73" s="24" t="s">
        <v>1627</v>
      </c>
      <c r="C73" s="166" t="s">
        <v>1642</v>
      </c>
      <c r="D73" s="151">
        <v>7</v>
      </c>
      <c r="E73" s="151"/>
      <c r="F73" s="151"/>
      <c r="G73" s="151">
        <f t="shared" si="6"/>
        <v>7</v>
      </c>
    </row>
    <row r="74" spans="1:7" ht="15.75">
      <c r="A74" s="24">
        <v>72</v>
      </c>
      <c r="B74" s="24" t="s">
        <v>1629</v>
      </c>
      <c r="C74" s="166" t="s">
        <v>1628</v>
      </c>
      <c r="D74" s="151">
        <v>21</v>
      </c>
      <c r="E74" s="151"/>
      <c r="F74" s="151"/>
      <c r="G74" s="151">
        <f t="shared" ref="G74" si="7">SUM(D74+E74)-F74</f>
        <v>21</v>
      </c>
    </row>
    <row r="75" spans="1:7" ht="15.75">
      <c r="A75" s="24">
        <v>73</v>
      </c>
      <c r="B75" s="24" t="s">
        <v>1631</v>
      </c>
      <c r="C75" s="166" t="s">
        <v>1630</v>
      </c>
      <c r="D75" s="151">
        <v>28</v>
      </c>
      <c r="E75" s="151"/>
      <c r="F75" s="151">
        <v>1</v>
      </c>
      <c r="G75" s="151">
        <f t="shared" ref="G75" si="8">SUM(D75+E75)-F75</f>
        <v>27</v>
      </c>
    </row>
    <row r="76" spans="1:7" ht="15.75">
      <c r="A76" s="24">
        <v>74</v>
      </c>
      <c r="B76" s="24" t="s">
        <v>1641</v>
      </c>
      <c r="C76" s="166" t="s">
        <v>1643</v>
      </c>
      <c r="D76" s="151">
        <v>15</v>
      </c>
      <c r="E76" s="151"/>
      <c r="F76" s="151"/>
      <c r="G76" s="151">
        <f t="shared" ref="G76" si="9">SUM(D76+E76)-F76</f>
        <v>15</v>
      </c>
    </row>
  </sheetData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>
      <selection activeCell="D1" sqref="D1:F1048576"/>
    </sheetView>
  </sheetViews>
  <sheetFormatPr defaultRowHeight="15"/>
  <cols>
    <col min="1" max="1" width="6.5703125" style="150" bestFit="1" customWidth="1"/>
    <col min="2" max="2" width="10.7109375" bestFit="1" customWidth="1"/>
    <col min="3" max="3" width="25" bestFit="1" customWidth="1"/>
    <col min="4" max="6" width="9.28515625" style="150" hidden="1" customWidth="1"/>
    <col min="7" max="7" width="9.28515625" style="150" customWidth="1"/>
  </cols>
  <sheetData>
    <row r="2" spans="1:7">
      <c r="A2" s="171" t="s">
        <v>0</v>
      </c>
      <c r="B2" s="171" t="s">
        <v>232</v>
      </c>
      <c r="C2" s="172" t="s">
        <v>1</v>
      </c>
      <c r="D2" s="173" t="s">
        <v>233</v>
      </c>
      <c r="E2" s="174" t="s">
        <v>218</v>
      </c>
      <c r="F2" s="174" t="s">
        <v>770</v>
      </c>
      <c r="G2" s="174" t="s">
        <v>219</v>
      </c>
    </row>
    <row r="3" spans="1:7">
      <c r="A3" s="176">
        <v>1</v>
      </c>
      <c r="B3" s="175" t="s">
        <v>1564</v>
      </c>
      <c r="C3" s="179" t="s">
        <v>1569</v>
      </c>
      <c r="D3" s="176">
        <v>0</v>
      </c>
      <c r="E3" s="176">
        <v>4</v>
      </c>
      <c r="F3" s="176">
        <v>1</v>
      </c>
      <c r="G3" s="176">
        <f>SUM(D3+E3)-F3</f>
        <v>3</v>
      </c>
    </row>
    <row r="4" spans="1:7">
      <c r="A4" s="176">
        <v>2</v>
      </c>
      <c r="B4" s="175" t="s">
        <v>1565</v>
      </c>
      <c r="C4" s="179" t="s">
        <v>1570</v>
      </c>
      <c r="D4" s="176">
        <v>0</v>
      </c>
      <c r="E4" s="176">
        <v>4</v>
      </c>
      <c r="F4" s="176"/>
      <c r="G4" s="176">
        <f t="shared" ref="G4:G7" si="0">SUM(D4+E4)-F4</f>
        <v>4</v>
      </c>
    </row>
    <row r="5" spans="1:7">
      <c r="A5" s="176">
        <v>3</v>
      </c>
      <c r="B5" s="175" t="s">
        <v>1566</v>
      </c>
      <c r="C5" s="177" t="s">
        <v>1452</v>
      </c>
      <c r="D5" s="178">
        <v>3</v>
      </c>
      <c r="E5" s="176"/>
      <c r="F5" s="176"/>
      <c r="G5" s="176">
        <f t="shared" si="0"/>
        <v>3</v>
      </c>
    </row>
    <row r="6" spans="1:7">
      <c r="A6" s="176">
        <v>4</v>
      </c>
      <c r="B6" s="175" t="s">
        <v>1567</v>
      </c>
      <c r="C6" s="177" t="s">
        <v>1453</v>
      </c>
      <c r="D6" s="178">
        <v>12</v>
      </c>
      <c r="E6" s="176"/>
      <c r="F6" s="176"/>
      <c r="G6" s="176">
        <f t="shared" si="0"/>
        <v>12</v>
      </c>
    </row>
    <row r="7" spans="1:7">
      <c r="A7" s="176">
        <v>5</v>
      </c>
      <c r="B7" s="175" t="s">
        <v>1568</v>
      </c>
      <c r="C7" s="177" t="s">
        <v>1647</v>
      </c>
      <c r="D7" s="176">
        <v>4</v>
      </c>
      <c r="E7" s="176"/>
      <c r="F7" s="176"/>
      <c r="G7" s="176">
        <f t="shared" si="0"/>
        <v>4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I15" sqref="I15"/>
    </sheetView>
  </sheetViews>
  <sheetFormatPr defaultRowHeight="15"/>
  <cols>
    <col min="2" max="2" width="11.7109375" bestFit="1" customWidth="1"/>
    <col min="3" max="3" width="37" bestFit="1" customWidth="1"/>
    <col min="4" max="4" width="11.7109375" hidden="1" customWidth="1"/>
    <col min="5" max="6" width="0" hidden="1" customWidth="1"/>
  </cols>
  <sheetData>
    <row r="1" spans="1:7">
      <c r="C1" s="185" t="s">
        <v>1581</v>
      </c>
      <c r="D1" s="186"/>
    </row>
    <row r="2" spans="1:7" s="187" customFormat="1" ht="15.75">
      <c r="A2" s="189" t="s">
        <v>0</v>
      </c>
      <c r="B2" s="189" t="s">
        <v>232</v>
      </c>
      <c r="C2" s="190" t="s">
        <v>1</v>
      </c>
      <c r="D2" s="189" t="s">
        <v>233</v>
      </c>
      <c r="E2" s="191" t="s">
        <v>218</v>
      </c>
      <c r="F2" s="191" t="s">
        <v>770</v>
      </c>
      <c r="G2" s="191" t="s">
        <v>219</v>
      </c>
    </row>
    <row r="3" spans="1:7" s="187" customFormat="1" ht="15.75">
      <c r="A3" s="87">
        <v>1</v>
      </c>
      <c r="B3" s="87" t="s">
        <v>1584</v>
      </c>
      <c r="C3" s="188" t="s">
        <v>1583</v>
      </c>
      <c r="D3" s="188">
        <v>100</v>
      </c>
      <c r="E3" s="87"/>
      <c r="F3" s="87"/>
      <c r="G3" s="87">
        <f>SUM(D3+E3)-F3</f>
        <v>100</v>
      </c>
    </row>
    <row r="4" spans="1:7" s="187" customFormat="1" ht="15.75">
      <c r="A4" s="87">
        <v>2</v>
      </c>
      <c r="B4" s="87" t="s">
        <v>1586</v>
      </c>
      <c r="C4" s="188" t="s">
        <v>1585</v>
      </c>
      <c r="D4" s="188">
        <v>120</v>
      </c>
      <c r="E4" s="87"/>
      <c r="F4" s="87"/>
      <c r="G4" s="87">
        <f t="shared" ref="G4:G7" si="0">SUM(D4+E4)-F4</f>
        <v>120</v>
      </c>
    </row>
    <row r="5" spans="1:7" s="187" customFormat="1" ht="15.75">
      <c r="A5" s="87">
        <v>3</v>
      </c>
      <c r="B5" s="87" t="s">
        <v>1587</v>
      </c>
      <c r="C5" s="187" t="s">
        <v>1613</v>
      </c>
      <c r="D5" s="188">
        <v>75</v>
      </c>
      <c r="E5" s="87"/>
      <c r="F5" s="87"/>
      <c r="G5" s="87">
        <f t="shared" si="0"/>
        <v>75</v>
      </c>
    </row>
    <row r="6" spans="1:7" s="187" customFormat="1" ht="15.75">
      <c r="A6" s="87">
        <v>4</v>
      </c>
      <c r="B6" s="87" t="s">
        <v>1698</v>
      </c>
      <c r="C6" s="188" t="s">
        <v>1582</v>
      </c>
      <c r="D6" s="188">
        <v>60</v>
      </c>
      <c r="E6" s="87"/>
      <c r="F6" s="87"/>
      <c r="G6" s="87">
        <f t="shared" si="0"/>
        <v>60</v>
      </c>
    </row>
    <row r="7" spans="1:7" s="187" customFormat="1" ht="15.75">
      <c r="A7" s="87">
        <v>5</v>
      </c>
      <c r="B7" s="87" t="s">
        <v>1699</v>
      </c>
      <c r="C7" s="188" t="s">
        <v>1614</v>
      </c>
      <c r="D7" s="188">
        <v>50</v>
      </c>
      <c r="E7" s="87"/>
      <c r="F7" s="87"/>
      <c r="G7" s="87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Bearing</vt:lpstr>
      <vt:lpstr>OIl Seal</vt:lpstr>
      <vt:lpstr>Sheet3</vt:lpstr>
      <vt:lpstr>Sheet1</vt:lpstr>
      <vt:lpstr>Final Oil Seal</vt:lpstr>
      <vt:lpstr>Bearing </vt:lpstr>
      <vt:lpstr>CLOTHING</vt:lpstr>
      <vt:lpstr>TYRE</vt:lpstr>
      <vt:lpstr>TYRE COUPLING, PIN BUSH</vt:lpstr>
      <vt:lpstr>PUMP SLEEVE</vt:lpstr>
      <vt:lpstr>V-BELT</vt:lpstr>
      <vt:lpstr>PENUM CYLINDER KITS</vt:lpstr>
      <vt:lpstr>WELDING RODS</vt:lpstr>
      <vt:lpstr>BLADE</vt:lpstr>
      <vt:lpstr>CHEMICAL</vt:lpstr>
      <vt:lpstr>PENUMATICS &amp; HYDRAULICS</vt:lpstr>
      <vt:lpstr>GENERAL </vt:lpstr>
      <vt:lpstr>VALVE</vt:lpstr>
      <vt:lpstr>CHECK NUT &amp; WASHER</vt:lpstr>
      <vt:lpstr>GUAGES</vt:lpstr>
      <vt:lpstr>SHAFT &amp; IMPELLER</vt:lpstr>
      <vt:lpstr>SS,MS PIPE FITTING</vt:lpstr>
      <vt:lpstr>NOZZLES</vt:lpstr>
      <vt:lpstr>LUBRICANTS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2026-08-08T09:41:19Z</dcterms:modified>
</cp:coreProperties>
</file>