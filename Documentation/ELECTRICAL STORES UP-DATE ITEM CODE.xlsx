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NTACTOR" sheetId="1" r:id="rId1"/>
    <sheet name="RELAY" sheetId="2" r:id="rId2"/>
    <sheet name="MCB" sheetId="3" r:id="rId3"/>
    <sheet name="ELE GENERAL" sheetId="4" r:id="rId4"/>
  </sheets>
  <definedNames>
    <definedName name="_xlnm._FilterDatabase" localSheetId="1" hidden="1">RELAY!$A$4:$I$28</definedName>
  </definedNames>
  <calcPr calcId="124519"/>
  <fileRecoveryPr repairLoad="1"/>
</workbook>
</file>

<file path=xl/calcChain.xml><?xml version="1.0" encoding="utf-8"?>
<calcChain xmlns="http://schemas.openxmlformats.org/spreadsheetml/2006/main">
  <c r="F86" i="4"/>
  <c r="H86"/>
  <c r="K86" s="1"/>
  <c r="F85"/>
  <c r="H85" s="1"/>
  <c r="K85" s="1"/>
  <c r="G29" i="2"/>
  <c r="I29" s="1"/>
  <c r="L29" s="1"/>
  <c r="F84" i="4"/>
  <c r="H84" s="1"/>
  <c r="K84" s="1"/>
  <c r="F81"/>
  <c r="H81" s="1"/>
  <c r="K81" s="1"/>
  <c r="F77"/>
  <c r="H77" s="1"/>
  <c r="K77" s="1"/>
  <c r="F78"/>
  <c r="H78" s="1"/>
  <c r="K78" s="1"/>
  <c r="F75"/>
  <c r="H75" s="1"/>
  <c r="K75" s="1"/>
  <c r="F80"/>
  <c r="H80" s="1"/>
  <c r="K80" s="1"/>
  <c r="F83"/>
  <c r="H83" s="1"/>
  <c r="K83" s="1"/>
  <c r="F82"/>
  <c r="H82" s="1"/>
  <c r="K82" s="1"/>
  <c r="F76"/>
  <c r="H76" s="1"/>
  <c r="K76" s="1"/>
  <c r="F79"/>
  <c r="H79" s="1"/>
  <c r="K79" s="1"/>
  <c r="F72"/>
  <c r="H72" s="1"/>
  <c r="K72" s="1"/>
  <c r="F71"/>
  <c r="H71" s="1"/>
  <c r="K71" s="1"/>
  <c r="F74"/>
  <c r="H74" s="1"/>
  <c r="K74" s="1"/>
  <c r="F64"/>
  <c r="H64" s="1"/>
  <c r="K64" s="1"/>
  <c r="F65"/>
  <c r="H65" s="1"/>
  <c r="K65" s="1"/>
  <c r="F66"/>
  <c r="H66" s="1"/>
  <c r="K66" s="1"/>
  <c r="F67"/>
  <c r="H67" s="1"/>
  <c r="K67" s="1"/>
  <c r="F61"/>
  <c r="H61" s="1"/>
  <c r="K61" s="1"/>
  <c r="F62"/>
  <c r="H62" s="1"/>
  <c r="K62" s="1"/>
  <c r="F63"/>
  <c r="H63" s="1"/>
  <c r="K63" s="1"/>
  <c r="F68"/>
  <c r="H68" s="1"/>
  <c r="K68" s="1"/>
  <c r="F69"/>
  <c r="F73"/>
  <c r="H73" s="1"/>
  <c r="K73" s="1"/>
  <c r="F70"/>
  <c r="H70" s="1"/>
  <c r="K70" s="1"/>
  <c r="F60"/>
  <c r="H60" s="1"/>
  <c r="K60" s="1"/>
  <c r="H69"/>
  <c r="K69" s="1"/>
  <c r="K6" i="3"/>
  <c r="K7"/>
  <c r="K8"/>
  <c r="K9"/>
  <c r="K10"/>
  <c r="K11"/>
  <c r="K12"/>
  <c r="K13"/>
  <c r="K14"/>
  <c r="K15"/>
  <c r="K16"/>
  <c r="K17"/>
  <c r="K18"/>
  <c r="K20"/>
  <c r="K22"/>
  <c r="K23"/>
  <c r="K24"/>
  <c r="K25"/>
  <c r="K26"/>
  <c r="K27"/>
  <c r="K28"/>
  <c r="K5"/>
  <c r="L6" i="1"/>
  <c r="L9"/>
  <c r="L10"/>
  <c r="L13"/>
  <c r="L16"/>
  <c r="L17"/>
  <c r="L24"/>
  <c r="L37"/>
  <c r="L38"/>
  <c r="L5"/>
  <c r="L6" i="2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5"/>
  <c r="F59" i="4"/>
  <c r="H59" s="1"/>
  <c r="K59" s="1"/>
  <c r="F6" i="3"/>
  <c r="H6" s="1"/>
  <c r="F7"/>
  <c r="H7" s="1"/>
  <c r="F8"/>
  <c r="H8" s="1"/>
  <c r="F9"/>
  <c r="H9" s="1"/>
  <c r="F10"/>
  <c r="H10" s="1"/>
  <c r="F11"/>
  <c r="H11" s="1"/>
  <c r="F12"/>
  <c r="H12"/>
  <c r="F13"/>
  <c r="H13" s="1"/>
  <c r="F14"/>
  <c r="H14" s="1"/>
  <c r="F15"/>
  <c r="H15" s="1"/>
  <c r="F16"/>
  <c r="H16" s="1"/>
  <c r="F17"/>
  <c r="H17" s="1"/>
  <c r="F18"/>
  <c r="H18" s="1"/>
  <c r="F19"/>
  <c r="H19" s="1"/>
  <c r="K19" s="1"/>
  <c r="F20"/>
  <c r="H20"/>
  <c r="F21"/>
  <c r="H21" s="1"/>
  <c r="K21" s="1"/>
  <c r="F22"/>
  <c r="H22" s="1"/>
  <c r="F23"/>
  <c r="H23" s="1"/>
  <c r="F24"/>
  <c r="H24" s="1"/>
  <c r="F25"/>
  <c r="H25" s="1"/>
  <c r="F26"/>
  <c r="H26" s="1"/>
  <c r="F27"/>
  <c r="H27" s="1"/>
  <c r="F28"/>
  <c r="H28"/>
  <c r="F5"/>
  <c r="H5" s="1"/>
  <c r="G12" i="2"/>
  <c r="I12" s="1"/>
  <c r="G13"/>
  <c r="I13" s="1"/>
  <c r="G14"/>
  <c r="I14" s="1"/>
  <c r="G15"/>
  <c r="I15" s="1"/>
  <c r="G16"/>
  <c r="I16" s="1"/>
  <c r="G17"/>
  <c r="I17" s="1"/>
  <c r="G18"/>
  <c r="I18" s="1"/>
  <c r="G19"/>
  <c r="I19" s="1"/>
  <c r="G20"/>
  <c r="I20" s="1"/>
  <c r="G21"/>
  <c r="I21" s="1"/>
  <c r="G22"/>
  <c r="I22" s="1"/>
  <c r="G23"/>
  <c r="I23" s="1"/>
  <c r="G24"/>
  <c r="I24" s="1"/>
  <c r="G25"/>
  <c r="I25" s="1"/>
  <c r="G26"/>
  <c r="I26" s="1"/>
  <c r="G27"/>
  <c r="I27" s="1"/>
  <c r="G28"/>
  <c r="I28" s="1"/>
  <c r="G11"/>
  <c r="I11" s="1"/>
  <c r="G6"/>
  <c r="I6" s="1"/>
  <c r="G7"/>
  <c r="I7" s="1"/>
  <c r="G8"/>
  <c r="I8" s="1"/>
  <c r="G9"/>
  <c r="I9" s="1"/>
  <c r="G10"/>
  <c r="I10" s="1"/>
  <c r="G5"/>
  <c r="I5" s="1"/>
  <c r="G6" i="1"/>
  <c r="I6" s="1"/>
  <c r="G7"/>
  <c r="I7" s="1"/>
  <c r="L7" s="1"/>
  <c r="G8"/>
  <c r="I8" s="1"/>
  <c r="L8" s="1"/>
  <c r="G9"/>
  <c r="I9" s="1"/>
  <c r="G10"/>
  <c r="I10" s="1"/>
  <c r="G11"/>
  <c r="I11" s="1"/>
  <c r="L11" s="1"/>
  <c r="G12"/>
  <c r="I12" s="1"/>
  <c r="L12" s="1"/>
  <c r="G13"/>
  <c r="I13" s="1"/>
  <c r="G14"/>
  <c r="I14" s="1"/>
  <c r="L14" s="1"/>
  <c r="G15"/>
  <c r="I15" s="1"/>
  <c r="L15" s="1"/>
  <c r="G16"/>
  <c r="I16" s="1"/>
  <c r="G17"/>
  <c r="I17" s="1"/>
  <c r="G18"/>
  <c r="I18" s="1"/>
  <c r="L18" s="1"/>
  <c r="G19"/>
  <c r="I19" s="1"/>
  <c r="L19" s="1"/>
  <c r="G20"/>
  <c r="I20" s="1"/>
  <c r="L20" s="1"/>
  <c r="G21"/>
  <c r="I21" s="1"/>
  <c r="L21" s="1"/>
  <c r="G22"/>
  <c r="I22" s="1"/>
  <c r="L22" s="1"/>
  <c r="G23"/>
  <c r="I23" s="1"/>
  <c r="L23" s="1"/>
  <c r="G24"/>
  <c r="I24" s="1"/>
  <c r="G25"/>
  <c r="I25" s="1"/>
  <c r="L25" s="1"/>
  <c r="G26"/>
  <c r="I26" s="1"/>
  <c r="L26" s="1"/>
  <c r="G27"/>
  <c r="I27" s="1"/>
  <c r="L27" s="1"/>
  <c r="G28"/>
  <c r="I28"/>
  <c r="L28" s="1"/>
  <c r="G29"/>
  <c r="I29" s="1"/>
  <c r="L29" s="1"/>
  <c r="G30"/>
  <c r="I30" s="1"/>
  <c r="L30" s="1"/>
  <c r="G31"/>
  <c r="I31" s="1"/>
  <c r="L31" s="1"/>
  <c r="G32"/>
  <c r="I32" s="1"/>
  <c r="L32" s="1"/>
  <c r="G33"/>
  <c r="I33" s="1"/>
  <c r="L33" s="1"/>
  <c r="G34"/>
  <c r="I34" s="1"/>
  <c r="L34" s="1"/>
  <c r="G35"/>
  <c r="I35" s="1"/>
  <c r="L35" s="1"/>
  <c r="G36"/>
  <c r="I36"/>
  <c r="L36" s="1"/>
  <c r="G37"/>
  <c r="I37" s="1"/>
  <c r="G38"/>
  <c r="I38" s="1"/>
  <c r="G39"/>
  <c r="I39" s="1"/>
  <c r="L39" s="1"/>
  <c r="G40"/>
  <c r="I40" s="1"/>
  <c r="L40" s="1"/>
  <c r="G5"/>
  <c r="I5" s="1"/>
  <c r="F5" i="4"/>
  <c r="H5" s="1"/>
  <c r="K5" s="1"/>
  <c r="F6"/>
  <c r="H6" s="1"/>
  <c r="K6" s="1"/>
  <c r="F7"/>
  <c r="H7" s="1"/>
  <c r="K7" s="1"/>
  <c r="F8"/>
  <c r="H8" s="1"/>
  <c r="K8" s="1"/>
  <c r="F9"/>
  <c r="H9" s="1"/>
  <c r="K9" s="1"/>
  <c r="F10"/>
  <c r="H10" s="1"/>
  <c r="K10" s="1"/>
  <c r="F11"/>
  <c r="H11" s="1"/>
  <c r="K11" s="1"/>
  <c r="F12"/>
  <c r="H12" s="1"/>
  <c r="K12" s="1"/>
  <c r="F13"/>
  <c r="H13" s="1"/>
  <c r="K13" s="1"/>
  <c r="F14"/>
  <c r="H14" s="1"/>
  <c r="K14" s="1"/>
  <c r="F15"/>
  <c r="H15" s="1"/>
  <c r="K15" s="1"/>
  <c r="F16"/>
  <c r="H16" s="1"/>
  <c r="K16" s="1"/>
  <c r="F17"/>
  <c r="H17" s="1"/>
  <c r="K17" s="1"/>
  <c r="F18"/>
  <c r="H18" s="1"/>
  <c r="K18" s="1"/>
  <c r="F19"/>
  <c r="H19" s="1"/>
  <c r="K19" s="1"/>
  <c r="F20"/>
  <c r="H20" s="1"/>
  <c r="K20" s="1"/>
  <c r="F21"/>
  <c r="H21" s="1"/>
  <c r="K21" s="1"/>
  <c r="F22"/>
  <c r="H22" s="1"/>
  <c r="K22" s="1"/>
  <c r="F23"/>
  <c r="H23" s="1"/>
  <c r="K23" s="1"/>
  <c r="F24"/>
  <c r="H24" s="1"/>
  <c r="K24" s="1"/>
  <c r="F25"/>
  <c r="H25" s="1"/>
  <c r="K25" s="1"/>
  <c r="F26"/>
  <c r="H26" s="1"/>
  <c r="K26" s="1"/>
  <c r="F27"/>
  <c r="H27" s="1"/>
  <c r="K27" s="1"/>
  <c r="F28"/>
  <c r="H28" s="1"/>
  <c r="K28" s="1"/>
  <c r="F29"/>
  <c r="H29" s="1"/>
  <c r="K29" s="1"/>
  <c r="F30"/>
  <c r="H30" s="1"/>
  <c r="K30" s="1"/>
  <c r="F31"/>
  <c r="H31" s="1"/>
  <c r="K31" s="1"/>
  <c r="F32"/>
  <c r="H32" s="1"/>
  <c r="K32" s="1"/>
  <c r="F33"/>
  <c r="H33" s="1"/>
  <c r="K33" s="1"/>
  <c r="F34"/>
  <c r="H34" s="1"/>
  <c r="K34" s="1"/>
  <c r="F35"/>
  <c r="H35" s="1"/>
  <c r="K35" s="1"/>
  <c r="F36"/>
  <c r="H36" s="1"/>
  <c r="K36" s="1"/>
  <c r="F37"/>
  <c r="H37" s="1"/>
  <c r="K37" s="1"/>
  <c r="F38"/>
  <c r="H38" s="1"/>
  <c r="K38" s="1"/>
  <c r="F39"/>
  <c r="H39" s="1"/>
  <c r="K39" s="1"/>
  <c r="F40"/>
  <c r="H40" s="1"/>
  <c r="K40" s="1"/>
  <c r="F41"/>
  <c r="H41" s="1"/>
  <c r="K41" s="1"/>
  <c r="F42"/>
  <c r="H42" s="1"/>
  <c r="K42" s="1"/>
  <c r="F43"/>
  <c r="H43" s="1"/>
  <c r="K43" s="1"/>
  <c r="F44"/>
  <c r="H44" s="1"/>
  <c r="K44" s="1"/>
  <c r="F45"/>
  <c r="H45" s="1"/>
  <c r="K45" s="1"/>
  <c r="F46"/>
  <c r="H46" s="1"/>
  <c r="K46" s="1"/>
  <c r="F47"/>
  <c r="H47" s="1"/>
  <c r="K47" s="1"/>
  <c r="F48"/>
  <c r="H48" s="1"/>
  <c r="K48" s="1"/>
  <c r="F49"/>
  <c r="H49" s="1"/>
  <c r="K49" s="1"/>
  <c r="F50"/>
  <c r="H50" s="1"/>
  <c r="K50" s="1"/>
  <c r="F51"/>
  <c r="H51" s="1"/>
  <c r="K51" s="1"/>
  <c r="F52"/>
  <c r="H52" s="1"/>
  <c r="K52" s="1"/>
  <c r="F53"/>
  <c r="H53" s="1"/>
  <c r="K53" s="1"/>
  <c r="F54"/>
  <c r="H54" s="1"/>
  <c r="K54" s="1"/>
  <c r="F55"/>
  <c r="H55" s="1"/>
  <c r="K55" s="1"/>
  <c r="F56"/>
  <c r="H56" s="1"/>
  <c r="K56" s="1"/>
  <c r="F57"/>
  <c r="H57" s="1"/>
  <c r="K57" s="1"/>
  <c r="F58"/>
  <c r="H58" s="1"/>
  <c r="K58" s="1"/>
  <c r="F4"/>
  <c r="H4" s="1"/>
  <c r="K4" s="1"/>
</calcChain>
</file>

<file path=xl/comments1.xml><?xml version="1.0" encoding="utf-8"?>
<comments xmlns="http://schemas.openxmlformats.org/spreadsheetml/2006/main">
  <authors>
    <author>Author</author>
  </authors>
  <commentList>
    <comment ref="H14" authorId="0">
      <text>
        <r>
          <rPr>
            <b/>
            <sz val="9"/>
            <color indexed="81"/>
            <rFont val="Tahoma"/>
            <family val="2"/>
          </rPr>
          <t xml:space="preserve">top blower stater on 23/07/2026 - 2 no
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 xml:space="preserve">ETP SLUDGE TANK ON 01/08/2026
 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K8" authorId="0">
      <text>
        <r>
          <rPr>
            <b/>
            <sz val="9"/>
            <color indexed="81"/>
            <rFont val="Tahoma"/>
            <family val="2"/>
          </rPr>
          <t>ETP SLUDGE TANK ON 01/08/2026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>on 21/07/2026- 1 no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 xml:space="preserve">ISSUED ON 29/07/26 FOR ETP COMPRESER-1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J12" authorId="0">
      <text>
        <r>
          <rPr>
            <sz val="9"/>
            <color indexed="81"/>
            <rFont val="Tahoma"/>
            <family val="2"/>
          </rPr>
          <t xml:space="preserve">WORK SHOP GRANDING MICHEN ON 04/08/2026- 2 NO
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 xml:space="preserve">RECTION PUMP ON 25/07/26- 2 NO
</t>
        </r>
      </text>
    </comment>
    <comment ref="G18" authorId="0">
      <text>
        <r>
          <rPr>
            <b/>
            <sz val="9"/>
            <color indexed="81"/>
            <rFont val="Tahoma"/>
            <family val="2"/>
          </rPr>
          <t>WELDING MECHINE WORK SHOP ON 14/07/2026- 1 NO</t>
        </r>
      </text>
    </comment>
    <comment ref="J18" authorId="0">
      <text>
        <r>
          <rPr>
            <b/>
            <sz val="9"/>
            <color indexed="81"/>
            <rFont val="Tahoma"/>
            <family val="2"/>
          </rPr>
          <t xml:space="preserve">CONVER BELT PULLP MILL ON 19/07/2026- 1 NO
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 xml:space="preserve">MOTER CHECKING BOARD - ON 14/07/2026 -1 NO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 xml:space="preserve">MOTER CHECKING PENAL ON 14/07/2026- 1 NO
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 xml:space="preserve">ON STORES 13/07/26 - 2
AJAY MCN ROOM-1
ON 14/07/26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ISSUED ON 31/07/26 FOR COLONY-2 NO</t>
        </r>
      </text>
    </comment>
    <comment ref="J56" authorId="0">
      <text>
        <r>
          <rPr>
            <b/>
            <sz val="9"/>
            <color indexed="81"/>
            <rFont val="Tahoma"/>
            <family val="2"/>
          </rPr>
          <t>40 HP MOTER, CHEST PUMP NO -3 ON 19/07/2026 -2 NO
 40 HP MOTER ON 21/07/26 -
1 NO</t>
        </r>
      </text>
    </comment>
    <comment ref="J57" authorId="0">
      <text>
        <r>
          <rPr>
            <b/>
            <sz val="9"/>
            <color indexed="81"/>
            <rFont val="Tahoma"/>
            <family val="2"/>
          </rPr>
          <t xml:space="preserve">20 HP MOTERS 20/7/26- 1 no
20 hp MOTER 23/07/26 - 1 NO
</t>
        </r>
      </text>
    </comment>
    <comment ref="J62" authorId="0">
      <text>
        <r>
          <rPr>
            <sz val="9"/>
            <color indexed="81"/>
            <rFont val="Tahoma"/>
            <family val="2"/>
          </rPr>
          <t>ISSUED ON 25/07/26 FOR RECTION PUMP-1 NO</t>
        </r>
      </text>
    </comment>
    <comment ref="I6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25/07/26 FROM DATTU ELECTRICALS</t>
        </r>
      </text>
    </comment>
    <comment ref="J63" authorId="0">
      <text>
        <r>
          <rPr>
            <sz val="9"/>
            <color indexed="81"/>
            <rFont val="Tahoma"/>
            <family val="2"/>
          </rPr>
          <t>ISSUED ON 25/07/26 FOR 1400 RPM REWINDING MNC</t>
        </r>
      </text>
    </comment>
    <comment ref="J84" authorId="0">
      <text>
        <r>
          <rPr>
            <sz val="9"/>
            <color indexed="81"/>
            <rFont val="Tahoma"/>
            <family val="2"/>
          </rPr>
          <t>ISSUED ON 28/07/26 FOR ELE DEPT</t>
        </r>
      </text>
    </comment>
  </commentList>
</comments>
</file>

<file path=xl/sharedStrings.xml><?xml version="1.0" encoding="utf-8"?>
<sst xmlns="http://schemas.openxmlformats.org/spreadsheetml/2006/main" count="386" uniqueCount="349">
  <si>
    <t>S NO.</t>
  </si>
  <si>
    <t>ITEM CODE</t>
  </si>
  <si>
    <t>ITEM WITH DETAIL</t>
  </si>
  <si>
    <t>ECT0001</t>
  </si>
  <si>
    <t>ECT0002</t>
  </si>
  <si>
    <t>ECT0003</t>
  </si>
  <si>
    <t>ECT0004</t>
  </si>
  <si>
    <t>LC1E2510B5 SCHNEIDER CONTACTOR</t>
  </si>
  <si>
    <t>ECT0005</t>
  </si>
  <si>
    <t>LC1E2510B7 SCHNEIDER CONTACTOR</t>
  </si>
  <si>
    <t>ECT0006</t>
  </si>
  <si>
    <t>LC1E 3810M5/B5 SCHNEIDER CONTACTOR</t>
  </si>
  <si>
    <t>ECT0007</t>
  </si>
  <si>
    <t>LC1E3810M7 /B7 SCHNEIDER CONTACTOR</t>
  </si>
  <si>
    <t>ECT0008</t>
  </si>
  <si>
    <t>LC1E40M7 SCHNEIDER CONTACTOR</t>
  </si>
  <si>
    <t>ECT0009</t>
  </si>
  <si>
    <t>LC1D12M7 SCHNEIDER CONTACTOR</t>
  </si>
  <si>
    <t>ECT0010</t>
  </si>
  <si>
    <t>LC1D18M7SCHNEIDER CONTACTOR</t>
  </si>
  <si>
    <t>ECT0011</t>
  </si>
  <si>
    <t>LC1D25M7 SCHNEIDER CONTACTOR</t>
  </si>
  <si>
    <t>ECT0012</t>
  </si>
  <si>
    <t>LC1D32M7 SCHNEIDER CONTACTOR</t>
  </si>
  <si>
    <t>ECT0013</t>
  </si>
  <si>
    <t>LC1D40AM7 SCHNEIDER CONTACTOR</t>
  </si>
  <si>
    <t>ECT0014</t>
  </si>
  <si>
    <t>LC1D65AM7 SCHNEIDER CONTACTOR</t>
  </si>
  <si>
    <t>ECT0015</t>
  </si>
  <si>
    <t>LC1D80AM7 SCHNEIDER CONTACTOR</t>
  </si>
  <si>
    <t>ECT0016</t>
  </si>
  <si>
    <t>ECT0017</t>
  </si>
  <si>
    <t>ECT0018</t>
  </si>
  <si>
    <t>ECT0019</t>
  </si>
  <si>
    <t>ECT0020</t>
  </si>
  <si>
    <t>ECT0021</t>
  </si>
  <si>
    <t>ECT0022</t>
  </si>
  <si>
    <t>ECT0023</t>
  </si>
  <si>
    <t>ECT0024</t>
  </si>
  <si>
    <t>ECT0025</t>
  </si>
  <si>
    <t>ECT0026</t>
  </si>
  <si>
    <t>ECT0027</t>
  </si>
  <si>
    <t>ECT0028</t>
  </si>
  <si>
    <t>ECT0029</t>
  </si>
  <si>
    <t>ECT0030</t>
  </si>
  <si>
    <t>PHY STOCK</t>
  </si>
  <si>
    <t>ERE0001</t>
  </si>
  <si>
    <t>SCHNEIDER RELAY LRD 07 (1.6 AMPS -2.5 AMPS) THERMAL OVERLOAD RELAY</t>
  </si>
  <si>
    <t>ERE0002</t>
  </si>
  <si>
    <t>SCHNEIDER RELAY LRD 10 (4 AMPS -6 AMPS) THERMAL OVERLOAD RELAY</t>
  </si>
  <si>
    <t>ERE0003</t>
  </si>
  <si>
    <t>SCHNEIDER RELAY LRD 16 (9 AMPS -13AMPS) THERMAL OVERLOAD RELAY</t>
  </si>
  <si>
    <t>ERE0004</t>
  </si>
  <si>
    <t>SCHNEIDER RELAY LRD 21 (12 AMPS -18AMPS) THERMAL OVERLOAD RELAY</t>
  </si>
  <si>
    <t>ERE0005</t>
  </si>
  <si>
    <t>SCHNEIDER RELAY LRD 22 (16AMPS -24 AMPS) THERMAL OVERLOAD RELAY</t>
  </si>
  <si>
    <t>ERE0006</t>
  </si>
  <si>
    <t>SCHNEIDER RELAY LRD 32 (23AMPS-32 AMPS) THERMAL OVERLOAD RELAY</t>
  </si>
  <si>
    <t>ERE0007</t>
  </si>
  <si>
    <t>SCHNEIDER RELAY LRE35 (30AMPS-38 AMPS) THERMAL OVERLOAD RELAY</t>
  </si>
  <si>
    <t>ERE0008</t>
  </si>
  <si>
    <t>SCHNEIDER RELAY LRE353 (23AMPS-32 AMPS) THERMAL OVERLOAD RELAY</t>
  </si>
  <si>
    <t>ERE0009</t>
  </si>
  <si>
    <t>L &amp; T (SWITCHGEAR) MN2 THERMAL OVERLOAD RELAY (2- 3.3 AMPS)</t>
  </si>
  <si>
    <t>ERE0010</t>
  </si>
  <si>
    <t>L &amp; T (SWITCHGEAR) MN2 THERMAL OVERLOAD RELAY (3- 5 AMPS)</t>
  </si>
  <si>
    <t>ERE0011</t>
  </si>
  <si>
    <t>L &amp; T (SWITCHGEAR) MN2 THERMAL OVERLOAD RELAY (9- 15 AMPS)</t>
  </si>
  <si>
    <t>ERE0012</t>
  </si>
  <si>
    <t>ABB THERMAL OVERLOAD RELAY (10 -14 AMPS)</t>
  </si>
  <si>
    <t>ERE0013</t>
  </si>
  <si>
    <t>MK1 STARTER THERMAL OVERLOAD RELAY (1.5 -2.5 AMPS)</t>
  </si>
  <si>
    <t>ERE0014</t>
  </si>
  <si>
    <t>MK1 STARTER THERMAL OVERLOAD RELAY (4- 6.5 AMPS)</t>
  </si>
  <si>
    <t>ERE0015</t>
  </si>
  <si>
    <t>MK1 STARTER THERMAL OVERLOAD RELAY (6-10 AMPS)</t>
  </si>
  <si>
    <t>ERE0016</t>
  </si>
  <si>
    <t>MK1 STARTER THERMAL OVERLOAD RELAY (9-14 AMPS)</t>
  </si>
  <si>
    <t>ERE0017</t>
  </si>
  <si>
    <t>LR 9F 5369 ELECTROIC OVERLOAD RELAY</t>
  </si>
  <si>
    <t>ERE0018</t>
  </si>
  <si>
    <t>LR 9F7375 ELECTROIC OVERLOAD RELAY</t>
  </si>
  <si>
    <t>ERE0019</t>
  </si>
  <si>
    <t>L &amp; T (SWITCHGEAR) MN2 THERMAL OVERLOAD RELAY (4.5- 7.5AMPS)</t>
  </si>
  <si>
    <t>ERE0020</t>
  </si>
  <si>
    <t xml:space="preserve">SIEMENS REAL (20AMPS-25AMPS) THERMAL OVERLOAD RELAY </t>
  </si>
  <si>
    <t>ERE0021</t>
  </si>
  <si>
    <t xml:space="preserve">SIEMENS REAL (2.8AMPS-4AMPS) THERMAL OVERLOAD RELAY </t>
  </si>
  <si>
    <t>ERE0022</t>
  </si>
  <si>
    <t>L &amp; T (SWITCHGEAR) 353 THERMAL OVERLOAD RELAY (23AMPS-32AMPS)</t>
  </si>
  <si>
    <t>ERE0023</t>
  </si>
  <si>
    <t>L &amp; T (SWITCHGEAR) 3355 THERMAL OVERLOAD RELAY (30AMPS-40AMPS)</t>
  </si>
  <si>
    <t>RELAY STOCK AS ON DATE 11/07/2026</t>
  </si>
  <si>
    <t>SCHNEIDER RELAY LRD 35 (30AMPS-38 AMPS) THERMAL OVERLOAD RELAY</t>
  </si>
  <si>
    <t>ERE0024</t>
  </si>
  <si>
    <t>EMC0001</t>
  </si>
  <si>
    <t>EATON 80 AMPS FUSE (690 V-200KA )-SIZE -1</t>
  </si>
  <si>
    <t>EMC0002</t>
  </si>
  <si>
    <t>L&amp;t 160 AMPS SIZE 00</t>
  </si>
  <si>
    <t>EMC0003</t>
  </si>
  <si>
    <t>C&amp; S 200 AMPS FUSE (500V-80KA) SIZE -1</t>
  </si>
  <si>
    <t>EMC0004</t>
  </si>
  <si>
    <t>200 AMPS HRC FUSE (SIZE-0)</t>
  </si>
  <si>
    <t>EMC0005</t>
  </si>
  <si>
    <t>L&amp; T SWITCHGEAR 400 AMPS (415 V -100 KA) SIZE -2</t>
  </si>
  <si>
    <t>EMC0006</t>
  </si>
  <si>
    <t>MCB 6AMPS-1 P</t>
  </si>
  <si>
    <t>EMC0007</t>
  </si>
  <si>
    <t>MCB 6AMPS -2 P</t>
  </si>
  <si>
    <t>EMC0008</t>
  </si>
  <si>
    <t>MCB 6AMPS -3 P</t>
  </si>
  <si>
    <t>EMC0009</t>
  </si>
  <si>
    <t>MCB 10AMPS-1 P</t>
  </si>
  <si>
    <t>EMC0010</t>
  </si>
  <si>
    <t>MCB 10AMPS-3 P</t>
  </si>
  <si>
    <t>EMC0011</t>
  </si>
  <si>
    <t>MCB 16 AMPS -1P</t>
  </si>
  <si>
    <t>EMC0012</t>
  </si>
  <si>
    <t>MCB 16 AMPS -3P</t>
  </si>
  <si>
    <t>EMC0013</t>
  </si>
  <si>
    <t>MCB 25 AMPS -3P</t>
  </si>
  <si>
    <t>EMC0014</t>
  </si>
  <si>
    <t>MCB 32AMPS-3P</t>
  </si>
  <si>
    <t>EMC0015</t>
  </si>
  <si>
    <t>MCB 32AMPS-4P</t>
  </si>
  <si>
    <t>EMC0016</t>
  </si>
  <si>
    <t>MCB 40 AMPS -3P</t>
  </si>
  <si>
    <t>EMC0017</t>
  </si>
  <si>
    <t>MCB 63AMPS -3P</t>
  </si>
  <si>
    <t>EMC0018</t>
  </si>
  <si>
    <t>MCB 63 AMPS -4 P</t>
  </si>
  <si>
    <t>EMC0019</t>
  </si>
  <si>
    <t>LV510307 MCCB 100 A -3P</t>
  </si>
  <si>
    <t>EMC0020</t>
  </si>
  <si>
    <t>LV516303 MCCB 160 A 3P</t>
  </si>
  <si>
    <t>EMC0021</t>
  </si>
  <si>
    <t>LV525303 MCCB 250A 3P /SWITCH GEAR 25 KA</t>
  </si>
  <si>
    <t>EMC0022</t>
  </si>
  <si>
    <t>LV563307 300A -3P MCCB</t>
  </si>
  <si>
    <t>EMC0023</t>
  </si>
  <si>
    <t>MCB 32 AMPS 2P</t>
  </si>
  <si>
    <t>EMC0024</t>
  </si>
  <si>
    <t>MCB 25 AMPS 2P</t>
  </si>
  <si>
    <t>MCB STOCK AS ON DATE 11/07/2026</t>
  </si>
  <si>
    <t>ECT0031</t>
  </si>
  <si>
    <t>ECT0032</t>
  </si>
  <si>
    <t>LC1D1157 SCHNEIDER CONTACTOR</t>
  </si>
  <si>
    <t>ECT0033</t>
  </si>
  <si>
    <t>LC1D1400 SCHNEIDER CONTACTOR</t>
  </si>
  <si>
    <t>ELEG0002</t>
  </si>
  <si>
    <t>ECT0034</t>
  </si>
  <si>
    <t>ECT0035</t>
  </si>
  <si>
    <t>ECT0036</t>
  </si>
  <si>
    <t>LAF400803 SCHNEIDER CONTACTOR KIT (LC1F400)</t>
  </si>
  <si>
    <t>LA5D150830 SCHNEIDER CONTACTOR KIT (LC1D150)</t>
  </si>
  <si>
    <t>ELECTRICAL GENERAL STOCK AS ON 16/07/2026</t>
  </si>
  <si>
    <t>ELEG0001</t>
  </si>
  <si>
    <t>SIEMENS 3TY7 460-OYA CONTACTOR KIT</t>
  </si>
  <si>
    <t>ELEG0003</t>
  </si>
  <si>
    <t>REWIDER POTENTIO METER 10K</t>
  </si>
  <si>
    <t>ELEG0004</t>
  </si>
  <si>
    <t>PRESOR SWITCH 10A</t>
  </si>
  <si>
    <t>ELEG0005</t>
  </si>
  <si>
    <t>SMPS 24 V 10A</t>
  </si>
  <si>
    <t>ELEG0006</t>
  </si>
  <si>
    <t>MK1 STATOR COIL</t>
  </si>
  <si>
    <t>ELEG0007</t>
  </si>
  <si>
    <t>L&amp;T MK1 STATOR RELAY KIT</t>
  </si>
  <si>
    <t>ELEG0008</t>
  </si>
  <si>
    <t>SIEMENS NET CONETER</t>
  </si>
  <si>
    <t>ELEG0009</t>
  </si>
  <si>
    <t>ADD ON BLOK</t>
  </si>
  <si>
    <t>ELEG0010</t>
  </si>
  <si>
    <t>L&amp;T ADD ON BLOK 2NO2NC</t>
  </si>
  <si>
    <t>ELEG0011</t>
  </si>
  <si>
    <t>SIEMENS ADD ON BLOK 2NO2NC</t>
  </si>
  <si>
    <t>ELEG0012</t>
  </si>
  <si>
    <t xml:space="preserve">L&amp;T COMPRSER TERMINAL </t>
  </si>
  <si>
    <t>ELEG0013</t>
  </si>
  <si>
    <t>PID CONTROLLER TN: 00442008 (JUMO MAKE)</t>
  </si>
  <si>
    <t>ELEG0014</t>
  </si>
  <si>
    <t>SWITCH GEAR MAKE CONTROLLER 3 PH ,380V,CAT: ST921660000</t>
  </si>
  <si>
    <t>ELEG0015</t>
  </si>
  <si>
    <t>SIREN 150-MFTER1, 90-120CB</t>
  </si>
  <si>
    <t>ELEG0016</t>
  </si>
  <si>
    <t>REPON/SIBASS FAN- 24 V</t>
  </si>
  <si>
    <t>ELEG0017</t>
  </si>
  <si>
    <t>100 WATS FLOOD LIGHT</t>
  </si>
  <si>
    <t>ELEG0018</t>
  </si>
  <si>
    <t>LED TUBE LIGHTS</t>
  </si>
  <si>
    <t>ELEG0019</t>
  </si>
  <si>
    <t>LX1FJ220 COIL SCHNEIDER</t>
  </si>
  <si>
    <t>ELEG0020</t>
  </si>
  <si>
    <t>12SDTO STATER DELTA TIMER 3S-120S</t>
  </si>
  <si>
    <t>ELEG0021</t>
  </si>
  <si>
    <t>120DTY STATER DELTA TIMER 3S-30S</t>
  </si>
  <si>
    <t>ELEG0022</t>
  </si>
  <si>
    <t>SIEMENS ELECTORNIC TIMER (3RP15131AP308K) 3-60S</t>
  </si>
  <si>
    <t>ELEG0023</t>
  </si>
  <si>
    <t>SIEMENS ELECTORNIC TIMER (3RP15131AP308K) 5S-100S</t>
  </si>
  <si>
    <t>ELEG0024</t>
  </si>
  <si>
    <t>TEMPERATURE CONTROLLER (513AX)</t>
  </si>
  <si>
    <t>ELEG0025</t>
  </si>
  <si>
    <t>TEMPERATURE CONTROLLER (513)</t>
  </si>
  <si>
    <t>ELEG0026</t>
  </si>
  <si>
    <t>ROTAEY SWITCH (SAI2FR) (61192SCB03TDYR)</t>
  </si>
  <si>
    <t>ELEG0027</t>
  </si>
  <si>
    <t>LIMIT SWITCH (240V/30V) JAI BALAJI</t>
  </si>
  <si>
    <t>ELEG0028</t>
  </si>
  <si>
    <t>ONDELAY TIMER 0.6S-60M PLY 2C/O CSA</t>
  </si>
  <si>
    <t>ELEG0029</t>
  </si>
  <si>
    <t>ELEG0030</t>
  </si>
  <si>
    <t>STAR DELTA TIMER 3S-120S (2ASDT0) (24-240VAC/DC)</t>
  </si>
  <si>
    <t>ELEG0031</t>
  </si>
  <si>
    <t>ELEG0032</t>
  </si>
  <si>
    <t>ELEG0033</t>
  </si>
  <si>
    <t>ELEG0034</t>
  </si>
  <si>
    <t>ELEG0035</t>
  </si>
  <si>
    <t>ELEG0036</t>
  </si>
  <si>
    <t>DISTRIBUSTION BOX</t>
  </si>
  <si>
    <t>ELEG0037</t>
  </si>
  <si>
    <t>ELEG0038</t>
  </si>
  <si>
    <t>ELEG0039</t>
  </si>
  <si>
    <t>PROCERSS INDICATOR PIC101A-VI230</t>
  </si>
  <si>
    <t>ELEG0040</t>
  </si>
  <si>
    <t>ELEG0041</t>
  </si>
  <si>
    <t>SCHENIDER LADSN20 CONTACT BLOCKS</t>
  </si>
  <si>
    <t>ELEG0042</t>
  </si>
  <si>
    <t>SCHENIDER LADT2 TIMER DELAY BLOCKS</t>
  </si>
  <si>
    <t>ELEG0043</t>
  </si>
  <si>
    <t>L&amp;T COIL-MK1 CAT NO: AA9000470000</t>
  </si>
  <si>
    <t>ELEG0044</t>
  </si>
  <si>
    <t>SCHENIDER LA7D3064 TERMINAL BLOCK</t>
  </si>
  <si>
    <t>RPM METER MULTISPAN PI-38-A2-00 (AC) 999 TO 9999)</t>
  </si>
  <si>
    <t>TERMINAL PLATE CROMPTON (100 HP) (T17037)</t>
  </si>
  <si>
    <t>TERMINAL PLATE CROMPTON (320 HP) (W60XL385XT30)</t>
  </si>
  <si>
    <t>TECHNO METER CONTER (C-96X)</t>
  </si>
  <si>
    <t>TERMINAL PLATE ABB 200HP (T17128) TAMCO</t>
  </si>
  <si>
    <t xml:space="preserve">TERMINAL PLATE CROMPTON T1 7138 </t>
  </si>
  <si>
    <t>TERMINAL PLATE RX6 STUD 7009</t>
  </si>
  <si>
    <t>ELEG0045</t>
  </si>
  <si>
    <t xml:space="preserve">TERMINAL PLATE TAMCO T1-7040 </t>
  </si>
  <si>
    <t>ELEG0046</t>
  </si>
  <si>
    <t>TERMINAL PLATE TAMCO T1-7135</t>
  </si>
  <si>
    <t>ELEG0047</t>
  </si>
  <si>
    <t>MOTOR FANS CR.AD-112 (HOLE24.5XOD190) KEY WAY TYPE</t>
  </si>
  <si>
    <t>ELEG0048</t>
  </si>
  <si>
    <t>ELEG0049</t>
  </si>
  <si>
    <t>MOTOR FANS  CR (HOLE 24 X OD155) PIN TYPE</t>
  </si>
  <si>
    <t>MOTOR FANS ND-200  CR (HOLE56  X OD260) KEY WAY TYPE #1728</t>
  </si>
  <si>
    <t>ELEG0050</t>
  </si>
  <si>
    <t xml:space="preserve">MOTOR FANS   CR (HOLE48  X OD290) SCREW TYPE </t>
  </si>
  <si>
    <t>ELEG0051</t>
  </si>
  <si>
    <t xml:space="preserve">MOTOR FANS   CR (HOLE48  X OD290) PIN TYPE </t>
  </si>
  <si>
    <t>ELEG0052</t>
  </si>
  <si>
    <t xml:space="preserve">MOTOR FANS   CR (HOLE 93  X OD 400) KEY WAY TYPE </t>
  </si>
  <si>
    <t xml:space="preserve">MNX 40-110V (L&amp;T)(SWITCHGEAR) CONTACTOR </t>
  </si>
  <si>
    <t xml:space="preserve">MNX40-240V (L&amp;T)(SWITCHGEAR) CONTACTOR  </t>
  </si>
  <si>
    <t xml:space="preserve">ABB -45 AMPS 230V /50 HZ/ 240V /60HZ CONTACTOR </t>
  </si>
  <si>
    <t xml:space="preserve">ABB  25AMPS -230V/50 HZ CONTACTOR </t>
  </si>
  <si>
    <t>MNX12 240 Vac POWER CONTACTOR</t>
  </si>
  <si>
    <t>MNX18 240 Vac POWER CONTACTOR</t>
  </si>
  <si>
    <t>MNX25 -240 Vac POWER CONTACTOR</t>
  </si>
  <si>
    <t>MNX 32-110V POWER CONTACTOR</t>
  </si>
  <si>
    <t>MNX 32-240V POWER CONTACTOR</t>
  </si>
  <si>
    <t xml:space="preserve">LC1DPKM7 -30 KVAR CONTACTORS -CAPACITOR </t>
  </si>
  <si>
    <t xml:space="preserve">LC1DMKM7 -25 KVAR CONTACTORS -CAPACITOR </t>
  </si>
  <si>
    <t xml:space="preserve">LC1DLKM7-20 KVAR CONTACTORS -CAPACITOR </t>
  </si>
  <si>
    <t xml:space="preserve">LC1DWKM7C -62 KVAR CONTACTORS -CAPACITOR </t>
  </si>
  <si>
    <t xml:space="preserve">LC1`DWK12M7 -SWITCHING CONTACTORS -CAPACITOR </t>
  </si>
  <si>
    <t xml:space="preserve">20 KVR CAPACITOR (L&amp;T) 440V -RACK </t>
  </si>
  <si>
    <t>3 kVAr X 440 V  POWER CAPACITOR</t>
  </si>
  <si>
    <t>LA5FF431 SCHNEIDER CONTACTOR KIT (LC1F150,LC1F115)</t>
  </si>
  <si>
    <t>TERMINAL BLOCK-PLATE Fr.ND200 CG (40HP)</t>
  </si>
  <si>
    <t>TERMINAL BLOCK-PLATE Fr.ND160-180 CG (20-30HP)</t>
  </si>
  <si>
    <t>ELEG0053</t>
  </si>
  <si>
    <t>ELEG0054</t>
  </si>
  <si>
    <t>ELEG0055</t>
  </si>
  <si>
    <t>ELEG0056</t>
  </si>
  <si>
    <t xml:space="preserve">S.NO </t>
  </si>
  <si>
    <t>ITEM DETAILS</t>
  </si>
  <si>
    <t>RECIVED</t>
  </si>
  <si>
    <t>TOTAL</t>
  </si>
  <si>
    <t>ISSUE</t>
  </si>
  <si>
    <t>BALANCE</t>
  </si>
  <si>
    <t>ELEG0057</t>
  </si>
  <si>
    <t>COLING FAN ND160 CG, 4P (20HP)</t>
  </si>
  <si>
    <t>COLING FAN ND132 CG, (7.5HP)</t>
  </si>
  <si>
    <t>TERMINAL BOX 112 /132 CG (40-20hp)</t>
  </si>
  <si>
    <t>ELEG0058</t>
  </si>
  <si>
    <t>COLING FAN F-80 (HOLE19XOD137)</t>
  </si>
  <si>
    <t>3TF30-10-0AP0-(230V/50HZ,276/60) (9A-415V) SIEMENS AIR BREAK POWER CONTACTOR</t>
  </si>
  <si>
    <t>3TF32-00-0AP0-(230V/50HZ,276/60) (16A-415V) SIEMENS AIR BREAK POWER CONTACTOR</t>
  </si>
  <si>
    <t>3TF35-00-0AP0-(230V/50HZ) (38 A-415V) SIEMENS AIR BREAK POWER CONTACTOR</t>
  </si>
  <si>
    <t>MOTOR STATR 9-14 AMP AMPER</t>
  </si>
  <si>
    <t>CONTACTOR STOCK AS ON DATE</t>
  </si>
  <si>
    <t>ELEG0059</t>
  </si>
  <si>
    <t>6 WAY PVC MCB BOX</t>
  </si>
  <si>
    <t>15" DULAUST FAG ALMOUCRD</t>
  </si>
  <si>
    <t>ELEG0060</t>
  </si>
  <si>
    <t>ELEG0061</t>
  </si>
  <si>
    <t>ELEG0062</t>
  </si>
  <si>
    <t>ELEG0063</t>
  </si>
  <si>
    <t>ELEG0064</t>
  </si>
  <si>
    <t>ELEG0065</t>
  </si>
  <si>
    <t>ELEG0066</t>
  </si>
  <si>
    <t>ELEG0067</t>
  </si>
  <si>
    <t>ELEG0068</t>
  </si>
  <si>
    <t>ELEG0069</t>
  </si>
  <si>
    <t>ELEG0070</t>
  </si>
  <si>
    <t>ELEG0071</t>
  </si>
  <si>
    <t>ELEG0072</t>
  </si>
  <si>
    <t>ELEG0073</t>
  </si>
  <si>
    <t>ELEG0074</t>
  </si>
  <si>
    <t>ELEG0075</t>
  </si>
  <si>
    <t>ELEG0076</t>
  </si>
  <si>
    <t>ELEG0077</t>
  </si>
  <si>
    <t>ELEG0078</t>
  </si>
  <si>
    <t>ELEG0079</t>
  </si>
  <si>
    <t>ELEG0080</t>
  </si>
  <si>
    <t>COPPER FLAT LUGS 10 SQMM</t>
  </si>
  <si>
    <t>COPPER FLAT LUGS 16 SQMM</t>
  </si>
  <si>
    <t>COPPER FLAT LUGS 25 SQMM</t>
  </si>
  <si>
    <t>COPPER FLAT LUGS 35 SQMM</t>
  </si>
  <si>
    <t>COPPER FLAT LUGS 50 SQMM</t>
  </si>
  <si>
    <t>COPPER FLAT LUGS 70 SQMM</t>
  </si>
  <si>
    <t>COPPER FLAT LUGS 95 SQMM</t>
  </si>
  <si>
    <t>COPPER FEMALE LUGS  95 SQMM</t>
  </si>
  <si>
    <t>COPPER FEMALE LUGS  120 SQMM</t>
  </si>
  <si>
    <t>COPPER FLAT LUGS 120 SQMM</t>
  </si>
  <si>
    <t>COPPER FLAT LUGS 150 SQMM</t>
  </si>
  <si>
    <t>ALUMINIUM FLAT LUGS  10 SQMM</t>
  </si>
  <si>
    <t>ALUMINIUM FLAT LUGS  15 SQMM</t>
  </si>
  <si>
    <t>ALUMINIUM FLAT LUGS  16 SQMM</t>
  </si>
  <si>
    <t>ALUMINIUM FLAT LUGS  25 SQMM</t>
  </si>
  <si>
    <t>ALUMINIUM FLAT LUGS  35 SQMM</t>
  </si>
  <si>
    <t>ALUMINIUM FEMALE LUGS  150 SQMM</t>
  </si>
  <si>
    <t>ALUMINIUM FLAT LUGS  185 SQMM</t>
  </si>
  <si>
    <t>ALUMINIUM FLAT LUGS  240 SQMM</t>
  </si>
  <si>
    <t>ALUMINIUM FLAT LUGS  300 SQMM</t>
  </si>
  <si>
    <t>ELEG0081</t>
  </si>
  <si>
    <t>INSULATIN TAPE BLUE, GREEN, RED, YELLOW &amp; BLACK</t>
  </si>
  <si>
    <t>ERE0025</t>
  </si>
  <si>
    <t>MINILEC  BP-VOLTAGE SENSING PHASE FAILURE RELAY 380-440V AC(S1 VMR7)</t>
  </si>
  <si>
    <t>ELEG0082</t>
  </si>
  <si>
    <t>TERMINAL PLATE ABB 200HP (T1-7040) TAMCO</t>
  </si>
  <si>
    <t>ELEG0083</t>
  </si>
  <si>
    <t>TERMINAL PLATE ABB 200HP (T1-7135) TAMCO</t>
  </si>
  <si>
    <t>HSN CODE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</si>
</sst>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6" fillId="0" borderId="1" xfId="1" applyFont="1" applyFill="1" applyBorder="1" applyAlignment="1" applyProtection="1">
      <alignment horizontal="center" vertical="center"/>
    </xf>
    <xf numFmtId="0" fontId="6" fillId="0" borderId="1" xfId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0" xfId="0" applyFont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8" fillId="0" borderId="1" xfId="1" applyFont="1" applyFill="1" applyBorder="1" applyAlignment="1" applyProtection="1">
      <alignment horizontal="center" vertical="center"/>
    </xf>
    <xf numFmtId="0" fontId="18" fillId="0" borderId="1" xfId="1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9" fillId="0" borderId="2" xfId="0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0" borderId="1" xfId="0" applyFont="1" applyBorder="1"/>
    <xf numFmtId="0" fontId="20" fillId="0" borderId="1" xfId="0" applyFont="1" applyBorder="1"/>
    <xf numFmtId="0" fontId="10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40"/>
  <sheetViews>
    <sheetView tabSelected="1" workbookViewId="0">
      <selection activeCell="C15" sqref="C15"/>
    </sheetView>
  </sheetViews>
  <sheetFormatPr defaultRowHeight="11.25"/>
  <cols>
    <col min="1" max="1" width="5.42578125" style="28" bestFit="1" customWidth="1"/>
    <col min="2" max="2" width="7.7109375" style="28" customWidth="1"/>
    <col min="3" max="3" width="67.85546875" style="28" customWidth="1"/>
    <col min="4" max="4" width="9.5703125" style="28" hidden="1" customWidth="1"/>
    <col min="5" max="5" width="6.7109375" style="51" hidden="1" customWidth="1"/>
    <col min="6" max="6" width="8" style="28" hidden="1" customWidth="1"/>
    <col min="7" max="7" width="6.28515625" style="28" hidden="1" customWidth="1"/>
    <col min="8" max="8" width="5.5703125" style="28" hidden="1" customWidth="1"/>
    <col min="9" max="9" width="8.7109375" style="28" hidden="1" customWidth="1"/>
    <col min="10" max="10" width="8" style="28" hidden="1" customWidth="1"/>
    <col min="11" max="11" width="5.5703125" style="28" hidden="1" customWidth="1"/>
    <col min="12" max="12" width="8.7109375" style="52" bestFit="1" customWidth="1"/>
    <col min="13" max="16384" width="9.140625" style="28"/>
  </cols>
  <sheetData>
    <row r="2" spans="1:12">
      <c r="A2" s="63" t="s">
        <v>295</v>
      </c>
      <c r="B2" s="63"/>
      <c r="C2" s="63"/>
      <c r="D2" s="63"/>
      <c r="E2" s="63"/>
    </row>
    <row r="3" spans="1:12">
      <c r="A3" s="29"/>
      <c r="B3" s="29"/>
      <c r="C3" s="29"/>
      <c r="D3" s="29"/>
      <c r="E3" s="65"/>
      <c r="F3" s="65"/>
      <c r="G3" s="65"/>
      <c r="H3" s="65"/>
      <c r="I3" s="64"/>
      <c r="J3" s="64"/>
      <c r="K3" s="64"/>
      <c r="L3" s="64"/>
    </row>
    <row r="4" spans="1:12" s="35" customFormat="1" ht="21">
      <c r="A4" s="30" t="s">
        <v>279</v>
      </c>
      <c r="B4" s="31" t="s">
        <v>1</v>
      </c>
      <c r="C4" s="32" t="s">
        <v>280</v>
      </c>
      <c r="D4" s="32" t="s">
        <v>348</v>
      </c>
      <c r="E4" s="33" t="s">
        <v>45</v>
      </c>
      <c r="F4" s="34" t="s">
        <v>281</v>
      </c>
      <c r="G4" s="34" t="s">
        <v>282</v>
      </c>
      <c r="H4" s="34" t="s">
        <v>283</v>
      </c>
      <c r="I4" s="34" t="s">
        <v>284</v>
      </c>
      <c r="J4" s="34" t="s">
        <v>281</v>
      </c>
      <c r="K4" s="34" t="s">
        <v>283</v>
      </c>
      <c r="L4" s="34" t="s">
        <v>284</v>
      </c>
    </row>
    <row r="5" spans="1:12" ht="16.5" customHeight="1">
      <c r="A5" s="36">
        <v>1</v>
      </c>
      <c r="B5" s="37" t="s">
        <v>3</v>
      </c>
      <c r="C5" s="38" t="s">
        <v>291</v>
      </c>
      <c r="D5" s="38"/>
      <c r="E5" s="36">
        <v>3</v>
      </c>
      <c r="F5" s="39"/>
      <c r="G5" s="39">
        <f>+E5+F5</f>
        <v>3</v>
      </c>
      <c r="H5" s="39"/>
      <c r="I5" s="39">
        <f>+G5-H5</f>
        <v>3</v>
      </c>
      <c r="J5" s="40"/>
      <c r="K5" s="40"/>
      <c r="L5" s="53">
        <f>SUM(I5+J5)-K5</f>
        <v>3</v>
      </c>
    </row>
    <row r="6" spans="1:12" ht="16.5" customHeight="1">
      <c r="A6" s="36">
        <v>2</v>
      </c>
      <c r="B6" s="37" t="s">
        <v>4</v>
      </c>
      <c r="C6" s="38" t="s">
        <v>292</v>
      </c>
      <c r="D6" s="38"/>
      <c r="E6" s="36">
        <v>3</v>
      </c>
      <c r="F6" s="39"/>
      <c r="G6" s="39">
        <f t="shared" ref="G6:G40" si="0">+E6+F6</f>
        <v>3</v>
      </c>
      <c r="H6" s="39"/>
      <c r="I6" s="39">
        <f t="shared" ref="I6:I40" si="1">+G6-H6</f>
        <v>3</v>
      </c>
      <c r="J6" s="40"/>
      <c r="K6" s="40"/>
      <c r="L6" s="53">
        <f t="shared" ref="L6:L40" si="2">SUM(I6+J6)-K6</f>
        <v>3</v>
      </c>
    </row>
    <row r="7" spans="1:12" ht="16.5" customHeight="1">
      <c r="A7" s="36">
        <v>3</v>
      </c>
      <c r="B7" s="37" t="s">
        <v>5</v>
      </c>
      <c r="C7" s="38" t="s">
        <v>293</v>
      </c>
      <c r="D7" s="38"/>
      <c r="E7" s="36">
        <v>4</v>
      </c>
      <c r="F7" s="39"/>
      <c r="G7" s="39">
        <f t="shared" si="0"/>
        <v>4</v>
      </c>
      <c r="H7" s="39"/>
      <c r="I7" s="39">
        <f t="shared" si="1"/>
        <v>4</v>
      </c>
      <c r="J7" s="40"/>
      <c r="K7" s="40"/>
      <c r="L7" s="53">
        <f t="shared" si="2"/>
        <v>4</v>
      </c>
    </row>
    <row r="8" spans="1:12" ht="16.5" customHeight="1">
      <c r="A8" s="36">
        <v>4</v>
      </c>
      <c r="B8" s="37" t="s">
        <v>6</v>
      </c>
      <c r="C8" s="38" t="s">
        <v>7</v>
      </c>
      <c r="D8" s="38"/>
      <c r="E8" s="36">
        <v>2</v>
      </c>
      <c r="F8" s="39"/>
      <c r="G8" s="39">
        <f t="shared" si="0"/>
        <v>2</v>
      </c>
      <c r="H8" s="39"/>
      <c r="I8" s="39">
        <f t="shared" si="1"/>
        <v>2</v>
      </c>
      <c r="J8" s="40"/>
      <c r="K8" s="40"/>
      <c r="L8" s="53">
        <f t="shared" si="2"/>
        <v>2</v>
      </c>
    </row>
    <row r="9" spans="1:12" ht="16.5" customHeight="1">
      <c r="A9" s="36">
        <v>5</v>
      </c>
      <c r="B9" s="37" t="s">
        <v>8</v>
      </c>
      <c r="C9" s="38" t="s">
        <v>9</v>
      </c>
      <c r="D9" s="38"/>
      <c r="E9" s="36">
        <v>3</v>
      </c>
      <c r="F9" s="39"/>
      <c r="G9" s="39">
        <f t="shared" si="0"/>
        <v>3</v>
      </c>
      <c r="H9" s="39"/>
      <c r="I9" s="39">
        <f t="shared" si="1"/>
        <v>3</v>
      </c>
      <c r="J9" s="40"/>
      <c r="K9" s="40"/>
      <c r="L9" s="53">
        <f t="shared" si="2"/>
        <v>3</v>
      </c>
    </row>
    <row r="10" spans="1:12" ht="16.5" customHeight="1">
      <c r="A10" s="36">
        <v>6</v>
      </c>
      <c r="B10" s="37" t="s">
        <v>10</v>
      </c>
      <c r="C10" s="38" t="s">
        <v>11</v>
      </c>
      <c r="D10" s="38"/>
      <c r="E10" s="36">
        <v>4</v>
      </c>
      <c r="F10" s="39"/>
      <c r="G10" s="39">
        <f t="shared" si="0"/>
        <v>4</v>
      </c>
      <c r="H10" s="39"/>
      <c r="I10" s="39">
        <f t="shared" si="1"/>
        <v>4</v>
      </c>
      <c r="J10" s="40"/>
      <c r="K10" s="40"/>
      <c r="L10" s="53">
        <f t="shared" si="2"/>
        <v>4</v>
      </c>
    </row>
    <row r="11" spans="1:12" ht="16.5" customHeight="1">
      <c r="A11" s="36">
        <v>7</v>
      </c>
      <c r="B11" s="37" t="s">
        <v>12</v>
      </c>
      <c r="C11" s="38" t="s">
        <v>13</v>
      </c>
      <c r="D11" s="38"/>
      <c r="E11" s="36">
        <v>1</v>
      </c>
      <c r="F11" s="39"/>
      <c r="G11" s="39">
        <f t="shared" si="0"/>
        <v>1</v>
      </c>
      <c r="H11" s="39"/>
      <c r="I11" s="39">
        <f t="shared" si="1"/>
        <v>1</v>
      </c>
      <c r="J11" s="40"/>
      <c r="K11" s="40"/>
      <c r="L11" s="53">
        <f t="shared" si="2"/>
        <v>1</v>
      </c>
    </row>
    <row r="12" spans="1:12" ht="16.5" customHeight="1">
      <c r="A12" s="36">
        <v>8</v>
      </c>
      <c r="B12" s="37" t="s">
        <v>14</v>
      </c>
      <c r="C12" s="38" t="s">
        <v>15</v>
      </c>
      <c r="D12" s="38"/>
      <c r="E12" s="36">
        <v>3</v>
      </c>
      <c r="F12" s="39"/>
      <c r="G12" s="39">
        <f t="shared" si="0"/>
        <v>3</v>
      </c>
      <c r="H12" s="39"/>
      <c r="I12" s="39">
        <f t="shared" si="1"/>
        <v>3</v>
      </c>
      <c r="J12" s="40"/>
      <c r="K12" s="40"/>
      <c r="L12" s="53">
        <f t="shared" si="2"/>
        <v>3</v>
      </c>
    </row>
    <row r="13" spans="1:12" ht="16.5" customHeight="1">
      <c r="A13" s="36">
        <v>9</v>
      </c>
      <c r="B13" s="37" t="s">
        <v>16</v>
      </c>
      <c r="C13" s="38" t="s">
        <v>17</v>
      </c>
      <c r="D13" s="38"/>
      <c r="E13" s="36">
        <v>7</v>
      </c>
      <c r="F13" s="39"/>
      <c r="G13" s="39">
        <f t="shared" si="0"/>
        <v>7</v>
      </c>
      <c r="H13" s="39"/>
      <c r="I13" s="39">
        <f t="shared" si="1"/>
        <v>7</v>
      </c>
      <c r="J13" s="40"/>
      <c r="K13" s="40"/>
      <c r="L13" s="53">
        <f t="shared" si="2"/>
        <v>7</v>
      </c>
    </row>
    <row r="14" spans="1:12" ht="16.5" customHeight="1">
      <c r="A14" s="36">
        <v>10</v>
      </c>
      <c r="B14" s="37" t="s">
        <v>18</v>
      </c>
      <c r="C14" s="38" t="s">
        <v>19</v>
      </c>
      <c r="D14" s="38"/>
      <c r="E14" s="36">
        <v>4</v>
      </c>
      <c r="F14" s="39"/>
      <c r="G14" s="39">
        <f t="shared" si="0"/>
        <v>4</v>
      </c>
      <c r="H14" s="39">
        <v>2</v>
      </c>
      <c r="I14" s="39">
        <f t="shared" si="1"/>
        <v>2</v>
      </c>
      <c r="J14" s="40"/>
      <c r="K14" s="40"/>
      <c r="L14" s="53">
        <f t="shared" si="2"/>
        <v>2</v>
      </c>
    </row>
    <row r="15" spans="1:12" ht="16.5" customHeight="1">
      <c r="A15" s="36">
        <v>11</v>
      </c>
      <c r="B15" s="37" t="s">
        <v>20</v>
      </c>
      <c r="C15" s="38" t="s">
        <v>21</v>
      </c>
      <c r="D15" s="38"/>
      <c r="E15" s="36">
        <v>0</v>
      </c>
      <c r="F15" s="39"/>
      <c r="G15" s="39">
        <f t="shared" si="0"/>
        <v>0</v>
      </c>
      <c r="H15" s="39"/>
      <c r="I15" s="39">
        <f t="shared" si="1"/>
        <v>0</v>
      </c>
      <c r="J15" s="40"/>
      <c r="K15" s="40"/>
      <c r="L15" s="53">
        <f t="shared" si="2"/>
        <v>0</v>
      </c>
    </row>
    <row r="16" spans="1:12" ht="16.5" customHeight="1">
      <c r="A16" s="36">
        <v>12</v>
      </c>
      <c r="B16" s="37" t="s">
        <v>22</v>
      </c>
      <c r="C16" s="38" t="s">
        <v>23</v>
      </c>
      <c r="D16" s="38"/>
      <c r="E16" s="36">
        <v>1</v>
      </c>
      <c r="F16" s="39"/>
      <c r="G16" s="39">
        <f t="shared" si="0"/>
        <v>1</v>
      </c>
      <c r="H16" s="39"/>
      <c r="I16" s="39">
        <f t="shared" si="1"/>
        <v>1</v>
      </c>
      <c r="J16" s="40"/>
      <c r="K16" s="39">
        <v>1</v>
      </c>
      <c r="L16" s="53">
        <f t="shared" si="2"/>
        <v>0</v>
      </c>
    </row>
    <row r="17" spans="1:12" ht="16.5" customHeight="1">
      <c r="A17" s="36">
        <v>13</v>
      </c>
      <c r="B17" s="37" t="s">
        <v>24</v>
      </c>
      <c r="C17" s="38" t="s">
        <v>25</v>
      </c>
      <c r="D17" s="38"/>
      <c r="E17" s="36">
        <v>2</v>
      </c>
      <c r="F17" s="39"/>
      <c r="G17" s="39">
        <f t="shared" si="0"/>
        <v>2</v>
      </c>
      <c r="H17" s="39"/>
      <c r="I17" s="39">
        <f t="shared" si="1"/>
        <v>2</v>
      </c>
      <c r="J17" s="40"/>
      <c r="K17" s="40"/>
      <c r="L17" s="53">
        <f t="shared" si="2"/>
        <v>2</v>
      </c>
    </row>
    <row r="18" spans="1:12" ht="16.5" customHeight="1">
      <c r="A18" s="36">
        <v>14</v>
      </c>
      <c r="B18" s="37" t="s">
        <v>26</v>
      </c>
      <c r="C18" s="38" t="s">
        <v>27</v>
      </c>
      <c r="D18" s="38"/>
      <c r="E18" s="36">
        <v>4</v>
      </c>
      <c r="F18" s="39"/>
      <c r="G18" s="39">
        <f t="shared" si="0"/>
        <v>4</v>
      </c>
      <c r="H18" s="39"/>
      <c r="I18" s="39">
        <f t="shared" si="1"/>
        <v>4</v>
      </c>
      <c r="J18" s="40"/>
      <c r="K18" s="40"/>
      <c r="L18" s="53">
        <f t="shared" si="2"/>
        <v>4</v>
      </c>
    </row>
    <row r="19" spans="1:12" ht="16.5" customHeight="1">
      <c r="A19" s="36">
        <v>15</v>
      </c>
      <c r="B19" s="37" t="s">
        <v>28</v>
      </c>
      <c r="C19" s="41" t="s">
        <v>29</v>
      </c>
      <c r="D19" s="41"/>
      <c r="E19" s="42">
        <v>4</v>
      </c>
      <c r="F19" s="39"/>
      <c r="G19" s="39">
        <f t="shared" si="0"/>
        <v>4</v>
      </c>
      <c r="H19" s="39"/>
      <c r="I19" s="39">
        <f t="shared" si="1"/>
        <v>4</v>
      </c>
      <c r="J19" s="40"/>
      <c r="K19" s="40"/>
      <c r="L19" s="53">
        <f t="shared" si="2"/>
        <v>4</v>
      </c>
    </row>
    <row r="20" spans="1:12" ht="16.5" customHeight="1">
      <c r="A20" s="36">
        <v>16</v>
      </c>
      <c r="B20" s="37" t="s">
        <v>30</v>
      </c>
      <c r="C20" s="41" t="s">
        <v>260</v>
      </c>
      <c r="D20" s="41"/>
      <c r="E20" s="42">
        <v>2</v>
      </c>
      <c r="F20" s="39"/>
      <c r="G20" s="39">
        <f t="shared" si="0"/>
        <v>2</v>
      </c>
      <c r="H20" s="39"/>
      <c r="I20" s="39">
        <f t="shared" si="1"/>
        <v>2</v>
      </c>
      <c r="J20" s="40"/>
      <c r="K20" s="40"/>
      <c r="L20" s="53">
        <f t="shared" si="2"/>
        <v>2</v>
      </c>
    </row>
    <row r="21" spans="1:12" ht="16.5" customHeight="1">
      <c r="A21" s="36">
        <v>17</v>
      </c>
      <c r="B21" s="37" t="s">
        <v>31</v>
      </c>
      <c r="C21" s="41" t="s">
        <v>261</v>
      </c>
      <c r="D21" s="41"/>
      <c r="E21" s="42">
        <v>2</v>
      </c>
      <c r="F21" s="39"/>
      <c r="G21" s="39">
        <f t="shared" si="0"/>
        <v>2</v>
      </c>
      <c r="H21" s="39"/>
      <c r="I21" s="39">
        <f t="shared" si="1"/>
        <v>2</v>
      </c>
      <c r="J21" s="40"/>
      <c r="K21" s="40"/>
      <c r="L21" s="53">
        <f t="shared" si="2"/>
        <v>2</v>
      </c>
    </row>
    <row r="22" spans="1:12" ht="16.5" customHeight="1">
      <c r="A22" s="36">
        <v>18</v>
      </c>
      <c r="B22" s="37" t="s">
        <v>32</v>
      </c>
      <c r="C22" s="41" t="s">
        <v>262</v>
      </c>
      <c r="D22" s="41"/>
      <c r="E22" s="42">
        <v>1</v>
      </c>
      <c r="F22" s="39"/>
      <c r="G22" s="39">
        <f t="shared" si="0"/>
        <v>1</v>
      </c>
      <c r="H22" s="39"/>
      <c r="I22" s="39">
        <f t="shared" si="1"/>
        <v>1</v>
      </c>
      <c r="J22" s="40"/>
      <c r="K22" s="40"/>
      <c r="L22" s="53">
        <f t="shared" si="2"/>
        <v>1</v>
      </c>
    </row>
    <row r="23" spans="1:12" ht="16.5" customHeight="1">
      <c r="A23" s="36">
        <v>19</v>
      </c>
      <c r="B23" s="37" t="s">
        <v>33</v>
      </c>
      <c r="C23" s="41" t="s">
        <v>263</v>
      </c>
      <c r="D23" s="41"/>
      <c r="E23" s="42">
        <v>0</v>
      </c>
      <c r="F23" s="39"/>
      <c r="G23" s="39">
        <f t="shared" si="0"/>
        <v>0</v>
      </c>
      <c r="H23" s="39"/>
      <c r="I23" s="39">
        <f t="shared" si="1"/>
        <v>0</v>
      </c>
      <c r="J23" s="40"/>
      <c r="K23" s="40"/>
      <c r="L23" s="53">
        <f t="shared" si="2"/>
        <v>0</v>
      </c>
    </row>
    <row r="24" spans="1:12" ht="16.5" customHeight="1">
      <c r="A24" s="36">
        <v>20</v>
      </c>
      <c r="B24" s="37" t="s">
        <v>34</v>
      </c>
      <c r="C24" s="41" t="s">
        <v>264</v>
      </c>
      <c r="D24" s="41"/>
      <c r="E24" s="42">
        <v>0</v>
      </c>
      <c r="F24" s="39"/>
      <c r="G24" s="39">
        <f t="shared" si="0"/>
        <v>0</v>
      </c>
      <c r="H24" s="39"/>
      <c r="I24" s="39">
        <f t="shared" si="1"/>
        <v>0</v>
      </c>
      <c r="J24" s="40"/>
      <c r="K24" s="40"/>
      <c r="L24" s="53">
        <f t="shared" si="2"/>
        <v>0</v>
      </c>
    </row>
    <row r="25" spans="1:12" ht="16.5" customHeight="1">
      <c r="A25" s="36">
        <v>21</v>
      </c>
      <c r="B25" s="37" t="s">
        <v>35</v>
      </c>
      <c r="C25" s="38" t="s">
        <v>256</v>
      </c>
      <c r="D25" s="38"/>
      <c r="E25" s="36">
        <v>1</v>
      </c>
      <c r="F25" s="39"/>
      <c r="G25" s="39">
        <f t="shared" si="0"/>
        <v>1</v>
      </c>
      <c r="H25" s="39"/>
      <c r="I25" s="39">
        <f t="shared" si="1"/>
        <v>1</v>
      </c>
      <c r="J25" s="40"/>
      <c r="K25" s="40"/>
      <c r="L25" s="53">
        <f t="shared" si="2"/>
        <v>1</v>
      </c>
    </row>
    <row r="26" spans="1:12" ht="16.5" customHeight="1">
      <c r="A26" s="36">
        <v>22</v>
      </c>
      <c r="B26" s="37" t="s">
        <v>36</v>
      </c>
      <c r="C26" s="38" t="s">
        <v>257</v>
      </c>
      <c r="D26" s="38"/>
      <c r="E26" s="36">
        <v>2</v>
      </c>
      <c r="F26" s="39"/>
      <c r="G26" s="39">
        <f t="shared" si="0"/>
        <v>2</v>
      </c>
      <c r="H26" s="39"/>
      <c r="I26" s="39">
        <f t="shared" si="1"/>
        <v>2</v>
      </c>
      <c r="J26" s="40"/>
      <c r="K26" s="40"/>
      <c r="L26" s="53">
        <f t="shared" si="2"/>
        <v>2</v>
      </c>
    </row>
    <row r="27" spans="1:12" ht="16.5" customHeight="1">
      <c r="A27" s="36">
        <v>23</v>
      </c>
      <c r="B27" s="37" t="s">
        <v>37</v>
      </c>
      <c r="C27" s="38" t="s">
        <v>259</v>
      </c>
      <c r="D27" s="38"/>
      <c r="E27" s="36">
        <v>2</v>
      </c>
      <c r="F27" s="39"/>
      <c r="G27" s="39">
        <f t="shared" si="0"/>
        <v>2</v>
      </c>
      <c r="H27" s="39"/>
      <c r="I27" s="39">
        <f t="shared" si="1"/>
        <v>2</v>
      </c>
      <c r="J27" s="40"/>
      <c r="K27" s="40"/>
      <c r="L27" s="53">
        <f t="shared" si="2"/>
        <v>2</v>
      </c>
    </row>
    <row r="28" spans="1:12" ht="16.5" customHeight="1">
      <c r="A28" s="36">
        <v>24</v>
      </c>
      <c r="B28" s="37" t="s">
        <v>38</v>
      </c>
      <c r="C28" s="38" t="s">
        <v>258</v>
      </c>
      <c r="D28" s="38"/>
      <c r="E28" s="36">
        <v>2</v>
      </c>
      <c r="F28" s="39"/>
      <c r="G28" s="39">
        <f t="shared" si="0"/>
        <v>2</v>
      </c>
      <c r="H28" s="39"/>
      <c r="I28" s="39">
        <f t="shared" si="1"/>
        <v>2</v>
      </c>
      <c r="J28" s="40"/>
      <c r="K28" s="40"/>
      <c r="L28" s="53">
        <f t="shared" si="2"/>
        <v>2</v>
      </c>
    </row>
    <row r="29" spans="1:12" ht="16.5" customHeight="1">
      <c r="A29" s="36">
        <v>25</v>
      </c>
      <c r="B29" s="37" t="s">
        <v>39</v>
      </c>
      <c r="C29" s="43" t="s">
        <v>265</v>
      </c>
      <c r="D29" s="43"/>
      <c r="E29" s="44">
        <v>2</v>
      </c>
      <c r="F29" s="39"/>
      <c r="G29" s="39">
        <f t="shared" si="0"/>
        <v>2</v>
      </c>
      <c r="H29" s="39"/>
      <c r="I29" s="39">
        <f t="shared" si="1"/>
        <v>2</v>
      </c>
      <c r="J29" s="40"/>
      <c r="K29" s="40"/>
      <c r="L29" s="53">
        <f t="shared" si="2"/>
        <v>2</v>
      </c>
    </row>
    <row r="30" spans="1:12" ht="16.5" customHeight="1">
      <c r="A30" s="36">
        <v>26</v>
      </c>
      <c r="B30" s="37" t="s">
        <v>40</v>
      </c>
      <c r="C30" s="43" t="s">
        <v>266</v>
      </c>
      <c r="D30" s="43"/>
      <c r="E30" s="44">
        <v>4</v>
      </c>
      <c r="F30" s="39"/>
      <c r="G30" s="39">
        <f t="shared" si="0"/>
        <v>4</v>
      </c>
      <c r="H30" s="39"/>
      <c r="I30" s="39">
        <f t="shared" si="1"/>
        <v>4</v>
      </c>
      <c r="J30" s="40"/>
      <c r="K30" s="40"/>
      <c r="L30" s="53">
        <f t="shared" si="2"/>
        <v>4</v>
      </c>
    </row>
    <row r="31" spans="1:12" ht="16.5" customHeight="1">
      <c r="A31" s="36">
        <v>27</v>
      </c>
      <c r="B31" s="37" t="s">
        <v>41</v>
      </c>
      <c r="C31" s="43" t="s">
        <v>267</v>
      </c>
      <c r="D31" s="43"/>
      <c r="E31" s="44">
        <v>2</v>
      </c>
      <c r="F31" s="39"/>
      <c r="G31" s="39">
        <f t="shared" si="0"/>
        <v>2</v>
      </c>
      <c r="H31" s="39"/>
      <c r="I31" s="39">
        <f t="shared" si="1"/>
        <v>2</v>
      </c>
      <c r="J31" s="40"/>
      <c r="K31" s="40"/>
      <c r="L31" s="53">
        <f t="shared" si="2"/>
        <v>2</v>
      </c>
    </row>
    <row r="32" spans="1:12" ht="16.5" customHeight="1">
      <c r="A32" s="36">
        <v>28</v>
      </c>
      <c r="B32" s="37" t="s">
        <v>42</v>
      </c>
      <c r="C32" s="43" t="s">
        <v>268</v>
      </c>
      <c r="D32" s="43"/>
      <c r="E32" s="44">
        <v>1</v>
      </c>
      <c r="F32" s="39"/>
      <c r="G32" s="39">
        <f t="shared" si="0"/>
        <v>1</v>
      </c>
      <c r="H32" s="39"/>
      <c r="I32" s="39">
        <f t="shared" si="1"/>
        <v>1</v>
      </c>
      <c r="J32" s="40"/>
      <c r="K32" s="40"/>
      <c r="L32" s="53">
        <f t="shared" si="2"/>
        <v>1</v>
      </c>
    </row>
    <row r="33" spans="1:12" ht="16.5" customHeight="1">
      <c r="A33" s="36">
        <v>29</v>
      </c>
      <c r="B33" s="37" t="s">
        <v>43</v>
      </c>
      <c r="C33" s="43" t="s">
        <v>269</v>
      </c>
      <c r="D33" s="43"/>
      <c r="E33" s="44">
        <v>1</v>
      </c>
      <c r="F33" s="39"/>
      <c r="G33" s="39">
        <f t="shared" si="0"/>
        <v>1</v>
      </c>
      <c r="H33" s="39"/>
      <c r="I33" s="39">
        <f t="shared" si="1"/>
        <v>1</v>
      </c>
      <c r="J33" s="40"/>
      <c r="K33" s="40"/>
      <c r="L33" s="53">
        <f t="shared" si="2"/>
        <v>1</v>
      </c>
    </row>
    <row r="34" spans="1:12" ht="16.5" customHeight="1">
      <c r="A34" s="45">
        <v>30</v>
      </c>
      <c r="B34" s="46" t="s">
        <v>44</v>
      </c>
      <c r="C34" s="47" t="s">
        <v>271</v>
      </c>
      <c r="D34" s="47"/>
      <c r="E34" s="48">
        <v>1</v>
      </c>
      <c r="F34" s="39"/>
      <c r="G34" s="39">
        <f t="shared" si="0"/>
        <v>1</v>
      </c>
      <c r="H34" s="39"/>
      <c r="I34" s="39">
        <f t="shared" si="1"/>
        <v>1</v>
      </c>
      <c r="J34" s="40"/>
      <c r="K34" s="40"/>
      <c r="L34" s="53">
        <f t="shared" si="2"/>
        <v>1</v>
      </c>
    </row>
    <row r="35" spans="1:12" ht="16.5" customHeight="1">
      <c r="A35" s="49">
        <v>31</v>
      </c>
      <c r="B35" s="49" t="s">
        <v>144</v>
      </c>
      <c r="C35" s="50" t="s">
        <v>270</v>
      </c>
      <c r="D35" s="50"/>
      <c r="E35" s="49">
        <v>1</v>
      </c>
      <c r="F35" s="39"/>
      <c r="G35" s="39">
        <f t="shared" si="0"/>
        <v>1</v>
      </c>
      <c r="H35" s="39"/>
      <c r="I35" s="39">
        <f t="shared" si="1"/>
        <v>1</v>
      </c>
      <c r="J35" s="40"/>
      <c r="K35" s="40"/>
      <c r="L35" s="53">
        <f t="shared" si="2"/>
        <v>1</v>
      </c>
    </row>
    <row r="36" spans="1:12" ht="16.5" customHeight="1">
      <c r="A36" s="49">
        <v>32</v>
      </c>
      <c r="B36" s="49" t="s">
        <v>145</v>
      </c>
      <c r="C36" s="50" t="s">
        <v>146</v>
      </c>
      <c r="D36" s="50"/>
      <c r="E36" s="49">
        <v>3</v>
      </c>
      <c r="F36" s="39"/>
      <c r="G36" s="39">
        <f t="shared" si="0"/>
        <v>3</v>
      </c>
      <c r="H36" s="39"/>
      <c r="I36" s="39">
        <f t="shared" si="1"/>
        <v>3</v>
      </c>
      <c r="J36" s="40"/>
      <c r="K36" s="40"/>
      <c r="L36" s="53">
        <f t="shared" si="2"/>
        <v>3</v>
      </c>
    </row>
    <row r="37" spans="1:12" ht="16.5" customHeight="1">
      <c r="A37" s="49">
        <v>33</v>
      </c>
      <c r="B37" s="49" t="s">
        <v>147</v>
      </c>
      <c r="C37" s="50" t="s">
        <v>148</v>
      </c>
      <c r="D37" s="50"/>
      <c r="E37" s="49">
        <v>1</v>
      </c>
      <c r="F37" s="39"/>
      <c r="G37" s="39">
        <f t="shared" si="0"/>
        <v>1</v>
      </c>
      <c r="H37" s="39"/>
      <c r="I37" s="39">
        <f t="shared" si="1"/>
        <v>1</v>
      </c>
      <c r="J37" s="40"/>
      <c r="K37" s="40"/>
      <c r="L37" s="53">
        <f t="shared" si="2"/>
        <v>1</v>
      </c>
    </row>
    <row r="38" spans="1:12" ht="16.5" customHeight="1">
      <c r="A38" s="49">
        <v>34</v>
      </c>
      <c r="B38" s="49" t="s">
        <v>150</v>
      </c>
      <c r="C38" s="50" t="s">
        <v>154</v>
      </c>
      <c r="D38" s="50"/>
      <c r="E38" s="49">
        <v>1</v>
      </c>
      <c r="F38" s="39"/>
      <c r="G38" s="39">
        <f t="shared" si="0"/>
        <v>1</v>
      </c>
      <c r="H38" s="39"/>
      <c r="I38" s="39">
        <f t="shared" si="1"/>
        <v>1</v>
      </c>
      <c r="J38" s="40"/>
      <c r="K38" s="40"/>
      <c r="L38" s="53">
        <f t="shared" si="2"/>
        <v>1</v>
      </c>
    </row>
    <row r="39" spans="1:12" ht="16.5" customHeight="1">
      <c r="A39" s="49">
        <v>35</v>
      </c>
      <c r="B39" s="36" t="s">
        <v>151</v>
      </c>
      <c r="C39" s="37" t="s">
        <v>272</v>
      </c>
      <c r="D39" s="37"/>
      <c r="E39" s="36">
        <v>2</v>
      </c>
      <c r="F39" s="39"/>
      <c r="G39" s="39">
        <f t="shared" si="0"/>
        <v>2</v>
      </c>
      <c r="H39" s="39"/>
      <c r="I39" s="39">
        <f t="shared" si="1"/>
        <v>2</v>
      </c>
      <c r="J39" s="40"/>
      <c r="K39" s="40"/>
      <c r="L39" s="53">
        <f t="shared" si="2"/>
        <v>2</v>
      </c>
    </row>
    <row r="40" spans="1:12" ht="16.5" customHeight="1">
      <c r="A40" s="49">
        <v>36</v>
      </c>
      <c r="B40" s="36" t="s">
        <v>152</v>
      </c>
      <c r="C40" s="37" t="s">
        <v>153</v>
      </c>
      <c r="D40" s="37"/>
      <c r="E40" s="36">
        <v>1</v>
      </c>
      <c r="F40" s="39"/>
      <c r="G40" s="39">
        <f t="shared" si="0"/>
        <v>1</v>
      </c>
      <c r="H40" s="39"/>
      <c r="I40" s="39">
        <f t="shared" si="1"/>
        <v>1</v>
      </c>
      <c r="J40" s="40"/>
      <c r="K40" s="40"/>
      <c r="L40" s="53">
        <f t="shared" si="2"/>
        <v>1</v>
      </c>
    </row>
  </sheetData>
  <mergeCells count="3">
    <mergeCell ref="A2:E2"/>
    <mergeCell ref="I3:L3"/>
    <mergeCell ref="E3:H3"/>
  </mergeCells>
  <hyperlinks>
    <hyperlink ref="A4" r:id="rId1" display="http://s.no/"/>
  </hyperlinks>
  <pageMargins left="0.33" right="0.7" top="0.75" bottom="0.41" header="0.3" footer="0.3"/>
  <pageSetup paperSize="9" orientation="portrait" verticalDpi="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2:L29"/>
  <sheetViews>
    <sheetView workbookViewId="0">
      <selection activeCell="D1" sqref="D1:K1048576"/>
    </sheetView>
  </sheetViews>
  <sheetFormatPr defaultRowHeight="15"/>
  <cols>
    <col min="1" max="1" width="5.28515625" style="1" customWidth="1"/>
    <col min="2" max="2" width="8" customWidth="1"/>
    <col min="3" max="3" width="67.42578125" bestFit="1" customWidth="1"/>
    <col min="4" max="4" width="10.85546875" hidden="1" customWidth="1"/>
    <col min="5" max="5" width="11.85546875" style="1" hidden="1" customWidth="1"/>
    <col min="6" max="6" width="13" hidden="1" customWidth="1"/>
    <col min="7" max="7" width="11.42578125" hidden="1" customWidth="1"/>
    <col min="8" max="8" width="10.5703125" hidden="1" customWidth="1"/>
    <col min="9" max="9" width="13.5703125" hidden="1" customWidth="1"/>
    <col min="10" max="10" width="8.42578125" hidden="1" customWidth="1"/>
    <col min="11" max="11" width="6" hidden="1" customWidth="1"/>
    <col min="12" max="12" width="9" bestFit="1" customWidth="1"/>
  </cols>
  <sheetData>
    <row r="2" spans="1:12" ht="15.75">
      <c r="A2" s="66" t="s">
        <v>92</v>
      </c>
      <c r="B2" s="66"/>
      <c r="C2" s="66"/>
      <c r="D2" s="66"/>
      <c r="E2" s="66"/>
    </row>
    <row r="3" spans="1:12" ht="15.75">
      <c r="A3" s="3"/>
      <c r="B3" s="2"/>
      <c r="C3" s="2"/>
      <c r="D3" s="2"/>
      <c r="E3" s="3"/>
      <c r="F3" s="67">
        <v>46224</v>
      </c>
      <c r="G3" s="68"/>
      <c r="H3" s="68"/>
      <c r="I3" s="68"/>
      <c r="J3" s="67">
        <v>46225</v>
      </c>
      <c r="K3" s="68"/>
      <c r="L3" s="68"/>
    </row>
    <row r="4" spans="1:12" ht="24">
      <c r="A4" s="8" t="s">
        <v>279</v>
      </c>
      <c r="B4" s="9" t="s">
        <v>1</v>
      </c>
      <c r="C4" s="10" t="s">
        <v>280</v>
      </c>
      <c r="D4" s="10" t="s">
        <v>348</v>
      </c>
      <c r="E4" s="11" t="s">
        <v>45</v>
      </c>
      <c r="F4" s="12" t="s">
        <v>281</v>
      </c>
      <c r="G4" s="12" t="s">
        <v>282</v>
      </c>
      <c r="H4" s="12" t="s">
        <v>283</v>
      </c>
      <c r="I4" s="12" t="s">
        <v>284</v>
      </c>
      <c r="J4" s="12" t="s">
        <v>281</v>
      </c>
      <c r="K4" s="12" t="s">
        <v>283</v>
      </c>
      <c r="L4" s="12" t="s">
        <v>284</v>
      </c>
    </row>
    <row r="5" spans="1:12" ht="21.75" customHeight="1">
      <c r="A5" s="5">
        <v>1</v>
      </c>
      <c r="B5" s="6" t="s">
        <v>46</v>
      </c>
      <c r="C5" s="7" t="s">
        <v>47</v>
      </c>
      <c r="D5" s="7"/>
      <c r="E5" s="4">
        <v>2</v>
      </c>
      <c r="F5" s="13"/>
      <c r="G5" s="13">
        <f t="shared" ref="G5:G12" si="0">SUM(E5+F5)</f>
        <v>2</v>
      </c>
      <c r="H5" s="13"/>
      <c r="I5" s="13">
        <f t="shared" ref="I5:I12" si="1">SUM(G5-H5)</f>
        <v>2</v>
      </c>
      <c r="J5" s="13"/>
      <c r="K5" s="13"/>
      <c r="L5" s="13">
        <f>SUM(I5+J5)-K5</f>
        <v>2</v>
      </c>
    </row>
    <row r="6" spans="1:12" ht="21.75" customHeight="1">
      <c r="A6" s="5">
        <v>2</v>
      </c>
      <c r="B6" s="6" t="s">
        <v>48</v>
      </c>
      <c r="C6" s="7" t="s">
        <v>49</v>
      </c>
      <c r="D6" s="7"/>
      <c r="E6" s="4">
        <v>2</v>
      </c>
      <c r="F6" s="13"/>
      <c r="G6" s="13">
        <f t="shared" si="0"/>
        <v>2</v>
      </c>
      <c r="H6" s="13"/>
      <c r="I6" s="13">
        <f t="shared" si="1"/>
        <v>2</v>
      </c>
      <c r="J6" s="13"/>
      <c r="K6" s="13"/>
      <c r="L6" s="13">
        <f t="shared" ref="L6:L28" si="2">SUM(I6+J6)-K6</f>
        <v>2</v>
      </c>
    </row>
    <row r="7" spans="1:12" ht="21.75" customHeight="1">
      <c r="A7" s="5">
        <v>3</v>
      </c>
      <c r="B7" s="6" t="s">
        <v>50</v>
      </c>
      <c r="C7" s="7" t="s">
        <v>51</v>
      </c>
      <c r="D7" s="7"/>
      <c r="E7" s="4">
        <v>3</v>
      </c>
      <c r="F7" s="13"/>
      <c r="G7" s="13">
        <f t="shared" si="0"/>
        <v>3</v>
      </c>
      <c r="H7" s="13"/>
      <c r="I7" s="13">
        <f t="shared" si="1"/>
        <v>3</v>
      </c>
      <c r="J7" s="13"/>
      <c r="K7" s="13"/>
      <c r="L7" s="13">
        <f t="shared" si="2"/>
        <v>3</v>
      </c>
    </row>
    <row r="8" spans="1:12" ht="21.75" customHeight="1">
      <c r="A8" s="5">
        <v>4</v>
      </c>
      <c r="B8" s="6" t="s">
        <v>52</v>
      </c>
      <c r="C8" s="7" t="s">
        <v>53</v>
      </c>
      <c r="D8" s="7"/>
      <c r="E8" s="4">
        <v>2</v>
      </c>
      <c r="F8" s="13"/>
      <c r="G8" s="13">
        <f t="shared" si="0"/>
        <v>2</v>
      </c>
      <c r="H8" s="13"/>
      <c r="I8" s="13">
        <f t="shared" si="1"/>
        <v>2</v>
      </c>
      <c r="J8" s="13"/>
      <c r="K8" s="13">
        <v>1</v>
      </c>
      <c r="L8" s="13">
        <f t="shared" si="2"/>
        <v>1</v>
      </c>
    </row>
    <row r="9" spans="1:12" ht="21.75" customHeight="1">
      <c r="A9" s="5">
        <v>5</v>
      </c>
      <c r="B9" s="6" t="s">
        <v>54</v>
      </c>
      <c r="C9" s="7" t="s">
        <v>55</v>
      </c>
      <c r="D9" s="7"/>
      <c r="E9" s="4">
        <v>2</v>
      </c>
      <c r="F9" s="13"/>
      <c r="G9" s="13">
        <f t="shared" si="0"/>
        <v>2</v>
      </c>
      <c r="H9" s="13">
        <v>1</v>
      </c>
      <c r="I9" s="13">
        <f t="shared" si="1"/>
        <v>1</v>
      </c>
      <c r="J9" s="13"/>
      <c r="K9" s="13"/>
      <c r="L9" s="13">
        <f t="shared" si="2"/>
        <v>1</v>
      </c>
    </row>
    <row r="10" spans="1:12" ht="21.75" customHeight="1">
      <c r="A10" s="5">
        <v>6</v>
      </c>
      <c r="B10" s="6" t="s">
        <v>56</v>
      </c>
      <c r="C10" s="7" t="s">
        <v>57</v>
      </c>
      <c r="D10" s="7"/>
      <c r="E10" s="4">
        <v>1</v>
      </c>
      <c r="F10" s="13"/>
      <c r="G10" s="13">
        <f t="shared" si="0"/>
        <v>1</v>
      </c>
      <c r="H10" s="13"/>
      <c r="I10" s="13">
        <f t="shared" si="1"/>
        <v>1</v>
      </c>
      <c r="J10" s="13"/>
      <c r="K10" s="13"/>
      <c r="L10" s="13">
        <f t="shared" si="2"/>
        <v>1</v>
      </c>
    </row>
    <row r="11" spans="1:12" ht="21.75" customHeight="1">
      <c r="A11" s="5">
        <v>7</v>
      </c>
      <c r="B11" s="6" t="s">
        <v>58</v>
      </c>
      <c r="C11" s="7" t="s">
        <v>93</v>
      </c>
      <c r="D11" s="7"/>
      <c r="E11" s="4">
        <v>0</v>
      </c>
      <c r="F11" s="13"/>
      <c r="G11" s="13">
        <f t="shared" si="0"/>
        <v>0</v>
      </c>
      <c r="H11" s="13"/>
      <c r="I11" s="13">
        <f t="shared" si="1"/>
        <v>0</v>
      </c>
      <c r="J11" s="13"/>
      <c r="K11" s="13"/>
      <c r="L11" s="13">
        <f t="shared" si="2"/>
        <v>0</v>
      </c>
    </row>
    <row r="12" spans="1:12" ht="21.75" customHeight="1">
      <c r="A12" s="5">
        <v>8</v>
      </c>
      <c r="B12" s="6" t="s">
        <v>60</v>
      </c>
      <c r="C12" s="7" t="s">
        <v>59</v>
      </c>
      <c r="D12" s="7"/>
      <c r="E12" s="4">
        <v>6</v>
      </c>
      <c r="F12" s="13"/>
      <c r="G12" s="13">
        <f t="shared" si="0"/>
        <v>6</v>
      </c>
      <c r="H12" s="13"/>
      <c r="I12" s="13">
        <f t="shared" si="1"/>
        <v>6</v>
      </c>
      <c r="J12" s="13"/>
      <c r="K12" s="13"/>
      <c r="L12" s="13">
        <f t="shared" si="2"/>
        <v>6</v>
      </c>
    </row>
    <row r="13" spans="1:12" ht="21.75" customHeight="1">
      <c r="A13" s="5">
        <v>9</v>
      </c>
      <c r="B13" s="6" t="s">
        <v>62</v>
      </c>
      <c r="C13" s="7" t="s">
        <v>61</v>
      </c>
      <c r="D13" s="7"/>
      <c r="E13" s="4">
        <v>0</v>
      </c>
      <c r="F13" s="13"/>
      <c r="G13" s="13">
        <f t="shared" ref="G13:G28" si="3">SUM(E13+F13)</f>
        <v>0</v>
      </c>
      <c r="H13" s="13"/>
      <c r="I13" s="13">
        <f t="shared" ref="I13:I28" si="4">SUM(G13-H13)</f>
        <v>0</v>
      </c>
      <c r="J13" s="13"/>
      <c r="K13" s="13"/>
      <c r="L13" s="13">
        <f t="shared" si="2"/>
        <v>0</v>
      </c>
    </row>
    <row r="14" spans="1:12" ht="21.75" customHeight="1">
      <c r="A14" s="5">
        <v>10</v>
      </c>
      <c r="B14" s="6" t="s">
        <v>64</v>
      </c>
      <c r="C14" s="7" t="s">
        <v>63</v>
      </c>
      <c r="D14" s="7"/>
      <c r="E14" s="4">
        <v>4</v>
      </c>
      <c r="F14" s="13"/>
      <c r="G14" s="13">
        <f t="shared" si="3"/>
        <v>4</v>
      </c>
      <c r="H14" s="13"/>
      <c r="I14" s="13">
        <f t="shared" si="4"/>
        <v>4</v>
      </c>
      <c r="J14" s="13"/>
      <c r="K14" s="13"/>
      <c r="L14" s="13">
        <f t="shared" si="2"/>
        <v>4</v>
      </c>
    </row>
    <row r="15" spans="1:12" ht="21.75" customHeight="1">
      <c r="A15" s="5">
        <v>11</v>
      </c>
      <c r="B15" s="6" t="s">
        <v>66</v>
      </c>
      <c r="C15" s="7" t="s">
        <v>65</v>
      </c>
      <c r="D15" s="7"/>
      <c r="E15" s="4">
        <v>5</v>
      </c>
      <c r="F15" s="13"/>
      <c r="G15" s="13">
        <f t="shared" si="3"/>
        <v>5</v>
      </c>
      <c r="H15" s="13"/>
      <c r="I15" s="13">
        <f t="shared" si="4"/>
        <v>5</v>
      </c>
      <c r="J15" s="13"/>
      <c r="K15" s="13"/>
      <c r="L15" s="13">
        <f t="shared" si="2"/>
        <v>5</v>
      </c>
    </row>
    <row r="16" spans="1:12" ht="21.75" customHeight="1">
      <c r="A16" s="5">
        <v>12</v>
      </c>
      <c r="B16" s="6" t="s">
        <v>68</v>
      </c>
      <c r="C16" s="7" t="s">
        <v>67</v>
      </c>
      <c r="D16" s="7"/>
      <c r="E16" s="4">
        <v>0</v>
      </c>
      <c r="F16" s="13"/>
      <c r="G16" s="13">
        <f t="shared" si="3"/>
        <v>0</v>
      </c>
      <c r="H16" s="13"/>
      <c r="I16" s="13">
        <f t="shared" si="4"/>
        <v>0</v>
      </c>
      <c r="J16" s="13"/>
      <c r="K16" s="13"/>
      <c r="L16" s="13">
        <f t="shared" si="2"/>
        <v>0</v>
      </c>
    </row>
    <row r="17" spans="1:12" ht="21.75" customHeight="1">
      <c r="A17" s="5">
        <v>13</v>
      </c>
      <c r="B17" s="6" t="s">
        <v>70</v>
      </c>
      <c r="C17" s="7" t="s">
        <v>69</v>
      </c>
      <c r="D17" s="7"/>
      <c r="E17" s="4">
        <v>2</v>
      </c>
      <c r="F17" s="13"/>
      <c r="G17" s="13">
        <f t="shared" si="3"/>
        <v>2</v>
      </c>
      <c r="H17" s="13"/>
      <c r="I17" s="13">
        <f t="shared" si="4"/>
        <v>2</v>
      </c>
      <c r="J17" s="13"/>
      <c r="K17" s="13"/>
      <c r="L17" s="13">
        <f t="shared" si="2"/>
        <v>2</v>
      </c>
    </row>
    <row r="18" spans="1:12" ht="21.75" customHeight="1">
      <c r="A18" s="5">
        <v>14</v>
      </c>
      <c r="B18" s="6" t="s">
        <v>72</v>
      </c>
      <c r="C18" s="7" t="s">
        <v>71</v>
      </c>
      <c r="D18" s="7"/>
      <c r="E18" s="4">
        <v>1</v>
      </c>
      <c r="F18" s="13"/>
      <c r="G18" s="13">
        <f t="shared" si="3"/>
        <v>1</v>
      </c>
      <c r="H18" s="13"/>
      <c r="I18" s="13">
        <f t="shared" si="4"/>
        <v>1</v>
      </c>
      <c r="J18" s="13"/>
      <c r="K18" s="13"/>
      <c r="L18" s="13">
        <f t="shared" si="2"/>
        <v>1</v>
      </c>
    </row>
    <row r="19" spans="1:12" ht="21.75" customHeight="1">
      <c r="A19" s="5">
        <v>15</v>
      </c>
      <c r="B19" s="6" t="s">
        <v>74</v>
      </c>
      <c r="C19" s="7" t="s">
        <v>73</v>
      </c>
      <c r="D19" s="7"/>
      <c r="E19" s="4">
        <v>2</v>
      </c>
      <c r="F19" s="13"/>
      <c r="G19" s="13">
        <f t="shared" si="3"/>
        <v>2</v>
      </c>
      <c r="H19" s="13"/>
      <c r="I19" s="13">
        <f t="shared" si="4"/>
        <v>2</v>
      </c>
      <c r="J19" s="13"/>
      <c r="K19" s="13"/>
      <c r="L19" s="13">
        <f t="shared" si="2"/>
        <v>2</v>
      </c>
    </row>
    <row r="20" spans="1:12" ht="21.75" customHeight="1">
      <c r="A20" s="5">
        <v>16</v>
      </c>
      <c r="B20" s="6" t="s">
        <v>76</v>
      </c>
      <c r="C20" s="7" t="s">
        <v>75</v>
      </c>
      <c r="D20" s="7"/>
      <c r="E20" s="4">
        <v>2</v>
      </c>
      <c r="F20" s="13"/>
      <c r="G20" s="13">
        <f t="shared" si="3"/>
        <v>2</v>
      </c>
      <c r="H20" s="13"/>
      <c r="I20" s="13">
        <f t="shared" si="4"/>
        <v>2</v>
      </c>
      <c r="J20" s="13"/>
      <c r="K20" s="13"/>
      <c r="L20" s="13">
        <f t="shared" si="2"/>
        <v>2</v>
      </c>
    </row>
    <row r="21" spans="1:12" ht="21.75" customHeight="1">
      <c r="A21" s="5">
        <v>17</v>
      </c>
      <c r="B21" s="6" t="s">
        <v>78</v>
      </c>
      <c r="C21" s="7" t="s">
        <v>77</v>
      </c>
      <c r="D21" s="7"/>
      <c r="E21" s="4">
        <v>0</v>
      </c>
      <c r="F21" s="13"/>
      <c r="G21" s="13">
        <f t="shared" si="3"/>
        <v>0</v>
      </c>
      <c r="H21" s="13"/>
      <c r="I21" s="13">
        <f t="shared" si="4"/>
        <v>0</v>
      </c>
      <c r="J21" s="13"/>
      <c r="K21" s="13"/>
      <c r="L21" s="13">
        <f t="shared" si="2"/>
        <v>0</v>
      </c>
    </row>
    <row r="22" spans="1:12" ht="21.75" customHeight="1">
      <c r="A22" s="5">
        <v>18</v>
      </c>
      <c r="B22" s="6" t="s">
        <v>80</v>
      </c>
      <c r="C22" s="7" t="s">
        <v>79</v>
      </c>
      <c r="D22" s="7"/>
      <c r="E22" s="4">
        <v>1</v>
      </c>
      <c r="F22" s="13"/>
      <c r="G22" s="13">
        <f t="shared" si="3"/>
        <v>1</v>
      </c>
      <c r="H22" s="13"/>
      <c r="I22" s="13">
        <f t="shared" si="4"/>
        <v>1</v>
      </c>
      <c r="J22" s="13"/>
      <c r="K22" s="13"/>
      <c r="L22" s="13">
        <f t="shared" si="2"/>
        <v>1</v>
      </c>
    </row>
    <row r="23" spans="1:12" ht="21.75" customHeight="1">
      <c r="A23" s="5">
        <v>19</v>
      </c>
      <c r="B23" s="6" t="s">
        <v>82</v>
      </c>
      <c r="C23" s="7" t="s">
        <v>81</v>
      </c>
      <c r="D23" s="7"/>
      <c r="E23" s="4">
        <v>1</v>
      </c>
      <c r="F23" s="13"/>
      <c r="G23" s="13">
        <f t="shared" si="3"/>
        <v>1</v>
      </c>
      <c r="H23" s="13"/>
      <c r="I23" s="13">
        <f t="shared" si="4"/>
        <v>1</v>
      </c>
      <c r="J23" s="13"/>
      <c r="K23" s="13"/>
      <c r="L23" s="13">
        <f t="shared" si="2"/>
        <v>1</v>
      </c>
    </row>
    <row r="24" spans="1:12" ht="21.75" customHeight="1">
      <c r="A24" s="5">
        <v>20</v>
      </c>
      <c r="B24" s="6" t="s">
        <v>84</v>
      </c>
      <c r="C24" s="7" t="s">
        <v>83</v>
      </c>
      <c r="D24" s="7"/>
      <c r="E24" s="4">
        <v>1</v>
      </c>
      <c r="F24" s="13"/>
      <c r="G24" s="13">
        <f t="shared" si="3"/>
        <v>1</v>
      </c>
      <c r="H24" s="13"/>
      <c r="I24" s="13">
        <f t="shared" si="4"/>
        <v>1</v>
      </c>
      <c r="J24" s="13"/>
      <c r="K24" s="13"/>
      <c r="L24" s="13">
        <f t="shared" si="2"/>
        <v>1</v>
      </c>
    </row>
    <row r="25" spans="1:12" ht="21.75" customHeight="1">
      <c r="A25" s="5">
        <v>21</v>
      </c>
      <c r="B25" s="6" t="s">
        <v>86</v>
      </c>
      <c r="C25" s="7" t="s">
        <v>85</v>
      </c>
      <c r="D25" s="7"/>
      <c r="E25" s="4">
        <v>2</v>
      </c>
      <c r="F25" s="13"/>
      <c r="G25" s="13">
        <f t="shared" si="3"/>
        <v>2</v>
      </c>
      <c r="H25" s="13"/>
      <c r="I25" s="13">
        <f t="shared" si="4"/>
        <v>2</v>
      </c>
      <c r="J25" s="13"/>
      <c r="K25" s="13"/>
      <c r="L25" s="13">
        <f t="shared" si="2"/>
        <v>2</v>
      </c>
    </row>
    <row r="26" spans="1:12" ht="21.75" customHeight="1">
      <c r="A26" s="5">
        <v>22</v>
      </c>
      <c r="B26" s="6" t="s">
        <v>88</v>
      </c>
      <c r="C26" s="7" t="s">
        <v>87</v>
      </c>
      <c r="D26" s="7"/>
      <c r="E26" s="4">
        <v>2</v>
      </c>
      <c r="F26" s="13"/>
      <c r="G26" s="13">
        <f t="shared" si="3"/>
        <v>2</v>
      </c>
      <c r="H26" s="13"/>
      <c r="I26" s="13">
        <f t="shared" si="4"/>
        <v>2</v>
      </c>
      <c r="J26" s="13"/>
      <c r="K26" s="13"/>
      <c r="L26" s="13">
        <f t="shared" si="2"/>
        <v>2</v>
      </c>
    </row>
    <row r="27" spans="1:12" ht="21.75" customHeight="1">
      <c r="A27" s="5">
        <v>23</v>
      </c>
      <c r="B27" s="6" t="s">
        <v>90</v>
      </c>
      <c r="C27" s="7" t="s">
        <v>89</v>
      </c>
      <c r="D27" s="7"/>
      <c r="E27" s="4">
        <v>2</v>
      </c>
      <c r="F27" s="13"/>
      <c r="G27" s="13">
        <f t="shared" si="3"/>
        <v>2</v>
      </c>
      <c r="H27" s="13"/>
      <c r="I27" s="13">
        <f t="shared" si="4"/>
        <v>2</v>
      </c>
      <c r="J27" s="13"/>
      <c r="K27" s="13"/>
      <c r="L27" s="13">
        <f t="shared" si="2"/>
        <v>2</v>
      </c>
    </row>
    <row r="28" spans="1:12" ht="21.75" customHeight="1">
      <c r="A28" s="5">
        <v>24</v>
      </c>
      <c r="B28" s="6" t="s">
        <v>94</v>
      </c>
      <c r="C28" s="7" t="s">
        <v>91</v>
      </c>
      <c r="D28" s="7"/>
      <c r="E28" s="4">
        <v>1</v>
      </c>
      <c r="F28" s="13"/>
      <c r="G28" s="13">
        <f t="shared" si="3"/>
        <v>1</v>
      </c>
      <c r="H28" s="13"/>
      <c r="I28" s="13">
        <f t="shared" si="4"/>
        <v>1</v>
      </c>
      <c r="J28" s="13"/>
      <c r="K28" s="13"/>
      <c r="L28" s="13">
        <f t="shared" si="2"/>
        <v>1</v>
      </c>
    </row>
    <row r="29" spans="1:12" ht="15.75">
      <c r="A29" s="5">
        <v>25</v>
      </c>
      <c r="B29" s="6" t="s">
        <v>342</v>
      </c>
      <c r="C29" s="7" t="s">
        <v>343</v>
      </c>
      <c r="D29" s="7"/>
      <c r="E29" s="4">
        <v>4</v>
      </c>
      <c r="F29" s="13"/>
      <c r="G29" s="13">
        <f>SUM(E29+F29)</f>
        <v>4</v>
      </c>
      <c r="H29" s="13"/>
      <c r="I29" s="13">
        <f>SUM(G29-H29)</f>
        <v>4</v>
      </c>
      <c r="J29" s="13"/>
      <c r="K29" s="13">
        <v>1</v>
      </c>
      <c r="L29" s="13">
        <f>SUM(I29+J29)-K29</f>
        <v>3</v>
      </c>
    </row>
  </sheetData>
  <autoFilter ref="A4:I28">
    <filterColumn colId="3"/>
  </autoFilter>
  <mergeCells count="3">
    <mergeCell ref="A2:E2"/>
    <mergeCell ref="F3:I3"/>
    <mergeCell ref="J3:L3"/>
  </mergeCells>
  <hyperlinks>
    <hyperlink ref="A4" r:id="rId1" display="http://s.no/"/>
  </hyperlinks>
  <pageMargins left="0.7" right="0.7" top="0.75" bottom="0.75" header="0.3" footer="0.3"/>
  <pageSetup paperSize="9" orientation="portrait" verticalDpi="0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K28"/>
  <sheetViews>
    <sheetView workbookViewId="0">
      <selection activeCell="D1" sqref="D1:J1048576"/>
    </sheetView>
  </sheetViews>
  <sheetFormatPr defaultColWidth="9.42578125" defaultRowHeight="12"/>
  <cols>
    <col min="1" max="1" width="5.7109375" style="19" bestFit="1" customWidth="1"/>
    <col min="2" max="2" width="8.28515625" style="19" bestFit="1" customWidth="1"/>
    <col min="3" max="3" width="44.140625" style="19" bestFit="1" customWidth="1"/>
    <col min="4" max="4" width="7.28515625" style="19" hidden="1" customWidth="1"/>
    <col min="5" max="5" width="8.42578125" style="19" hidden="1" customWidth="1"/>
    <col min="6" max="6" width="6.85546875" style="19" hidden="1" customWidth="1"/>
    <col min="7" max="7" width="6" style="19" hidden="1" customWidth="1"/>
    <col min="8" max="8" width="9" style="19" hidden="1" customWidth="1"/>
    <col min="9" max="9" width="8.42578125" style="19" hidden="1" customWidth="1"/>
    <col min="10" max="10" width="9.42578125" style="19" hidden="1" customWidth="1"/>
    <col min="11" max="16384" width="9.42578125" style="19"/>
  </cols>
  <sheetData>
    <row r="2" spans="1:11">
      <c r="A2" s="69" t="s">
        <v>143</v>
      </c>
      <c r="B2" s="69"/>
      <c r="C2" s="69"/>
      <c r="D2" s="69"/>
    </row>
    <row r="3" spans="1:11">
      <c r="D3" s="70"/>
      <c r="E3" s="70"/>
      <c r="F3" s="70"/>
      <c r="G3" s="70"/>
      <c r="H3" s="70"/>
      <c r="I3" s="70"/>
      <c r="J3" s="70"/>
      <c r="K3" s="70"/>
    </row>
    <row r="4" spans="1:11" ht="24">
      <c r="A4" s="20" t="s">
        <v>0</v>
      </c>
      <c r="B4" s="21" t="s">
        <v>1</v>
      </c>
      <c r="C4" s="20" t="s">
        <v>2</v>
      </c>
      <c r="D4" s="21" t="s">
        <v>45</v>
      </c>
      <c r="E4" s="12" t="s">
        <v>281</v>
      </c>
      <c r="F4" s="12" t="s">
        <v>282</v>
      </c>
      <c r="G4" s="12" t="s">
        <v>283</v>
      </c>
      <c r="H4" s="12" t="s">
        <v>284</v>
      </c>
      <c r="I4" s="12" t="s">
        <v>281</v>
      </c>
      <c r="J4" s="12" t="s">
        <v>283</v>
      </c>
      <c r="K4" s="12" t="s">
        <v>284</v>
      </c>
    </row>
    <row r="5" spans="1:11" ht="21.75" customHeight="1">
      <c r="A5" s="22">
        <v>1</v>
      </c>
      <c r="B5" s="22" t="s">
        <v>95</v>
      </c>
      <c r="C5" s="23" t="s">
        <v>96</v>
      </c>
      <c r="D5" s="22">
        <v>8</v>
      </c>
      <c r="E5" s="16"/>
      <c r="F5" s="16">
        <f>SUM(D5+E5)</f>
        <v>8</v>
      </c>
      <c r="G5" s="16"/>
      <c r="H5" s="16">
        <f>SUM(F5-G5)</f>
        <v>8</v>
      </c>
      <c r="I5" s="16"/>
      <c r="J5" s="16"/>
      <c r="K5" s="16">
        <f>SUM(H5+I5)-J5</f>
        <v>8</v>
      </c>
    </row>
    <row r="6" spans="1:11" ht="21.75" customHeight="1">
      <c r="A6" s="22">
        <v>2</v>
      </c>
      <c r="B6" s="22" t="s">
        <v>97</v>
      </c>
      <c r="C6" s="23" t="s">
        <v>98</v>
      </c>
      <c r="D6" s="22">
        <v>1</v>
      </c>
      <c r="E6" s="16"/>
      <c r="F6" s="16">
        <f t="shared" ref="F6:F28" si="0">SUM(D6+E6)</f>
        <v>1</v>
      </c>
      <c r="G6" s="16"/>
      <c r="H6" s="16">
        <f t="shared" ref="H6:H28" si="1">SUM(F6-G6)</f>
        <v>1</v>
      </c>
      <c r="I6" s="16"/>
      <c r="J6" s="16"/>
      <c r="K6" s="16">
        <f t="shared" ref="K6:K28" si="2">SUM(H6+I6)-J6</f>
        <v>1</v>
      </c>
    </row>
    <row r="7" spans="1:11" ht="21.75" customHeight="1">
      <c r="A7" s="22">
        <v>3</v>
      </c>
      <c r="B7" s="22" t="s">
        <v>99</v>
      </c>
      <c r="C7" s="23" t="s">
        <v>100</v>
      </c>
      <c r="D7" s="22">
        <v>1</v>
      </c>
      <c r="E7" s="16"/>
      <c r="F7" s="16">
        <f t="shared" si="0"/>
        <v>1</v>
      </c>
      <c r="G7" s="16"/>
      <c r="H7" s="16">
        <f t="shared" si="1"/>
        <v>1</v>
      </c>
      <c r="I7" s="16"/>
      <c r="J7" s="16"/>
      <c r="K7" s="16">
        <f t="shared" si="2"/>
        <v>1</v>
      </c>
    </row>
    <row r="8" spans="1:11" ht="21.75" customHeight="1">
      <c r="A8" s="22">
        <v>4</v>
      </c>
      <c r="B8" s="22" t="s">
        <v>101</v>
      </c>
      <c r="C8" s="23" t="s">
        <v>102</v>
      </c>
      <c r="D8" s="22">
        <v>3</v>
      </c>
      <c r="E8" s="16"/>
      <c r="F8" s="16">
        <f t="shared" si="0"/>
        <v>3</v>
      </c>
      <c r="G8" s="16"/>
      <c r="H8" s="16">
        <f t="shared" si="1"/>
        <v>3</v>
      </c>
      <c r="I8" s="16"/>
      <c r="J8" s="16"/>
      <c r="K8" s="16">
        <f t="shared" si="2"/>
        <v>3</v>
      </c>
    </row>
    <row r="9" spans="1:11" ht="21.75" customHeight="1">
      <c r="A9" s="22">
        <v>5</v>
      </c>
      <c r="B9" s="22" t="s">
        <v>103</v>
      </c>
      <c r="C9" s="23" t="s">
        <v>104</v>
      </c>
      <c r="D9" s="22">
        <v>1</v>
      </c>
      <c r="E9" s="16"/>
      <c r="F9" s="16">
        <f t="shared" si="0"/>
        <v>1</v>
      </c>
      <c r="G9" s="16"/>
      <c r="H9" s="16">
        <f t="shared" si="1"/>
        <v>1</v>
      </c>
      <c r="I9" s="16"/>
      <c r="J9" s="16"/>
      <c r="K9" s="16">
        <f t="shared" si="2"/>
        <v>1</v>
      </c>
    </row>
    <row r="10" spans="1:11" ht="21.75" customHeight="1">
      <c r="A10" s="22">
        <v>6</v>
      </c>
      <c r="B10" s="22" t="s">
        <v>105</v>
      </c>
      <c r="C10" s="23" t="s">
        <v>106</v>
      </c>
      <c r="D10" s="22">
        <v>1</v>
      </c>
      <c r="E10" s="16"/>
      <c r="F10" s="16">
        <f t="shared" si="0"/>
        <v>1</v>
      </c>
      <c r="G10" s="16"/>
      <c r="H10" s="16">
        <f t="shared" si="1"/>
        <v>1</v>
      </c>
      <c r="I10" s="16"/>
      <c r="J10" s="16"/>
      <c r="K10" s="16">
        <f t="shared" si="2"/>
        <v>1</v>
      </c>
    </row>
    <row r="11" spans="1:11" ht="21.75" customHeight="1">
      <c r="A11" s="22">
        <v>7</v>
      </c>
      <c r="B11" s="22" t="s">
        <v>107</v>
      </c>
      <c r="C11" s="23" t="s">
        <v>108</v>
      </c>
      <c r="D11" s="22">
        <v>3</v>
      </c>
      <c r="E11" s="16"/>
      <c r="F11" s="16">
        <f t="shared" si="0"/>
        <v>3</v>
      </c>
      <c r="G11" s="16"/>
      <c r="H11" s="16">
        <f t="shared" si="1"/>
        <v>3</v>
      </c>
      <c r="I11" s="16"/>
      <c r="J11" s="16"/>
      <c r="K11" s="16">
        <f t="shared" si="2"/>
        <v>3</v>
      </c>
    </row>
    <row r="12" spans="1:11" ht="21.75" customHeight="1">
      <c r="A12" s="22">
        <v>8</v>
      </c>
      <c r="B12" s="22" t="s">
        <v>109</v>
      </c>
      <c r="C12" s="23" t="s">
        <v>110</v>
      </c>
      <c r="D12" s="22">
        <v>3</v>
      </c>
      <c r="E12" s="16"/>
      <c r="F12" s="16">
        <f t="shared" si="0"/>
        <v>3</v>
      </c>
      <c r="G12" s="16"/>
      <c r="H12" s="16">
        <f t="shared" si="1"/>
        <v>3</v>
      </c>
      <c r="I12" s="16"/>
      <c r="J12" s="16">
        <v>2</v>
      </c>
      <c r="K12" s="16">
        <f t="shared" si="2"/>
        <v>1</v>
      </c>
    </row>
    <row r="13" spans="1:11" ht="21.75" customHeight="1">
      <c r="A13" s="22">
        <v>9</v>
      </c>
      <c r="B13" s="22" t="s">
        <v>111</v>
      </c>
      <c r="C13" s="23" t="s">
        <v>112</v>
      </c>
      <c r="D13" s="22">
        <v>1</v>
      </c>
      <c r="E13" s="16"/>
      <c r="F13" s="16">
        <f t="shared" si="0"/>
        <v>1</v>
      </c>
      <c r="G13" s="16"/>
      <c r="H13" s="16">
        <f t="shared" si="1"/>
        <v>1</v>
      </c>
      <c r="I13" s="16"/>
      <c r="J13" s="16"/>
      <c r="K13" s="16">
        <f t="shared" si="2"/>
        <v>1</v>
      </c>
    </row>
    <row r="14" spans="1:11" ht="21.75" customHeight="1">
      <c r="A14" s="22">
        <v>10</v>
      </c>
      <c r="B14" s="22" t="s">
        <v>113</v>
      </c>
      <c r="C14" s="23" t="s">
        <v>114</v>
      </c>
      <c r="D14" s="22">
        <v>1</v>
      </c>
      <c r="E14" s="16"/>
      <c r="F14" s="16">
        <f t="shared" si="0"/>
        <v>1</v>
      </c>
      <c r="G14" s="16"/>
      <c r="H14" s="16">
        <f t="shared" si="1"/>
        <v>1</v>
      </c>
      <c r="I14" s="16"/>
      <c r="J14" s="16"/>
      <c r="K14" s="16">
        <f t="shared" si="2"/>
        <v>1</v>
      </c>
    </row>
    <row r="15" spans="1:11" ht="21.75" customHeight="1">
      <c r="A15" s="22">
        <v>11</v>
      </c>
      <c r="B15" s="22" t="s">
        <v>115</v>
      </c>
      <c r="C15" s="23" t="s">
        <v>116</v>
      </c>
      <c r="D15" s="22">
        <v>3</v>
      </c>
      <c r="E15" s="16"/>
      <c r="F15" s="16">
        <f t="shared" si="0"/>
        <v>3</v>
      </c>
      <c r="G15" s="16"/>
      <c r="H15" s="16">
        <f t="shared" si="1"/>
        <v>3</v>
      </c>
      <c r="I15" s="16"/>
      <c r="J15" s="16"/>
      <c r="K15" s="16">
        <f t="shared" si="2"/>
        <v>3</v>
      </c>
    </row>
    <row r="16" spans="1:11" ht="21.75" customHeight="1">
      <c r="A16" s="22">
        <v>12</v>
      </c>
      <c r="B16" s="22" t="s">
        <v>117</v>
      </c>
      <c r="C16" s="23" t="s">
        <v>118</v>
      </c>
      <c r="D16" s="22">
        <v>6</v>
      </c>
      <c r="E16" s="16"/>
      <c r="F16" s="16">
        <f t="shared" si="0"/>
        <v>6</v>
      </c>
      <c r="G16" s="16"/>
      <c r="H16" s="16">
        <f t="shared" si="1"/>
        <v>6</v>
      </c>
      <c r="I16" s="16"/>
      <c r="J16" s="16">
        <v>2</v>
      </c>
      <c r="K16" s="16">
        <f t="shared" si="2"/>
        <v>4</v>
      </c>
    </row>
    <row r="17" spans="1:11" ht="21.75" customHeight="1">
      <c r="A17" s="22">
        <v>13</v>
      </c>
      <c r="B17" s="22" t="s">
        <v>119</v>
      </c>
      <c r="C17" s="23" t="s">
        <v>120</v>
      </c>
      <c r="D17" s="22">
        <v>3</v>
      </c>
      <c r="E17" s="16"/>
      <c r="F17" s="16">
        <f t="shared" si="0"/>
        <v>3</v>
      </c>
      <c r="G17" s="16"/>
      <c r="H17" s="16">
        <f t="shared" si="1"/>
        <v>3</v>
      </c>
      <c r="I17" s="16"/>
      <c r="J17" s="16"/>
      <c r="K17" s="16">
        <f t="shared" si="2"/>
        <v>3</v>
      </c>
    </row>
    <row r="18" spans="1:11" ht="21.75" customHeight="1">
      <c r="A18" s="22">
        <v>14</v>
      </c>
      <c r="B18" s="22" t="s">
        <v>121</v>
      </c>
      <c r="C18" s="23" t="s">
        <v>122</v>
      </c>
      <c r="D18" s="22">
        <v>5</v>
      </c>
      <c r="E18" s="16"/>
      <c r="F18" s="16">
        <f t="shared" si="0"/>
        <v>5</v>
      </c>
      <c r="G18" s="16">
        <v>1</v>
      </c>
      <c r="H18" s="16">
        <f t="shared" si="1"/>
        <v>4</v>
      </c>
      <c r="I18" s="16"/>
      <c r="J18" s="16">
        <v>1</v>
      </c>
      <c r="K18" s="16">
        <f t="shared" si="2"/>
        <v>3</v>
      </c>
    </row>
    <row r="19" spans="1:11" ht="21.75" customHeight="1">
      <c r="A19" s="22">
        <v>15</v>
      </c>
      <c r="B19" s="22" t="s">
        <v>123</v>
      </c>
      <c r="C19" s="23" t="s">
        <v>124</v>
      </c>
      <c r="D19" s="22">
        <v>9</v>
      </c>
      <c r="E19" s="16"/>
      <c r="F19" s="16">
        <f t="shared" si="0"/>
        <v>9</v>
      </c>
      <c r="G19" s="16"/>
      <c r="H19" s="16">
        <f t="shared" si="1"/>
        <v>9</v>
      </c>
      <c r="I19" s="16"/>
      <c r="J19" s="16"/>
      <c r="K19" s="16">
        <f t="shared" si="2"/>
        <v>9</v>
      </c>
    </row>
    <row r="20" spans="1:11" ht="21.75" customHeight="1">
      <c r="A20" s="22">
        <v>16</v>
      </c>
      <c r="B20" s="22" t="s">
        <v>125</v>
      </c>
      <c r="C20" s="23" t="s">
        <v>126</v>
      </c>
      <c r="D20" s="22">
        <v>1</v>
      </c>
      <c r="E20" s="16"/>
      <c r="F20" s="16">
        <f t="shared" si="0"/>
        <v>1</v>
      </c>
      <c r="G20" s="16"/>
      <c r="H20" s="16">
        <f t="shared" si="1"/>
        <v>1</v>
      </c>
      <c r="I20" s="16"/>
      <c r="J20" s="16"/>
      <c r="K20" s="16">
        <f t="shared" si="2"/>
        <v>1</v>
      </c>
    </row>
    <row r="21" spans="1:11" ht="21.75" customHeight="1">
      <c r="A21" s="22">
        <v>17</v>
      </c>
      <c r="B21" s="22" t="s">
        <v>127</v>
      </c>
      <c r="C21" s="23" t="s">
        <v>128</v>
      </c>
      <c r="D21" s="22">
        <v>4</v>
      </c>
      <c r="E21" s="16"/>
      <c r="F21" s="16">
        <f t="shared" si="0"/>
        <v>4</v>
      </c>
      <c r="G21" s="16">
        <v>1</v>
      </c>
      <c r="H21" s="16">
        <f t="shared" si="1"/>
        <v>3</v>
      </c>
      <c r="I21" s="16"/>
      <c r="J21" s="16"/>
      <c r="K21" s="16">
        <f t="shared" si="2"/>
        <v>3</v>
      </c>
    </row>
    <row r="22" spans="1:11" ht="21.75" customHeight="1">
      <c r="A22" s="22">
        <v>18</v>
      </c>
      <c r="B22" s="22" t="s">
        <v>129</v>
      </c>
      <c r="C22" s="23" t="s">
        <v>130</v>
      </c>
      <c r="D22" s="22">
        <v>3</v>
      </c>
      <c r="E22" s="16"/>
      <c r="F22" s="16">
        <f t="shared" si="0"/>
        <v>3</v>
      </c>
      <c r="G22" s="16"/>
      <c r="H22" s="16">
        <f t="shared" si="1"/>
        <v>3</v>
      </c>
      <c r="I22" s="16"/>
      <c r="J22" s="16"/>
      <c r="K22" s="16">
        <f t="shared" si="2"/>
        <v>3</v>
      </c>
    </row>
    <row r="23" spans="1:11" ht="21.75" customHeight="1">
      <c r="A23" s="22">
        <v>19</v>
      </c>
      <c r="B23" s="22" t="s">
        <v>131</v>
      </c>
      <c r="C23" s="23" t="s">
        <v>132</v>
      </c>
      <c r="D23" s="22">
        <v>1</v>
      </c>
      <c r="E23" s="16"/>
      <c r="F23" s="16">
        <f t="shared" si="0"/>
        <v>1</v>
      </c>
      <c r="G23" s="16"/>
      <c r="H23" s="16">
        <f t="shared" si="1"/>
        <v>1</v>
      </c>
      <c r="I23" s="16"/>
      <c r="J23" s="16"/>
      <c r="K23" s="16">
        <f t="shared" si="2"/>
        <v>1</v>
      </c>
    </row>
    <row r="24" spans="1:11" ht="21.75" customHeight="1">
      <c r="A24" s="22">
        <v>20</v>
      </c>
      <c r="B24" s="22" t="s">
        <v>133</v>
      </c>
      <c r="C24" s="23" t="s">
        <v>134</v>
      </c>
      <c r="D24" s="22">
        <v>3</v>
      </c>
      <c r="E24" s="16"/>
      <c r="F24" s="16">
        <f t="shared" si="0"/>
        <v>3</v>
      </c>
      <c r="G24" s="16"/>
      <c r="H24" s="16">
        <f t="shared" si="1"/>
        <v>3</v>
      </c>
      <c r="I24" s="16"/>
      <c r="J24" s="16"/>
      <c r="K24" s="16">
        <f t="shared" si="2"/>
        <v>3</v>
      </c>
    </row>
    <row r="25" spans="1:11" ht="21.75" customHeight="1">
      <c r="A25" s="22">
        <v>21</v>
      </c>
      <c r="B25" s="22" t="s">
        <v>135</v>
      </c>
      <c r="C25" s="23" t="s">
        <v>136</v>
      </c>
      <c r="D25" s="22">
        <v>2</v>
      </c>
      <c r="E25" s="16"/>
      <c r="F25" s="16">
        <f t="shared" si="0"/>
        <v>2</v>
      </c>
      <c r="G25" s="16"/>
      <c r="H25" s="16">
        <f t="shared" si="1"/>
        <v>2</v>
      </c>
      <c r="I25" s="16"/>
      <c r="J25" s="16"/>
      <c r="K25" s="16">
        <f t="shared" si="2"/>
        <v>2</v>
      </c>
    </row>
    <row r="26" spans="1:11" ht="21.75" customHeight="1">
      <c r="A26" s="22">
        <v>22</v>
      </c>
      <c r="B26" s="22" t="s">
        <v>137</v>
      </c>
      <c r="C26" s="23" t="s">
        <v>138</v>
      </c>
      <c r="D26" s="22">
        <v>1</v>
      </c>
      <c r="E26" s="16"/>
      <c r="F26" s="16">
        <f t="shared" si="0"/>
        <v>1</v>
      </c>
      <c r="G26" s="16"/>
      <c r="H26" s="16">
        <f t="shared" si="1"/>
        <v>1</v>
      </c>
      <c r="I26" s="16"/>
      <c r="J26" s="16"/>
      <c r="K26" s="16">
        <f t="shared" si="2"/>
        <v>1</v>
      </c>
    </row>
    <row r="27" spans="1:11" ht="21.75" customHeight="1">
      <c r="A27" s="22">
        <v>23</v>
      </c>
      <c r="B27" s="22" t="s">
        <v>139</v>
      </c>
      <c r="C27" s="23" t="s">
        <v>140</v>
      </c>
      <c r="D27" s="22">
        <v>2</v>
      </c>
      <c r="E27" s="16"/>
      <c r="F27" s="16">
        <f t="shared" si="0"/>
        <v>2</v>
      </c>
      <c r="G27" s="16"/>
      <c r="H27" s="16">
        <f t="shared" si="1"/>
        <v>2</v>
      </c>
      <c r="I27" s="16"/>
      <c r="J27" s="16"/>
      <c r="K27" s="16">
        <f t="shared" si="2"/>
        <v>2</v>
      </c>
    </row>
    <row r="28" spans="1:11" ht="21.75" customHeight="1">
      <c r="A28" s="22">
        <v>24</v>
      </c>
      <c r="B28" s="22" t="s">
        <v>141</v>
      </c>
      <c r="C28" s="23" t="s">
        <v>142</v>
      </c>
      <c r="D28" s="22">
        <v>1</v>
      </c>
      <c r="E28" s="16"/>
      <c r="F28" s="16">
        <f t="shared" si="0"/>
        <v>1</v>
      </c>
      <c r="G28" s="16"/>
      <c r="H28" s="16">
        <f t="shared" si="1"/>
        <v>1</v>
      </c>
      <c r="I28" s="16"/>
      <c r="J28" s="16"/>
      <c r="K28" s="16">
        <f t="shared" si="2"/>
        <v>1</v>
      </c>
    </row>
  </sheetData>
  <mergeCells count="3">
    <mergeCell ref="A2:D2"/>
    <mergeCell ref="I3:K3"/>
    <mergeCell ref="D3:H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6"/>
  <sheetViews>
    <sheetView workbookViewId="0">
      <selection activeCell="D3" sqref="D1:J1048576"/>
    </sheetView>
  </sheetViews>
  <sheetFormatPr defaultColWidth="9.42578125" defaultRowHeight="12"/>
  <cols>
    <col min="1" max="1" width="5.7109375" style="19" bestFit="1" customWidth="1"/>
    <col min="2" max="2" width="8.7109375" style="19" bestFit="1" customWidth="1"/>
    <col min="3" max="3" width="56.5703125" style="19" bestFit="1" customWidth="1"/>
    <col min="4" max="4" width="7.28515625" style="19" hidden="1" customWidth="1"/>
    <col min="5" max="5" width="8.42578125" style="24" hidden="1" customWidth="1"/>
    <col min="6" max="6" width="6.85546875" style="19" hidden="1" customWidth="1"/>
    <col min="7" max="7" width="6" style="24" hidden="1" customWidth="1"/>
    <col min="8" max="8" width="9" style="24" hidden="1" customWidth="1"/>
    <col min="9" max="9" width="8.42578125" style="19" hidden="1" customWidth="1"/>
    <col min="10" max="10" width="6" style="19" hidden="1" customWidth="1"/>
    <col min="11" max="11" width="9" style="19" bestFit="1" customWidth="1"/>
    <col min="12" max="16384" width="9.42578125" style="19"/>
  </cols>
  <sheetData>
    <row r="1" spans="1:11">
      <c r="A1" s="71" t="s">
        <v>155</v>
      </c>
      <c r="B1" s="71"/>
      <c r="C1" s="71"/>
      <c r="D1" s="71"/>
    </row>
    <row r="2" spans="1:11">
      <c r="D2" s="70"/>
      <c r="E2" s="70"/>
      <c r="F2" s="70"/>
      <c r="G2" s="70"/>
      <c r="H2" s="70"/>
      <c r="I2" s="70"/>
      <c r="J2" s="70"/>
      <c r="K2" s="70"/>
    </row>
    <row r="3" spans="1:11" ht="24" customHeight="1">
      <c r="A3" s="8" t="s">
        <v>279</v>
      </c>
      <c r="B3" s="9" t="s">
        <v>1</v>
      </c>
      <c r="C3" s="10" t="s">
        <v>280</v>
      </c>
      <c r="D3" s="11" t="s">
        <v>45</v>
      </c>
      <c r="E3" s="12" t="s">
        <v>281</v>
      </c>
      <c r="F3" s="12" t="s">
        <v>282</v>
      </c>
      <c r="G3" s="12" t="s">
        <v>283</v>
      </c>
      <c r="H3" s="12" t="s">
        <v>284</v>
      </c>
      <c r="I3" s="12" t="s">
        <v>281</v>
      </c>
      <c r="J3" s="12" t="s">
        <v>283</v>
      </c>
      <c r="K3" s="12" t="s">
        <v>284</v>
      </c>
    </row>
    <row r="4" spans="1:11" ht="13.5" customHeight="1">
      <c r="A4" s="14">
        <v>1</v>
      </c>
      <c r="B4" s="14" t="s">
        <v>156</v>
      </c>
      <c r="C4" s="15" t="s">
        <v>294</v>
      </c>
      <c r="D4" s="14">
        <v>1</v>
      </c>
      <c r="E4" s="16"/>
      <c r="F4" s="16">
        <f>+D4+E4</f>
        <v>1</v>
      </c>
      <c r="G4" s="16">
        <v>1</v>
      </c>
      <c r="H4" s="16">
        <f>+F4-G4</f>
        <v>0</v>
      </c>
      <c r="I4" s="16"/>
      <c r="J4" s="16"/>
      <c r="K4" s="16">
        <f>SUM(H4+I4)-J4</f>
        <v>0</v>
      </c>
    </row>
    <row r="5" spans="1:11" ht="13.5" customHeight="1">
      <c r="A5" s="14">
        <v>2</v>
      </c>
      <c r="B5" s="14" t="s">
        <v>149</v>
      </c>
      <c r="C5" s="15" t="s">
        <v>157</v>
      </c>
      <c r="D5" s="14">
        <v>4</v>
      </c>
      <c r="E5" s="16"/>
      <c r="F5" s="16">
        <f t="shared" ref="F5:F58" si="0">+D5+E5</f>
        <v>4</v>
      </c>
      <c r="G5" s="16"/>
      <c r="H5" s="16">
        <f t="shared" ref="H5:H58" si="1">+F5-G5</f>
        <v>4</v>
      </c>
      <c r="I5" s="16"/>
      <c r="J5" s="16"/>
      <c r="K5" s="16">
        <f t="shared" ref="K5:K73" si="2">SUM(H5+I5)-J5</f>
        <v>4</v>
      </c>
    </row>
    <row r="6" spans="1:11" ht="13.5" customHeight="1">
      <c r="A6" s="14">
        <v>3</v>
      </c>
      <c r="B6" s="14" t="s">
        <v>158</v>
      </c>
      <c r="C6" s="15" t="s">
        <v>159</v>
      </c>
      <c r="D6" s="14">
        <v>4</v>
      </c>
      <c r="E6" s="16"/>
      <c r="F6" s="16">
        <f t="shared" si="0"/>
        <v>4</v>
      </c>
      <c r="G6" s="16"/>
      <c r="H6" s="16">
        <f t="shared" si="1"/>
        <v>4</v>
      </c>
      <c r="I6" s="16"/>
      <c r="J6" s="16"/>
      <c r="K6" s="16">
        <f t="shared" si="2"/>
        <v>4</v>
      </c>
    </row>
    <row r="7" spans="1:11" ht="13.5" customHeight="1">
      <c r="A7" s="14">
        <v>4</v>
      </c>
      <c r="B7" s="14" t="s">
        <v>160</v>
      </c>
      <c r="C7" s="15" t="s">
        <v>161</v>
      </c>
      <c r="D7" s="14">
        <v>1</v>
      </c>
      <c r="E7" s="16"/>
      <c r="F7" s="16">
        <f t="shared" si="0"/>
        <v>1</v>
      </c>
      <c r="G7" s="16"/>
      <c r="H7" s="16">
        <f t="shared" si="1"/>
        <v>1</v>
      </c>
      <c r="I7" s="16"/>
      <c r="J7" s="16"/>
      <c r="K7" s="16">
        <f t="shared" si="2"/>
        <v>1</v>
      </c>
    </row>
    <row r="8" spans="1:11" ht="13.5" customHeight="1">
      <c r="A8" s="14">
        <v>5</v>
      </c>
      <c r="B8" s="14" t="s">
        <v>162</v>
      </c>
      <c r="C8" s="15" t="s">
        <v>163</v>
      </c>
      <c r="D8" s="14">
        <v>2</v>
      </c>
      <c r="E8" s="16"/>
      <c r="F8" s="16">
        <f t="shared" si="0"/>
        <v>2</v>
      </c>
      <c r="G8" s="16"/>
      <c r="H8" s="16">
        <f t="shared" si="1"/>
        <v>2</v>
      </c>
      <c r="I8" s="16"/>
      <c r="J8" s="16"/>
      <c r="K8" s="16">
        <f t="shared" si="2"/>
        <v>2</v>
      </c>
    </row>
    <row r="9" spans="1:11" ht="13.5" customHeight="1">
      <c r="A9" s="14">
        <v>6</v>
      </c>
      <c r="B9" s="14" t="s">
        <v>164</v>
      </c>
      <c r="C9" s="15" t="s">
        <v>165</v>
      </c>
      <c r="D9" s="14">
        <v>5</v>
      </c>
      <c r="E9" s="16"/>
      <c r="F9" s="16">
        <f t="shared" si="0"/>
        <v>5</v>
      </c>
      <c r="G9" s="16"/>
      <c r="H9" s="16">
        <f t="shared" si="1"/>
        <v>5</v>
      </c>
      <c r="I9" s="16"/>
      <c r="J9" s="16"/>
      <c r="K9" s="16">
        <f t="shared" si="2"/>
        <v>5</v>
      </c>
    </row>
    <row r="10" spans="1:11" ht="13.5" customHeight="1">
      <c r="A10" s="14">
        <v>7</v>
      </c>
      <c r="B10" s="14" t="s">
        <v>166</v>
      </c>
      <c r="C10" s="15" t="s">
        <v>167</v>
      </c>
      <c r="D10" s="14">
        <v>3</v>
      </c>
      <c r="E10" s="16"/>
      <c r="F10" s="16">
        <f t="shared" si="0"/>
        <v>3</v>
      </c>
      <c r="G10" s="16"/>
      <c r="H10" s="16">
        <f t="shared" si="1"/>
        <v>3</v>
      </c>
      <c r="I10" s="16"/>
      <c r="J10" s="16"/>
      <c r="K10" s="16">
        <f t="shared" si="2"/>
        <v>3</v>
      </c>
    </row>
    <row r="11" spans="1:11" ht="13.5" customHeight="1">
      <c r="A11" s="14">
        <v>8</v>
      </c>
      <c r="B11" s="14" t="s">
        <v>168</v>
      </c>
      <c r="C11" s="15" t="s">
        <v>169</v>
      </c>
      <c r="D11" s="14">
        <v>1</v>
      </c>
      <c r="E11" s="16"/>
      <c r="F11" s="16">
        <f t="shared" si="0"/>
        <v>1</v>
      </c>
      <c r="G11" s="16"/>
      <c r="H11" s="16">
        <f t="shared" si="1"/>
        <v>1</v>
      </c>
      <c r="I11" s="16"/>
      <c r="J11" s="16"/>
      <c r="K11" s="16">
        <f t="shared" si="2"/>
        <v>1</v>
      </c>
    </row>
    <row r="12" spans="1:11" ht="13.5" customHeight="1">
      <c r="A12" s="14">
        <v>9</v>
      </c>
      <c r="B12" s="14" t="s">
        <v>170</v>
      </c>
      <c r="C12" s="15" t="s">
        <v>171</v>
      </c>
      <c r="D12" s="14">
        <v>4</v>
      </c>
      <c r="E12" s="16"/>
      <c r="F12" s="16">
        <f t="shared" si="0"/>
        <v>4</v>
      </c>
      <c r="G12" s="16"/>
      <c r="H12" s="16">
        <f t="shared" si="1"/>
        <v>4</v>
      </c>
      <c r="I12" s="16"/>
      <c r="J12" s="16"/>
      <c r="K12" s="16">
        <f t="shared" si="2"/>
        <v>4</v>
      </c>
    </row>
    <row r="13" spans="1:11" ht="13.5" customHeight="1">
      <c r="A13" s="14">
        <v>10</v>
      </c>
      <c r="B13" s="14" t="s">
        <v>172</v>
      </c>
      <c r="C13" s="15" t="s">
        <v>173</v>
      </c>
      <c r="D13" s="14">
        <v>1</v>
      </c>
      <c r="E13" s="16"/>
      <c r="F13" s="16">
        <f t="shared" si="0"/>
        <v>1</v>
      </c>
      <c r="G13" s="16"/>
      <c r="H13" s="16">
        <f t="shared" si="1"/>
        <v>1</v>
      </c>
      <c r="I13" s="16"/>
      <c r="J13" s="16"/>
      <c r="K13" s="16">
        <f t="shared" si="2"/>
        <v>1</v>
      </c>
    </row>
    <row r="14" spans="1:11" ht="13.5" customHeight="1">
      <c r="A14" s="14">
        <v>11</v>
      </c>
      <c r="B14" s="14" t="s">
        <v>174</v>
      </c>
      <c r="C14" s="15" t="s">
        <v>175</v>
      </c>
      <c r="D14" s="14">
        <v>6</v>
      </c>
      <c r="E14" s="16"/>
      <c r="F14" s="16">
        <f t="shared" si="0"/>
        <v>6</v>
      </c>
      <c r="G14" s="16"/>
      <c r="H14" s="16">
        <f t="shared" si="1"/>
        <v>6</v>
      </c>
      <c r="I14" s="16"/>
      <c r="J14" s="16"/>
      <c r="K14" s="16">
        <f t="shared" si="2"/>
        <v>6</v>
      </c>
    </row>
    <row r="15" spans="1:11" ht="13.5" customHeight="1">
      <c r="A15" s="14">
        <v>12</v>
      </c>
      <c r="B15" s="14" t="s">
        <v>176</v>
      </c>
      <c r="C15" s="15" t="s">
        <v>177</v>
      </c>
      <c r="D15" s="14">
        <v>1</v>
      </c>
      <c r="E15" s="16"/>
      <c r="F15" s="16">
        <f t="shared" si="0"/>
        <v>1</v>
      </c>
      <c r="G15" s="16"/>
      <c r="H15" s="16">
        <f t="shared" si="1"/>
        <v>1</v>
      </c>
      <c r="I15" s="16"/>
      <c r="J15" s="16"/>
      <c r="K15" s="16">
        <f t="shared" si="2"/>
        <v>1</v>
      </c>
    </row>
    <row r="16" spans="1:11" ht="13.5" customHeight="1">
      <c r="A16" s="14">
        <v>13</v>
      </c>
      <c r="B16" s="14" t="s">
        <v>178</v>
      </c>
      <c r="C16" s="15" t="s">
        <v>179</v>
      </c>
      <c r="D16" s="14">
        <v>1</v>
      </c>
      <c r="E16" s="16"/>
      <c r="F16" s="16">
        <f t="shared" si="0"/>
        <v>1</v>
      </c>
      <c r="G16" s="16"/>
      <c r="H16" s="16">
        <f t="shared" si="1"/>
        <v>1</v>
      </c>
      <c r="I16" s="16"/>
      <c r="J16" s="16"/>
      <c r="K16" s="16">
        <f t="shared" si="2"/>
        <v>1</v>
      </c>
    </row>
    <row r="17" spans="1:11" ht="13.5" customHeight="1">
      <c r="A17" s="14">
        <v>14</v>
      </c>
      <c r="B17" s="14" t="s">
        <v>180</v>
      </c>
      <c r="C17" s="15" t="s">
        <v>181</v>
      </c>
      <c r="D17" s="14">
        <v>1</v>
      </c>
      <c r="E17" s="16"/>
      <c r="F17" s="16">
        <f t="shared" si="0"/>
        <v>1</v>
      </c>
      <c r="G17" s="16"/>
      <c r="H17" s="16">
        <f t="shared" si="1"/>
        <v>1</v>
      </c>
      <c r="I17" s="16"/>
      <c r="J17" s="16"/>
      <c r="K17" s="16">
        <f t="shared" si="2"/>
        <v>1</v>
      </c>
    </row>
    <row r="18" spans="1:11" ht="13.5" customHeight="1">
      <c r="A18" s="14">
        <v>15</v>
      </c>
      <c r="B18" s="14" t="s">
        <v>182</v>
      </c>
      <c r="C18" s="15" t="s">
        <v>183</v>
      </c>
      <c r="D18" s="14">
        <v>1</v>
      </c>
      <c r="E18" s="16"/>
      <c r="F18" s="16">
        <f t="shared" si="0"/>
        <v>1</v>
      </c>
      <c r="G18" s="16"/>
      <c r="H18" s="16">
        <f t="shared" si="1"/>
        <v>1</v>
      </c>
      <c r="I18" s="16"/>
      <c r="J18" s="16"/>
      <c r="K18" s="16">
        <f t="shared" si="2"/>
        <v>1</v>
      </c>
    </row>
    <row r="19" spans="1:11" ht="13.5" customHeight="1">
      <c r="A19" s="14">
        <v>16</v>
      </c>
      <c r="B19" s="14" t="s">
        <v>184</v>
      </c>
      <c r="C19" s="15" t="s">
        <v>185</v>
      </c>
      <c r="D19" s="14">
        <v>3</v>
      </c>
      <c r="E19" s="16"/>
      <c r="F19" s="16">
        <f t="shared" si="0"/>
        <v>3</v>
      </c>
      <c r="G19" s="16"/>
      <c r="H19" s="16">
        <f t="shared" si="1"/>
        <v>3</v>
      </c>
      <c r="I19" s="16"/>
      <c r="J19" s="16"/>
      <c r="K19" s="16">
        <f t="shared" si="2"/>
        <v>3</v>
      </c>
    </row>
    <row r="20" spans="1:11" ht="13.5" customHeight="1">
      <c r="A20" s="14">
        <v>17</v>
      </c>
      <c r="B20" s="14" t="s">
        <v>186</v>
      </c>
      <c r="C20" s="15" t="s">
        <v>187</v>
      </c>
      <c r="D20" s="14">
        <v>3</v>
      </c>
      <c r="E20" s="16"/>
      <c r="F20" s="16">
        <f t="shared" si="0"/>
        <v>3</v>
      </c>
      <c r="G20" s="16"/>
      <c r="H20" s="16">
        <f t="shared" si="1"/>
        <v>3</v>
      </c>
      <c r="I20" s="16"/>
      <c r="J20" s="16"/>
      <c r="K20" s="16">
        <f t="shared" si="2"/>
        <v>3</v>
      </c>
    </row>
    <row r="21" spans="1:11" ht="13.5" customHeight="1">
      <c r="A21" s="14">
        <v>18</v>
      </c>
      <c r="B21" s="14" t="s">
        <v>188</v>
      </c>
      <c r="C21" s="15" t="s">
        <v>189</v>
      </c>
      <c r="D21" s="14">
        <v>20</v>
      </c>
      <c r="E21" s="16"/>
      <c r="F21" s="16">
        <f t="shared" si="0"/>
        <v>20</v>
      </c>
      <c r="G21" s="16">
        <v>3</v>
      </c>
      <c r="H21" s="16">
        <f t="shared" si="1"/>
        <v>17</v>
      </c>
      <c r="I21" s="16"/>
      <c r="J21" s="16">
        <v>2</v>
      </c>
      <c r="K21" s="16">
        <f t="shared" si="2"/>
        <v>15</v>
      </c>
    </row>
    <row r="22" spans="1:11" ht="13.5" customHeight="1">
      <c r="A22" s="14">
        <v>19</v>
      </c>
      <c r="B22" s="14" t="s">
        <v>190</v>
      </c>
      <c r="C22" s="15" t="s">
        <v>191</v>
      </c>
      <c r="D22" s="14">
        <v>2</v>
      </c>
      <c r="E22" s="16"/>
      <c r="F22" s="16">
        <f t="shared" si="0"/>
        <v>2</v>
      </c>
      <c r="G22" s="16"/>
      <c r="H22" s="16">
        <f t="shared" si="1"/>
        <v>2</v>
      </c>
      <c r="I22" s="16"/>
      <c r="J22" s="16"/>
      <c r="K22" s="16">
        <f t="shared" si="2"/>
        <v>2</v>
      </c>
    </row>
    <row r="23" spans="1:11" ht="13.5" customHeight="1">
      <c r="A23" s="14">
        <v>20</v>
      </c>
      <c r="B23" s="14" t="s">
        <v>192</v>
      </c>
      <c r="C23" s="15" t="s">
        <v>193</v>
      </c>
      <c r="D23" s="14">
        <v>1</v>
      </c>
      <c r="E23" s="16"/>
      <c r="F23" s="16">
        <f t="shared" si="0"/>
        <v>1</v>
      </c>
      <c r="G23" s="16"/>
      <c r="H23" s="16">
        <f t="shared" si="1"/>
        <v>1</v>
      </c>
      <c r="I23" s="16"/>
      <c r="J23" s="16"/>
      <c r="K23" s="16">
        <f t="shared" si="2"/>
        <v>1</v>
      </c>
    </row>
    <row r="24" spans="1:11" ht="13.5" customHeight="1">
      <c r="A24" s="14">
        <v>21</v>
      </c>
      <c r="B24" s="14" t="s">
        <v>194</v>
      </c>
      <c r="C24" s="15" t="s">
        <v>195</v>
      </c>
      <c r="D24" s="14">
        <v>1</v>
      </c>
      <c r="E24" s="16"/>
      <c r="F24" s="16">
        <f t="shared" si="0"/>
        <v>1</v>
      </c>
      <c r="G24" s="16"/>
      <c r="H24" s="16">
        <f t="shared" si="1"/>
        <v>1</v>
      </c>
      <c r="I24" s="16"/>
      <c r="J24" s="16"/>
      <c r="K24" s="16">
        <f t="shared" si="2"/>
        <v>1</v>
      </c>
    </row>
    <row r="25" spans="1:11" ht="13.5" customHeight="1">
      <c r="A25" s="14">
        <v>22</v>
      </c>
      <c r="B25" s="14" t="s">
        <v>196</v>
      </c>
      <c r="C25" s="15" t="s">
        <v>197</v>
      </c>
      <c r="D25" s="14">
        <v>6</v>
      </c>
      <c r="E25" s="16"/>
      <c r="F25" s="16">
        <f t="shared" si="0"/>
        <v>6</v>
      </c>
      <c r="G25" s="16"/>
      <c r="H25" s="16">
        <f t="shared" si="1"/>
        <v>6</v>
      </c>
      <c r="I25" s="16"/>
      <c r="J25" s="16"/>
      <c r="K25" s="16">
        <f t="shared" si="2"/>
        <v>6</v>
      </c>
    </row>
    <row r="26" spans="1:11" ht="13.5" customHeight="1">
      <c r="A26" s="14">
        <v>23</v>
      </c>
      <c r="B26" s="14" t="s">
        <v>198</v>
      </c>
      <c r="C26" s="15" t="s">
        <v>199</v>
      </c>
      <c r="D26" s="14">
        <v>4</v>
      </c>
      <c r="E26" s="16"/>
      <c r="F26" s="16">
        <f t="shared" si="0"/>
        <v>4</v>
      </c>
      <c r="G26" s="16"/>
      <c r="H26" s="16">
        <f t="shared" si="1"/>
        <v>4</v>
      </c>
      <c r="I26" s="16"/>
      <c r="J26" s="16"/>
      <c r="K26" s="16">
        <f t="shared" si="2"/>
        <v>4</v>
      </c>
    </row>
    <row r="27" spans="1:11" ht="13.5" customHeight="1">
      <c r="A27" s="14">
        <v>24</v>
      </c>
      <c r="B27" s="14" t="s">
        <v>200</v>
      </c>
      <c r="C27" s="15" t="s">
        <v>201</v>
      </c>
      <c r="D27" s="14">
        <v>2</v>
      </c>
      <c r="E27" s="16"/>
      <c r="F27" s="16">
        <f t="shared" si="0"/>
        <v>2</v>
      </c>
      <c r="G27" s="16"/>
      <c r="H27" s="16">
        <f t="shared" si="1"/>
        <v>2</v>
      </c>
      <c r="I27" s="16"/>
      <c r="J27" s="16"/>
      <c r="K27" s="16">
        <f t="shared" si="2"/>
        <v>2</v>
      </c>
    </row>
    <row r="28" spans="1:11" ht="13.5" customHeight="1">
      <c r="A28" s="14">
        <v>25</v>
      </c>
      <c r="B28" s="14" t="s">
        <v>202</v>
      </c>
      <c r="C28" s="15" t="s">
        <v>203</v>
      </c>
      <c r="D28" s="14">
        <v>3</v>
      </c>
      <c r="E28" s="16"/>
      <c r="F28" s="16">
        <f t="shared" si="0"/>
        <v>3</v>
      </c>
      <c r="G28" s="16"/>
      <c r="H28" s="16">
        <f t="shared" si="1"/>
        <v>3</v>
      </c>
      <c r="I28" s="16"/>
      <c r="J28" s="16"/>
      <c r="K28" s="16">
        <f t="shared" si="2"/>
        <v>3</v>
      </c>
    </row>
    <row r="29" spans="1:11" ht="13.5" customHeight="1">
      <c r="A29" s="14">
        <v>26</v>
      </c>
      <c r="B29" s="14" t="s">
        <v>204</v>
      </c>
      <c r="C29" s="15" t="s">
        <v>205</v>
      </c>
      <c r="D29" s="14">
        <v>2</v>
      </c>
      <c r="E29" s="16"/>
      <c r="F29" s="16">
        <f t="shared" si="0"/>
        <v>2</v>
      </c>
      <c r="G29" s="16"/>
      <c r="H29" s="16">
        <f t="shared" si="1"/>
        <v>2</v>
      </c>
      <c r="I29" s="16"/>
      <c r="J29" s="16"/>
      <c r="K29" s="16">
        <f t="shared" si="2"/>
        <v>2</v>
      </c>
    </row>
    <row r="30" spans="1:11" ht="13.5" customHeight="1">
      <c r="A30" s="14">
        <v>27</v>
      </c>
      <c r="B30" s="14" t="s">
        <v>206</v>
      </c>
      <c r="C30" s="15" t="s">
        <v>207</v>
      </c>
      <c r="D30" s="14">
        <v>2</v>
      </c>
      <c r="E30" s="16"/>
      <c r="F30" s="16">
        <f t="shared" si="0"/>
        <v>2</v>
      </c>
      <c r="G30" s="16"/>
      <c r="H30" s="16">
        <f t="shared" si="1"/>
        <v>2</v>
      </c>
      <c r="I30" s="16"/>
      <c r="J30" s="16"/>
      <c r="K30" s="16">
        <f t="shared" si="2"/>
        <v>2</v>
      </c>
    </row>
    <row r="31" spans="1:11" ht="13.5" customHeight="1">
      <c r="A31" s="14">
        <v>28</v>
      </c>
      <c r="B31" s="14" t="s">
        <v>208</v>
      </c>
      <c r="C31" s="15" t="s">
        <v>209</v>
      </c>
      <c r="D31" s="14">
        <v>3</v>
      </c>
      <c r="E31" s="16"/>
      <c r="F31" s="16">
        <f t="shared" si="0"/>
        <v>3</v>
      </c>
      <c r="G31" s="16"/>
      <c r="H31" s="16">
        <f t="shared" si="1"/>
        <v>3</v>
      </c>
      <c r="I31" s="16"/>
      <c r="J31" s="16"/>
      <c r="K31" s="16">
        <f t="shared" si="2"/>
        <v>3</v>
      </c>
    </row>
    <row r="32" spans="1:11" ht="13.5" customHeight="1">
      <c r="A32" s="14">
        <v>29</v>
      </c>
      <c r="B32" s="14" t="s">
        <v>210</v>
      </c>
      <c r="C32" s="15" t="s">
        <v>209</v>
      </c>
      <c r="D32" s="14">
        <v>3</v>
      </c>
      <c r="E32" s="16"/>
      <c r="F32" s="16">
        <f t="shared" si="0"/>
        <v>3</v>
      </c>
      <c r="G32" s="16"/>
      <c r="H32" s="16">
        <f t="shared" si="1"/>
        <v>3</v>
      </c>
      <c r="I32" s="16"/>
      <c r="J32" s="16"/>
      <c r="K32" s="16">
        <f t="shared" si="2"/>
        <v>3</v>
      </c>
    </row>
    <row r="33" spans="1:11" ht="13.5" customHeight="1">
      <c r="A33" s="14">
        <v>30</v>
      </c>
      <c r="B33" s="14" t="s">
        <v>211</v>
      </c>
      <c r="C33" s="15" t="s">
        <v>212</v>
      </c>
      <c r="D33" s="14">
        <v>4</v>
      </c>
      <c r="E33" s="16"/>
      <c r="F33" s="16">
        <f t="shared" si="0"/>
        <v>4</v>
      </c>
      <c r="G33" s="16"/>
      <c r="H33" s="16">
        <f t="shared" si="1"/>
        <v>4</v>
      </c>
      <c r="I33" s="16"/>
      <c r="J33" s="16"/>
      <c r="K33" s="16">
        <f t="shared" si="2"/>
        <v>4</v>
      </c>
    </row>
    <row r="34" spans="1:11" ht="13.5" customHeight="1">
      <c r="A34" s="14">
        <v>31</v>
      </c>
      <c r="B34" s="14" t="s">
        <v>213</v>
      </c>
      <c r="C34" s="15" t="s">
        <v>234</v>
      </c>
      <c r="D34" s="14">
        <v>2</v>
      </c>
      <c r="E34" s="16"/>
      <c r="F34" s="16">
        <f t="shared" si="0"/>
        <v>2</v>
      </c>
      <c r="G34" s="16"/>
      <c r="H34" s="16">
        <f t="shared" si="1"/>
        <v>2</v>
      </c>
      <c r="I34" s="16"/>
      <c r="J34" s="16"/>
      <c r="K34" s="16">
        <f t="shared" si="2"/>
        <v>2</v>
      </c>
    </row>
    <row r="35" spans="1:11" ht="13.5" customHeight="1">
      <c r="A35" s="14">
        <v>32</v>
      </c>
      <c r="B35" s="14" t="s">
        <v>214</v>
      </c>
      <c r="C35" s="15" t="s">
        <v>235</v>
      </c>
      <c r="D35" s="14">
        <v>2</v>
      </c>
      <c r="E35" s="16"/>
      <c r="F35" s="16">
        <f t="shared" si="0"/>
        <v>2</v>
      </c>
      <c r="G35" s="16"/>
      <c r="H35" s="16">
        <f t="shared" si="1"/>
        <v>2</v>
      </c>
      <c r="I35" s="16"/>
      <c r="J35" s="16"/>
      <c r="K35" s="16">
        <f t="shared" si="2"/>
        <v>2</v>
      </c>
    </row>
    <row r="36" spans="1:11" ht="13.5" customHeight="1">
      <c r="A36" s="14">
        <v>33</v>
      </c>
      <c r="B36" s="14" t="s">
        <v>215</v>
      </c>
      <c r="C36" s="15" t="s">
        <v>237</v>
      </c>
      <c r="D36" s="14">
        <v>1</v>
      </c>
      <c r="E36" s="16"/>
      <c r="F36" s="16">
        <f t="shared" si="0"/>
        <v>1</v>
      </c>
      <c r="G36" s="16"/>
      <c r="H36" s="16">
        <f t="shared" si="1"/>
        <v>1</v>
      </c>
      <c r="I36" s="16"/>
      <c r="J36" s="16"/>
      <c r="K36" s="16">
        <f t="shared" si="2"/>
        <v>1</v>
      </c>
    </row>
    <row r="37" spans="1:11" ht="13.5" customHeight="1">
      <c r="A37" s="14">
        <v>34</v>
      </c>
      <c r="B37" s="14" t="s">
        <v>216</v>
      </c>
      <c r="C37" s="15" t="s">
        <v>238</v>
      </c>
      <c r="D37" s="14">
        <v>1</v>
      </c>
      <c r="E37" s="16"/>
      <c r="F37" s="16">
        <f t="shared" si="0"/>
        <v>1</v>
      </c>
      <c r="G37" s="16"/>
      <c r="H37" s="16">
        <f t="shared" si="1"/>
        <v>1</v>
      </c>
      <c r="I37" s="16"/>
      <c r="J37" s="16"/>
      <c r="K37" s="16">
        <f t="shared" si="2"/>
        <v>1</v>
      </c>
    </row>
    <row r="38" spans="1:11" ht="13.5" customHeight="1">
      <c r="A38" s="14">
        <v>35</v>
      </c>
      <c r="B38" s="14" t="s">
        <v>217</v>
      </c>
      <c r="C38" s="15" t="s">
        <v>239</v>
      </c>
      <c r="D38" s="14">
        <v>2</v>
      </c>
      <c r="E38" s="16"/>
      <c r="F38" s="16">
        <f t="shared" si="0"/>
        <v>2</v>
      </c>
      <c r="G38" s="16"/>
      <c r="H38" s="16">
        <f t="shared" si="1"/>
        <v>2</v>
      </c>
      <c r="I38" s="16"/>
      <c r="J38" s="16"/>
      <c r="K38" s="16">
        <f t="shared" si="2"/>
        <v>2</v>
      </c>
    </row>
    <row r="39" spans="1:11" ht="13.5" customHeight="1">
      <c r="A39" s="14">
        <v>36</v>
      </c>
      <c r="B39" s="14" t="s">
        <v>218</v>
      </c>
      <c r="C39" s="15" t="s">
        <v>219</v>
      </c>
      <c r="D39" s="14">
        <v>3</v>
      </c>
      <c r="E39" s="16"/>
      <c r="F39" s="16">
        <f t="shared" si="0"/>
        <v>3</v>
      </c>
      <c r="G39" s="16"/>
      <c r="H39" s="16">
        <f t="shared" si="1"/>
        <v>3</v>
      </c>
      <c r="I39" s="16"/>
      <c r="J39" s="16"/>
      <c r="K39" s="16">
        <f t="shared" si="2"/>
        <v>3</v>
      </c>
    </row>
    <row r="40" spans="1:11" ht="13.5" customHeight="1">
      <c r="A40" s="14">
        <v>37</v>
      </c>
      <c r="B40" s="14" t="s">
        <v>220</v>
      </c>
      <c r="C40" s="15" t="s">
        <v>233</v>
      </c>
      <c r="D40" s="14">
        <v>3</v>
      </c>
      <c r="E40" s="16"/>
      <c r="F40" s="16">
        <f t="shared" si="0"/>
        <v>3</v>
      </c>
      <c r="G40" s="16"/>
      <c r="H40" s="16">
        <f t="shared" si="1"/>
        <v>3</v>
      </c>
      <c r="I40" s="16"/>
      <c r="J40" s="16"/>
      <c r="K40" s="16">
        <f t="shared" si="2"/>
        <v>3</v>
      </c>
    </row>
    <row r="41" spans="1:11" ht="13.5" customHeight="1">
      <c r="A41" s="14">
        <v>38</v>
      </c>
      <c r="B41" s="14" t="s">
        <v>221</v>
      </c>
      <c r="C41" s="15" t="s">
        <v>236</v>
      </c>
      <c r="D41" s="14">
        <v>2</v>
      </c>
      <c r="E41" s="16"/>
      <c r="F41" s="16">
        <f t="shared" si="0"/>
        <v>2</v>
      </c>
      <c r="G41" s="16"/>
      <c r="H41" s="16">
        <f t="shared" si="1"/>
        <v>2</v>
      </c>
      <c r="I41" s="16"/>
      <c r="J41" s="16"/>
      <c r="K41" s="16">
        <f t="shared" si="2"/>
        <v>2</v>
      </c>
    </row>
    <row r="42" spans="1:11" ht="13.5" customHeight="1">
      <c r="A42" s="14">
        <v>39</v>
      </c>
      <c r="B42" s="14" t="s">
        <v>222</v>
      </c>
      <c r="C42" s="15" t="s">
        <v>223</v>
      </c>
      <c r="D42" s="14">
        <v>1</v>
      </c>
      <c r="E42" s="16"/>
      <c r="F42" s="16">
        <f t="shared" si="0"/>
        <v>1</v>
      </c>
      <c r="G42" s="16"/>
      <c r="H42" s="16">
        <f t="shared" si="1"/>
        <v>1</v>
      </c>
      <c r="I42" s="16"/>
      <c r="J42" s="16"/>
      <c r="K42" s="16">
        <f t="shared" si="2"/>
        <v>1</v>
      </c>
    </row>
    <row r="43" spans="1:11" ht="13.5" customHeight="1">
      <c r="A43" s="14">
        <v>40</v>
      </c>
      <c r="B43" s="14" t="s">
        <v>224</v>
      </c>
      <c r="C43" s="15" t="s">
        <v>223</v>
      </c>
      <c r="D43" s="14">
        <v>1</v>
      </c>
      <c r="E43" s="16"/>
      <c r="F43" s="16">
        <f t="shared" si="0"/>
        <v>1</v>
      </c>
      <c r="G43" s="16"/>
      <c r="H43" s="16">
        <f t="shared" si="1"/>
        <v>1</v>
      </c>
      <c r="I43" s="16"/>
      <c r="J43" s="16"/>
      <c r="K43" s="16">
        <f t="shared" si="2"/>
        <v>1</v>
      </c>
    </row>
    <row r="44" spans="1:11" ht="13.5" customHeight="1">
      <c r="A44" s="14">
        <v>41</v>
      </c>
      <c r="B44" s="14" t="s">
        <v>225</v>
      </c>
      <c r="C44" s="15" t="s">
        <v>226</v>
      </c>
      <c r="D44" s="14">
        <v>2</v>
      </c>
      <c r="E44" s="16"/>
      <c r="F44" s="16">
        <f t="shared" si="0"/>
        <v>2</v>
      </c>
      <c r="G44" s="16"/>
      <c r="H44" s="16">
        <f t="shared" si="1"/>
        <v>2</v>
      </c>
      <c r="I44" s="16"/>
      <c r="J44" s="16"/>
      <c r="K44" s="16">
        <f t="shared" si="2"/>
        <v>2</v>
      </c>
    </row>
    <row r="45" spans="1:11" ht="13.5" customHeight="1">
      <c r="A45" s="14">
        <v>42</v>
      </c>
      <c r="B45" s="14" t="s">
        <v>227</v>
      </c>
      <c r="C45" s="15" t="s">
        <v>228</v>
      </c>
      <c r="D45" s="14">
        <v>2</v>
      </c>
      <c r="E45" s="16"/>
      <c r="F45" s="16">
        <f t="shared" si="0"/>
        <v>2</v>
      </c>
      <c r="G45" s="16"/>
      <c r="H45" s="16">
        <f t="shared" si="1"/>
        <v>2</v>
      </c>
      <c r="I45" s="16"/>
      <c r="J45" s="16"/>
      <c r="K45" s="16">
        <f t="shared" si="2"/>
        <v>2</v>
      </c>
    </row>
    <row r="46" spans="1:11" ht="13.5" customHeight="1">
      <c r="A46" s="14">
        <v>43</v>
      </c>
      <c r="B46" s="14" t="s">
        <v>229</v>
      </c>
      <c r="C46" s="15" t="s">
        <v>230</v>
      </c>
      <c r="D46" s="14">
        <v>1</v>
      </c>
      <c r="E46" s="16"/>
      <c r="F46" s="16">
        <f t="shared" si="0"/>
        <v>1</v>
      </c>
      <c r="G46" s="16"/>
      <c r="H46" s="16">
        <f t="shared" si="1"/>
        <v>1</v>
      </c>
      <c r="I46" s="16"/>
      <c r="J46" s="16"/>
      <c r="K46" s="16">
        <f t="shared" si="2"/>
        <v>1</v>
      </c>
    </row>
    <row r="47" spans="1:11" ht="13.5" customHeight="1">
      <c r="A47" s="14">
        <v>44</v>
      </c>
      <c r="B47" s="14" t="s">
        <v>231</v>
      </c>
      <c r="C47" s="15" t="s">
        <v>232</v>
      </c>
      <c r="D47" s="14">
        <v>1</v>
      </c>
      <c r="E47" s="16"/>
      <c r="F47" s="16">
        <f t="shared" si="0"/>
        <v>1</v>
      </c>
      <c r="G47" s="16"/>
      <c r="H47" s="16">
        <f t="shared" si="1"/>
        <v>1</v>
      </c>
      <c r="I47" s="16"/>
      <c r="J47" s="16"/>
      <c r="K47" s="16">
        <f t="shared" si="2"/>
        <v>1</v>
      </c>
    </row>
    <row r="48" spans="1:11" ht="13.5" customHeight="1">
      <c r="A48" s="14">
        <v>45</v>
      </c>
      <c r="B48" s="14" t="s">
        <v>240</v>
      </c>
      <c r="C48" s="15" t="s">
        <v>241</v>
      </c>
      <c r="D48" s="14">
        <v>2</v>
      </c>
      <c r="E48" s="16"/>
      <c r="F48" s="16">
        <f t="shared" si="0"/>
        <v>2</v>
      </c>
      <c r="G48" s="16"/>
      <c r="H48" s="16">
        <f t="shared" si="1"/>
        <v>2</v>
      </c>
      <c r="I48" s="16"/>
      <c r="J48" s="16"/>
      <c r="K48" s="16">
        <f t="shared" si="2"/>
        <v>2</v>
      </c>
    </row>
    <row r="49" spans="1:11" ht="13.5" customHeight="1">
      <c r="A49" s="14">
        <v>46</v>
      </c>
      <c r="B49" s="14" t="s">
        <v>242</v>
      </c>
      <c r="C49" s="15" t="s">
        <v>243</v>
      </c>
      <c r="D49" s="14">
        <v>2</v>
      </c>
      <c r="E49" s="16"/>
      <c r="F49" s="16">
        <f t="shared" si="0"/>
        <v>2</v>
      </c>
      <c r="G49" s="16"/>
      <c r="H49" s="16">
        <f t="shared" si="1"/>
        <v>2</v>
      </c>
      <c r="I49" s="16"/>
      <c r="J49" s="16"/>
      <c r="K49" s="16">
        <f t="shared" si="2"/>
        <v>2</v>
      </c>
    </row>
    <row r="50" spans="1:11" ht="13.5" customHeight="1">
      <c r="A50" s="14">
        <v>47</v>
      </c>
      <c r="B50" s="14" t="s">
        <v>244</v>
      </c>
      <c r="C50" s="15" t="s">
        <v>245</v>
      </c>
      <c r="D50" s="14">
        <v>4</v>
      </c>
      <c r="E50" s="16">
        <v>4</v>
      </c>
      <c r="F50" s="16">
        <f t="shared" si="0"/>
        <v>8</v>
      </c>
      <c r="G50" s="16"/>
      <c r="H50" s="16">
        <f t="shared" si="1"/>
        <v>8</v>
      </c>
      <c r="I50" s="16"/>
      <c r="J50" s="16"/>
      <c r="K50" s="16">
        <f t="shared" si="2"/>
        <v>8</v>
      </c>
    </row>
    <row r="51" spans="1:11" ht="13.5" customHeight="1">
      <c r="A51" s="14">
        <v>48</v>
      </c>
      <c r="B51" s="14" t="s">
        <v>246</v>
      </c>
      <c r="C51" s="15" t="s">
        <v>248</v>
      </c>
      <c r="D51" s="14">
        <v>1</v>
      </c>
      <c r="E51" s="16"/>
      <c r="F51" s="16">
        <f t="shared" si="0"/>
        <v>1</v>
      </c>
      <c r="G51" s="16"/>
      <c r="H51" s="16">
        <f t="shared" si="1"/>
        <v>1</v>
      </c>
      <c r="I51" s="16"/>
      <c r="J51" s="16"/>
      <c r="K51" s="16">
        <f t="shared" si="2"/>
        <v>1</v>
      </c>
    </row>
    <row r="52" spans="1:11" ht="13.5" customHeight="1">
      <c r="A52" s="14">
        <v>49</v>
      </c>
      <c r="B52" s="14" t="s">
        <v>247</v>
      </c>
      <c r="C52" s="15" t="s">
        <v>249</v>
      </c>
      <c r="D52" s="14">
        <v>2</v>
      </c>
      <c r="E52" s="16"/>
      <c r="F52" s="16">
        <f t="shared" si="0"/>
        <v>2</v>
      </c>
      <c r="G52" s="16"/>
      <c r="H52" s="16">
        <f t="shared" si="1"/>
        <v>2</v>
      </c>
      <c r="I52" s="16"/>
      <c r="J52" s="16"/>
      <c r="K52" s="16">
        <f t="shared" si="2"/>
        <v>2</v>
      </c>
    </row>
    <row r="53" spans="1:11" ht="13.5" customHeight="1">
      <c r="A53" s="14">
        <v>50</v>
      </c>
      <c r="B53" s="14" t="s">
        <v>250</v>
      </c>
      <c r="C53" s="15" t="s">
        <v>251</v>
      </c>
      <c r="D53" s="14">
        <v>2</v>
      </c>
      <c r="E53" s="16"/>
      <c r="F53" s="16">
        <f t="shared" si="0"/>
        <v>2</v>
      </c>
      <c r="G53" s="16"/>
      <c r="H53" s="16">
        <f t="shared" si="1"/>
        <v>2</v>
      </c>
      <c r="I53" s="16"/>
      <c r="J53" s="16"/>
      <c r="K53" s="16">
        <f t="shared" si="2"/>
        <v>2</v>
      </c>
    </row>
    <row r="54" spans="1:11" ht="13.5" customHeight="1">
      <c r="A54" s="14">
        <v>51</v>
      </c>
      <c r="B54" s="14" t="s">
        <v>252</v>
      </c>
      <c r="C54" s="15" t="s">
        <v>253</v>
      </c>
      <c r="D54" s="14">
        <v>2</v>
      </c>
      <c r="E54" s="16"/>
      <c r="F54" s="16">
        <f t="shared" si="0"/>
        <v>2</v>
      </c>
      <c r="G54" s="16"/>
      <c r="H54" s="16">
        <f t="shared" si="1"/>
        <v>2</v>
      </c>
      <c r="I54" s="16"/>
      <c r="J54" s="16"/>
      <c r="K54" s="16">
        <f t="shared" si="2"/>
        <v>2</v>
      </c>
    </row>
    <row r="55" spans="1:11" ht="13.5" customHeight="1">
      <c r="A55" s="17">
        <v>52</v>
      </c>
      <c r="B55" s="17" t="s">
        <v>254</v>
      </c>
      <c r="C55" s="18" t="s">
        <v>255</v>
      </c>
      <c r="D55" s="17">
        <v>1</v>
      </c>
      <c r="E55" s="16"/>
      <c r="F55" s="16">
        <f t="shared" si="0"/>
        <v>1</v>
      </c>
      <c r="G55" s="16"/>
      <c r="H55" s="16">
        <f t="shared" si="1"/>
        <v>1</v>
      </c>
      <c r="I55" s="16"/>
      <c r="J55" s="16"/>
      <c r="K55" s="16">
        <f t="shared" si="2"/>
        <v>1</v>
      </c>
    </row>
    <row r="56" spans="1:11" ht="13.5" customHeight="1">
      <c r="A56" s="22">
        <v>53</v>
      </c>
      <c r="B56" s="14" t="s">
        <v>275</v>
      </c>
      <c r="C56" s="26" t="s">
        <v>273</v>
      </c>
      <c r="D56" s="22">
        <v>0</v>
      </c>
      <c r="E56" s="16">
        <v>5</v>
      </c>
      <c r="F56" s="16">
        <f t="shared" si="0"/>
        <v>5</v>
      </c>
      <c r="G56" s="16"/>
      <c r="H56" s="16">
        <f t="shared" si="1"/>
        <v>5</v>
      </c>
      <c r="I56" s="16"/>
      <c r="J56" s="16">
        <v>3</v>
      </c>
      <c r="K56" s="16">
        <f t="shared" si="2"/>
        <v>2</v>
      </c>
    </row>
    <row r="57" spans="1:11" ht="13.5" customHeight="1">
      <c r="A57" s="22">
        <v>54</v>
      </c>
      <c r="B57" s="14" t="s">
        <v>276</v>
      </c>
      <c r="C57" s="26" t="s">
        <v>274</v>
      </c>
      <c r="D57" s="22">
        <v>0</v>
      </c>
      <c r="E57" s="16">
        <v>6</v>
      </c>
      <c r="F57" s="16">
        <f t="shared" si="0"/>
        <v>6</v>
      </c>
      <c r="G57" s="16"/>
      <c r="H57" s="16">
        <f t="shared" si="1"/>
        <v>6</v>
      </c>
      <c r="I57" s="16"/>
      <c r="J57" s="16">
        <v>3</v>
      </c>
      <c r="K57" s="16">
        <f t="shared" si="2"/>
        <v>3</v>
      </c>
    </row>
    <row r="58" spans="1:11" ht="13.5" customHeight="1">
      <c r="A58" s="22">
        <v>55</v>
      </c>
      <c r="B58" s="14" t="s">
        <v>277</v>
      </c>
      <c r="C58" s="27" t="s">
        <v>288</v>
      </c>
      <c r="D58" s="22">
        <v>0</v>
      </c>
      <c r="E58" s="16">
        <v>4</v>
      </c>
      <c r="F58" s="16">
        <f t="shared" si="0"/>
        <v>4</v>
      </c>
      <c r="G58" s="16"/>
      <c r="H58" s="16">
        <f t="shared" si="1"/>
        <v>4</v>
      </c>
      <c r="I58" s="16"/>
      <c r="J58" s="16"/>
      <c r="K58" s="16">
        <f t="shared" si="2"/>
        <v>4</v>
      </c>
    </row>
    <row r="59" spans="1:11" ht="13.5" customHeight="1">
      <c r="A59" s="22">
        <v>56</v>
      </c>
      <c r="B59" s="14" t="s">
        <v>278</v>
      </c>
      <c r="C59" s="26" t="s">
        <v>287</v>
      </c>
      <c r="D59" s="22">
        <v>0</v>
      </c>
      <c r="E59" s="16">
        <v>2</v>
      </c>
      <c r="F59" s="16">
        <f>+D59+E59</f>
        <v>2</v>
      </c>
      <c r="G59" s="16"/>
      <c r="H59" s="16">
        <f t="shared" ref="H59:H83" si="3">+F59-G59</f>
        <v>2</v>
      </c>
      <c r="I59" s="16"/>
      <c r="J59" s="16"/>
      <c r="K59" s="16">
        <f t="shared" si="2"/>
        <v>2</v>
      </c>
    </row>
    <row r="60" spans="1:11" ht="13.5" customHeight="1">
      <c r="A60" s="22">
        <v>57</v>
      </c>
      <c r="B60" s="25" t="s">
        <v>285</v>
      </c>
      <c r="C60" s="26" t="s">
        <v>286</v>
      </c>
      <c r="D60" s="22">
        <v>0</v>
      </c>
      <c r="E60" s="16">
        <v>2</v>
      </c>
      <c r="F60" s="16">
        <f>+D60+E60</f>
        <v>2</v>
      </c>
      <c r="G60" s="16"/>
      <c r="H60" s="16">
        <f t="shared" si="3"/>
        <v>2</v>
      </c>
      <c r="I60" s="16"/>
      <c r="J60" s="16"/>
      <c r="K60" s="16">
        <f t="shared" si="2"/>
        <v>2</v>
      </c>
    </row>
    <row r="61" spans="1:11" ht="13.5" customHeight="1">
      <c r="A61" s="54">
        <v>58</v>
      </c>
      <c r="B61" s="55" t="s">
        <v>289</v>
      </c>
      <c r="C61" s="56" t="s">
        <v>290</v>
      </c>
      <c r="D61" s="54">
        <v>2</v>
      </c>
      <c r="E61" s="57"/>
      <c r="F61" s="16">
        <f t="shared" ref="F61:F73" si="4">+D61+E61</f>
        <v>2</v>
      </c>
      <c r="G61" s="57"/>
      <c r="H61" s="57">
        <f t="shared" si="3"/>
        <v>2</v>
      </c>
      <c r="I61" s="57"/>
      <c r="J61" s="57"/>
      <c r="K61" s="16">
        <f t="shared" si="2"/>
        <v>2</v>
      </c>
    </row>
    <row r="62" spans="1:11" ht="12.75">
      <c r="A62" s="22">
        <v>59</v>
      </c>
      <c r="B62" s="58" t="s">
        <v>296</v>
      </c>
      <c r="C62" s="59" t="s">
        <v>297</v>
      </c>
      <c r="D62" s="22">
        <v>2</v>
      </c>
      <c r="E62" s="16"/>
      <c r="F62" s="16">
        <f t="shared" si="4"/>
        <v>2</v>
      </c>
      <c r="G62" s="16"/>
      <c r="H62" s="16">
        <f t="shared" si="3"/>
        <v>2</v>
      </c>
      <c r="I62" s="16"/>
      <c r="J62" s="16">
        <v>1</v>
      </c>
      <c r="K62" s="16">
        <f t="shared" si="2"/>
        <v>1</v>
      </c>
    </row>
    <row r="63" spans="1:11" ht="12.75">
      <c r="A63" s="62">
        <v>60</v>
      </c>
      <c r="B63" s="58" t="s">
        <v>299</v>
      </c>
      <c r="C63" s="61" t="s">
        <v>298</v>
      </c>
      <c r="D63" s="62">
        <v>0</v>
      </c>
      <c r="E63" s="16"/>
      <c r="F63" s="16">
        <f t="shared" si="4"/>
        <v>0</v>
      </c>
      <c r="G63" s="16"/>
      <c r="H63" s="16">
        <f t="shared" si="3"/>
        <v>0</v>
      </c>
      <c r="I63" s="60">
        <v>2</v>
      </c>
      <c r="J63" s="62">
        <v>2</v>
      </c>
      <c r="K63" s="16">
        <f t="shared" si="2"/>
        <v>0</v>
      </c>
    </row>
    <row r="64" spans="1:11" ht="12.75">
      <c r="A64" s="60">
        <v>61</v>
      </c>
      <c r="B64" s="58" t="s">
        <v>300</v>
      </c>
      <c r="C64" s="61" t="s">
        <v>320</v>
      </c>
      <c r="D64" s="62">
        <v>70</v>
      </c>
      <c r="E64" s="16"/>
      <c r="F64" s="16">
        <f>+D64+E64</f>
        <v>70</v>
      </c>
      <c r="G64" s="16"/>
      <c r="H64" s="16">
        <f t="shared" si="3"/>
        <v>70</v>
      </c>
      <c r="I64" s="60"/>
      <c r="J64" s="62"/>
      <c r="K64" s="16">
        <f>SUM(H64+I64)-J64</f>
        <v>70</v>
      </c>
    </row>
    <row r="65" spans="1:11" ht="12.75">
      <c r="A65" s="60">
        <v>62</v>
      </c>
      <c r="B65" s="58" t="s">
        <v>301</v>
      </c>
      <c r="C65" s="61" t="s">
        <v>321</v>
      </c>
      <c r="D65" s="62">
        <v>14</v>
      </c>
      <c r="E65" s="16"/>
      <c r="F65" s="16">
        <f>+D65+E65</f>
        <v>14</v>
      </c>
      <c r="G65" s="16"/>
      <c r="H65" s="16">
        <f t="shared" si="3"/>
        <v>14</v>
      </c>
      <c r="I65" s="60"/>
      <c r="J65" s="62"/>
      <c r="K65" s="16">
        <f>SUM(H65+I65)-J65</f>
        <v>14</v>
      </c>
    </row>
    <row r="66" spans="1:11" ht="12.75">
      <c r="A66" s="60">
        <v>63</v>
      </c>
      <c r="B66" s="58" t="s">
        <v>302</v>
      </c>
      <c r="C66" s="61" t="s">
        <v>322</v>
      </c>
      <c r="D66" s="62">
        <v>36</v>
      </c>
      <c r="E66" s="16"/>
      <c r="F66" s="16">
        <f>+D66+E66</f>
        <v>36</v>
      </c>
      <c r="G66" s="16"/>
      <c r="H66" s="16">
        <f t="shared" si="3"/>
        <v>36</v>
      </c>
      <c r="I66" s="60"/>
      <c r="J66" s="62"/>
      <c r="K66" s="16">
        <f>SUM(H66+I66)-J66</f>
        <v>36</v>
      </c>
    </row>
    <row r="67" spans="1:11" ht="12.75">
      <c r="A67" s="60">
        <v>64</v>
      </c>
      <c r="B67" s="58" t="s">
        <v>303</v>
      </c>
      <c r="C67" s="61" t="s">
        <v>323</v>
      </c>
      <c r="D67" s="62">
        <v>39</v>
      </c>
      <c r="E67" s="16"/>
      <c r="F67" s="16">
        <f>+D67+E67</f>
        <v>39</v>
      </c>
      <c r="G67" s="16"/>
      <c r="H67" s="16">
        <f t="shared" si="3"/>
        <v>39</v>
      </c>
      <c r="I67" s="60"/>
      <c r="J67" s="62"/>
      <c r="K67" s="16">
        <f>SUM(H67+I67)-J67</f>
        <v>39</v>
      </c>
    </row>
    <row r="68" spans="1:11" ht="12.75">
      <c r="A68" s="60">
        <v>65</v>
      </c>
      <c r="B68" s="58" t="s">
        <v>304</v>
      </c>
      <c r="C68" s="61" t="s">
        <v>324</v>
      </c>
      <c r="D68" s="62">
        <v>25</v>
      </c>
      <c r="E68" s="16"/>
      <c r="F68" s="16">
        <f t="shared" si="4"/>
        <v>25</v>
      </c>
      <c r="G68" s="16"/>
      <c r="H68" s="16">
        <f t="shared" si="3"/>
        <v>25</v>
      </c>
      <c r="I68" s="60"/>
      <c r="J68" s="62"/>
      <c r="K68" s="16">
        <f t="shared" si="2"/>
        <v>25</v>
      </c>
    </row>
    <row r="69" spans="1:11" ht="12.75">
      <c r="A69" s="60">
        <v>66</v>
      </c>
      <c r="B69" s="58" t="s">
        <v>305</v>
      </c>
      <c r="C69" s="61" t="s">
        <v>325</v>
      </c>
      <c r="D69" s="62">
        <v>43</v>
      </c>
      <c r="E69" s="16"/>
      <c r="F69" s="16">
        <f t="shared" si="4"/>
        <v>43</v>
      </c>
      <c r="G69" s="16"/>
      <c r="H69" s="16">
        <f t="shared" si="3"/>
        <v>43</v>
      </c>
      <c r="I69" s="60"/>
      <c r="J69" s="62"/>
      <c r="K69" s="16">
        <f t="shared" si="2"/>
        <v>43</v>
      </c>
    </row>
    <row r="70" spans="1:11" ht="12.75">
      <c r="A70" s="60">
        <v>67</v>
      </c>
      <c r="B70" s="58" t="s">
        <v>306</v>
      </c>
      <c r="C70" s="61" t="s">
        <v>326</v>
      </c>
      <c r="D70" s="62">
        <v>39</v>
      </c>
      <c r="E70" s="16"/>
      <c r="F70" s="16">
        <f>+D70+E70</f>
        <v>39</v>
      </c>
      <c r="G70" s="16"/>
      <c r="H70" s="16">
        <f t="shared" si="3"/>
        <v>39</v>
      </c>
      <c r="I70" s="60"/>
      <c r="J70" s="62"/>
      <c r="K70" s="16">
        <f>SUM(H70+I70)-J70</f>
        <v>39</v>
      </c>
    </row>
    <row r="71" spans="1:11" ht="12.75">
      <c r="A71" s="60">
        <v>68</v>
      </c>
      <c r="B71" s="58" t="s">
        <v>307</v>
      </c>
      <c r="C71" s="61" t="s">
        <v>327</v>
      </c>
      <c r="D71" s="62">
        <v>19</v>
      </c>
      <c r="E71" s="16"/>
      <c r="F71" s="16">
        <f>+D71+E71</f>
        <v>19</v>
      </c>
      <c r="G71" s="16"/>
      <c r="H71" s="16">
        <f t="shared" si="3"/>
        <v>19</v>
      </c>
      <c r="I71" s="60"/>
      <c r="J71" s="62"/>
      <c r="K71" s="16">
        <f>SUM(H71+I71)-J71</f>
        <v>19</v>
      </c>
    </row>
    <row r="72" spans="1:11" ht="12.75">
      <c r="A72" s="60">
        <v>69</v>
      </c>
      <c r="B72" s="58" t="s">
        <v>308</v>
      </c>
      <c r="C72" s="61" t="s">
        <v>328</v>
      </c>
      <c r="D72" s="62">
        <v>4</v>
      </c>
      <c r="E72" s="16"/>
      <c r="F72" s="16">
        <f>+D72+E72</f>
        <v>4</v>
      </c>
      <c r="G72" s="16"/>
      <c r="H72" s="16">
        <f t="shared" si="3"/>
        <v>4</v>
      </c>
      <c r="I72" s="60"/>
      <c r="J72" s="62"/>
      <c r="K72" s="16">
        <f>SUM(H72+I72)-J72</f>
        <v>4</v>
      </c>
    </row>
    <row r="73" spans="1:11" ht="12.75">
      <c r="A73" s="60">
        <v>70</v>
      </c>
      <c r="B73" s="58" t="s">
        <v>309</v>
      </c>
      <c r="C73" s="61" t="s">
        <v>329</v>
      </c>
      <c r="D73" s="62">
        <v>35</v>
      </c>
      <c r="E73" s="16"/>
      <c r="F73" s="16">
        <f t="shared" si="4"/>
        <v>35</v>
      </c>
      <c r="G73" s="16"/>
      <c r="H73" s="16">
        <f t="shared" si="3"/>
        <v>35</v>
      </c>
      <c r="I73" s="60"/>
      <c r="J73" s="62"/>
      <c r="K73" s="16">
        <f t="shared" si="2"/>
        <v>35</v>
      </c>
    </row>
    <row r="74" spans="1:11" ht="12.75">
      <c r="A74" s="60">
        <v>71</v>
      </c>
      <c r="B74" s="58" t="s">
        <v>310</v>
      </c>
      <c r="C74" s="61" t="s">
        <v>330</v>
      </c>
      <c r="D74" s="62">
        <v>12</v>
      </c>
      <c r="E74" s="16"/>
      <c r="F74" s="16">
        <f t="shared" ref="F74:F86" si="5">+D74+E74</f>
        <v>12</v>
      </c>
      <c r="G74" s="16"/>
      <c r="H74" s="16">
        <f t="shared" si="3"/>
        <v>12</v>
      </c>
      <c r="I74" s="60"/>
      <c r="J74" s="62"/>
      <c r="K74" s="16">
        <f t="shared" ref="K74:K86" si="6">SUM(H74+I74)-J74</f>
        <v>12</v>
      </c>
    </row>
    <row r="75" spans="1:11" ht="12.75">
      <c r="A75" s="60">
        <v>72</v>
      </c>
      <c r="B75" s="58" t="s">
        <v>311</v>
      </c>
      <c r="C75" s="61" t="s">
        <v>331</v>
      </c>
      <c r="D75" s="62">
        <v>40</v>
      </c>
      <c r="E75" s="16"/>
      <c r="F75" s="16">
        <f t="shared" si="5"/>
        <v>40</v>
      </c>
      <c r="G75" s="16"/>
      <c r="H75" s="16">
        <f t="shared" si="3"/>
        <v>40</v>
      </c>
      <c r="I75" s="60"/>
      <c r="J75" s="62"/>
      <c r="K75" s="16">
        <f t="shared" si="6"/>
        <v>40</v>
      </c>
    </row>
    <row r="76" spans="1:11" ht="12.75">
      <c r="A76" s="60">
        <v>73</v>
      </c>
      <c r="B76" s="58" t="s">
        <v>312</v>
      </c>
      <c r="C76" s="61" t="s">
        <v>332</v>
      </c>
      <c r="D76" s="62">
        <v>16</v>
      </c>
      <c r="E76" s="16"/>
      <c r="F76" s="16">
        <f t="shared" si="5"/>
        <v>16</v>
      </c>
      <c r="G76" s="16"/>
      <c r="H76" s="16">
        <f t="shared" si="3"/>
        <v>16</v>
      </c>
      <c r="I76" s="60"/>
      <c r="J76" s="62"/>
      <c r="K76" s="16">
        <f t="shared" si="6"/>
        <v>16</v>
      </c>
    </row>
    <row r="77" spans="1:11" ht="12.75">
      <c r="A77" s="60">
        <v>74</v>
      </c>
      <c r="B77" s="58" t="s">
        <v>313</v>
      </c>
      <c r="C77" s="61" t="s">
        <v>333</v>
      </c>
      <c r="D77" s="62">
        <v>21</v>
      </c>
      <c r="E77" s="16"/>
      <c r="F77" s="16">
        <f t="shared" si="5"/>
        <v>21</v>
      </c>
      <c r="G77" s="16"/>
      <c r="H77" s="16">
        <f t="shared" si="3"/>
        <v>21</v>
      </c>
      <c r="I77" s="60"/>
      <c r="J77" s="62"/>
      <c r="K77" s="16">
        <f t="shared" si="6"/>
        <v>21</v>
      </c>
    </row>
    <row r="78" spans="1:11" ht="12.75">
      <c r="A78" s="60">
        <v>75</v>
      </c>
      <c r="B78" s="58" t="s">
        <v>314</v>
      </c>
      <c r="C78" s="61" t="s">
        <v>334</v>
      </c>
      <c r="D78" s="62">
        <v>24</v>
      </c>
      <c r="E78" s="16"/>
      <c r="F78" s="16">
        <f t="shared" si="5"/>
        <v>24</v>
      </c>
      <c r="G78" s="16"/>
      <c r="H78" s="16">
        <f t="shared" si="3"/>
        <v>24</v>
      </c>
      <c r="I78" s="60"/>
      <c r="J78" s="62"/>
      <c r="K78" s="16">
        <f t="shared" si="6"/>
        <v>24</v>
      </c>
    </row>
    <row r="79" spans="1:11" ht="12.75">
      <c r="A79" s="60">
        <v>76</v>
      </c>
      <c r="B79" s="58" t="s">
        <v>315</v>
      </c>
      <c r="C79" s="61" t="s">
        <v>335</v>
      </c>
      <c r="D79" s="62">
        <v>31</v>
      </c>
      <c r="E79" s="16"/>
      <c r="F79" s="16">
        <f t="shared" si="5"/>
        <v>31</v>
      </c>
      <c r="G79" s="16"/>
      <c r="H79" s="16">
        <f t="shared" si="3"/>
        <v>31</v>
      </c>
      <c r="I79" s="60"/>
      <c r="J79" s="62"/>
      <c r="K79" s="16">
        <f t="shared" si="6"/>
        <v>31</v>
      </c>
    </row>
    <row r="80" spans="1:11" ht="12.75">
      <c r="A80" s="60">
        <v>77</v>
      </c>
      <c r="B80" s="58" t="s">
        <v>316</v>
      </c>
      <c r="C80" s="61" t="s">
        <v>336</v>
      </c>
      <c r="D80" s="62">
        <v>30</v>
      </c>
      <c r="E80" s="16"/>
      <c r="F80" s="16">
        <f t="shared" si="5"/>
        <v>30</v>
      </c>
      <c r="G80" s="16"/>
      <c r="H80" s="16">
        <f t="shared" si="3"/>
        <v>30</v>
      </c>
      <c r="I80" s="60"/>
      <c r="J80" s="62"/>
      <c r="K80" s="16">
        <f t="shared" si="6"/>
        <v>30</v>
      </c>
    </row>
    <row r="81" spans="1:11" ht="12.75">
      <c r="A81" s="60">
        <v>78</v>
      </c>
      <c r="B81" s="58" t="s">
        <v>317</v>
      </c>
      <c r="C81" s="61" t="s">
        <v>337</v>
      </c>
      <c r="D81" s="62">
        <v>12</v>
      </c>
      <c r="E81" s="16"/>
      <c r="F81" s="16">
        <f t="shared" si="5"/>
        <v>12</v>
      </c>
      <c r="G81" s="16"/>
      <c r="H81" s="16">
        <f t="shared" si="3"/>
        <v>12</v>
      </c>
      <c r="I81" s="60"/>
      <c r="J81" s="62"/>
      <c r="K81" s="16">
        <f t="shared" si="6"/>
        <v>12</v>
      </c>
    </row>
    <row r="82" spans="1:11" ht="12.75">
      <c r="A82" s="60">
        <v>79</v>
      </c>
      <c r="B82" s="58" t="s">
        <v>318</v>
      </c>
      <c r="C82" s="61" t="s">
        <v>338</v>
      </c>
      <c r="D82" s="62">
        <v>23</v>
      </c>
      <c r="E82" s="16"/>
      <c r="F82" s="16">
        <f t="shared" si="5"/>
        <v>23</v>
      </c>
      <c r="G82" s="16"/>
      <c r="H82" s="16">
        <f t="shared" si="3"/>
        <v>23</v>
      </c>
      <c r="I82" s="60"/>
      <c r="J82" s="62"/>
      <c r="K82" s="16">
        <f t="shared" si="6"/>
        <v>23</v>
      </c>
    </row>
    <row r="83" spans="1:11" ht="12.75">
      <c r="A83" s="60">
        <v>80</v>
      </c>
      <c r="B83" s="58" t="s">
        <v>319</v>
      </c>
      <c r="C83" s="61" t="s">
        <v>339</v>
      </c>
      <c r="D83" s="62">
        <v>4</v>
      </c>
      <c r="E83" s="16"/>
      <c r="F83" s="16">
        <f t="shared" si="5"/>
        <v>4</v>
      </c>
      <c r="G83" s="16"/>
      <c r="H83" s="16">
        <f t="shared" si="3"/>
        <v>4</v>
      </c>
      <c r="I83" s="60"/>
      <c r="J83" s="62"/>
      <c r="K83" s="16">
        <f t="shared" si="6"/>
        <v>4</v>
      </c>
    </row>
    <row r="84" spans="1:11" ht="12.75">
      <c r="A84" s="60">
        <v>81</v>
      </c>
      <c r="B84" s="58" t="s">
        <v>340</v>
      </c>
      <c r="C84" s="61" t="s">
        <v>341</v>
      </c>
      <c r="D84" s="62">
        <v>0</v>
      </c>
      <c r="E84" s="16"/>
      <c r="F84" s="16">
        <f t="shared" si="5"/>
        <v>0</v>
      </c>
      <c r="G84" s="16"/>
      <c r="H84" s="16">
        <f>+F84-G84</f>
        <v>0</v>
      </c>
      <c r="I84" s="60"/>
      <c r="J84" s="62">
        <v>1</v>
      </c>
      <c r="K84" s="16">
        <f t="shared" si="6"/>
        <v>-1</v>
      </c>
    </row>
    <row r="85" spans="1:11" ht="12.75">
      <c r="A85" s="60">
        <v>82</v>
      </c>
      <c r="B85" s="58" t="s">
        <v>344</v>
      </c>
      <c r="C85" s="15" t="s">
        <v>345</v>
      </c>
      <c r="D85" s="62">
        <v>2</v>
      </c>
      <c r="E85" s="16"/>
      <c r="F85" s="16">
        <f t="shared" si="5"/>
        <v>2</v>
      </c>
      <c r="G85" s="16"/>
      <c r="H85" s="16">
        <f>+F85-G85</f>
        <v>2</v>
      </c>
      <c r="I85" s="60"/>
      <c r="J85" s="62"/>
      <c r="K85" s="16">
        <f t="shared" si="6"/>
        <v>2</v>
      </c>
    </row>
    <row r="86" spans="1:11" ht="12.75">
      <c r="A86" s="60">
        <v>83</v>
      </c>
      <c r="B86" s="58" t="s">
        <v>346</v>
      </c>
      <c r="C86" s="15" t="s">
        <v>347</v>
      </c>
      <c r="D86" s="62">
        <v>2</v>
      </c>
      <c r="E86" s="16"/>
      <c r="F86" s="16">
        <f t="shared" si="5"/>
        <v>2</v>
      </c>
      <c r="G86" s="16"/>
      <c r="H86" s="16">
        <f>+F86-G86</f>
        <v>2</v>
      </c>
      <c r="I86" s="60"/>
      <c r="J86" s="62"/>
      <c r="K86" s="16">
        <f t="shared" si="6"/>
        <v>2</v>
      </c>
    </row>
  </sheetData>
  <mergeCells count="3">
    <mergeCell ref="A1:D1"/>
    <mergeCell ref="D2:H2"/>
    <mergeCell ref="I2:K2"/>
  </mergeCells>
  <hyperlinks>
    <hyperlink ref="A3" r:id="rId1" display="http://s.no/"/>
  </hyperlinks>
  <pageMargins left="0.70866141732283472" right="0.70866141732283472" top="0.56000000000000005" bottom="0.43" header="0.31496062992125984" footer="0.31496062992125984"/>
  <pageSetup paperSize="9" scale="95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CONTACTOR</vt:lpstr>
      <vt:lpstr>RELAY</vt:lpstr>
      <vt:lpstr>MCB</vt:lpstr>
      <vt:lpstr>ELE GENERAL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2026-08-08T09:29:34Z</dcterms:modified>
</cp:coreProperties>
</file>