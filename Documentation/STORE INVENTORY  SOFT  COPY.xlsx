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DC014D98-ECD4-4589-BF89-EF61F4BEA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Oil Seal" sheetId="5" r:id="rId1"/>
    <sheet name="Bearing Final Sheet" sheetId="6" r:id="rId2"/>
    <sheet name="CLOTHING" sheetId="7" r:id="rId3"/>
    <sheet name="TYRE" sheetId="8" r:id="rId4"/>
    <sheet name="TYRE COUPLING, PIN BUSH" sheetId="9" r:id="rId5"/>
    <sheet name="PUMP SLEEVE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H4" i="7" s="1"/>
  <c r="H5" i="7"/>
  <c r="G5" i="7"/>
  <c r="H8" i="7"/>
  <c r="G8" i="7"/>
  <c r="H7" i="7"/>
  <c r="G7" i="7"/>
  <c r="H11" i="7"/>
  <c r="G11" i="7"/>
  <c r="H10" i="7"/>
  <c r="G10" i="7"/>
  <c r="H6" i="7"/>
  <c r="G6" i="7"/>
</calcChain>
</file>

<file path=xl/sharedStrings.xml><?xml version="1.0" encoding="utf-8"?>
<sst xmlns="http://schemas.openxmlformats.org/spreadsheetml/2006/main" count="719" uniqueCount="617">
  <si>
    <t>S NO.</t>
  </si>
  <si>
    <t>ITEM WITH DETAIL</t>
  </si>
  <si>
    <t>Phy Stock</t>
  </si>
  <si>
    <t>6003 -2z</t>
  </si>
  <si>
    <t>6004-2z</t>
  </si>
  <si>
    <t>6011-2rs</t>
  </si>
  <si>
    <t>6201-2Z</t>
  </si>
  <si>
    <t>6202-2Z-C3</t>
  </si>
  <si>
    <t>6203-C-HRS 2Z</t>
  </si>
  <si>
    <t>6204-zz /6204- 2RS</t>
  </si>
  <si>
    <t>6205-zz /2RS</t>
  </si>
  <si>
    <t>6206-2z</t>
  </si>
  <si>
    <t>6207-2z</t>
  </si>
  <si>
    <t>6210- 2z</t>
  </si>
  <si>
    <t>6215-c3</t>
  </si>
  <si>
    <t>6215-2rs/2z</t>
  </si>
  <si>
    <t>6302-2z</t>
  </si>
  <si>
    <t>6303-2z</t>
  </si>
  <si>
    <t>6305-2Z</t>
  </si>
  <si>
    <t>6308-zz</t>
  </si>
  <si>
    <t>6309-zz</t>
  </si>
  <si>
    <t>6209-zz</t>
  </si>
  <si>
    <t>6310-2z -C3/6310-2Z/R</t>
  </si>
  <si>
    <t>6311-2z</t>
  </si>
  <si>
    <t>6312- H-SN-C3</t>
  </si>
  <si>
    <t>6312-2z -L140 /6310-2Z-C3</t>
  </si>
  <si>
    <t>6404-A</t>
  </si>
  <si>
    <t>UC 215</t>
  </si>
  <si>
    <t>UCP215</t>
  </si>
  <si>
    <t>UCFC 210</t>
  </si>
  <si>
    <t>FC 210</t>
  </si>
  <si>
    <t>UCF 210 (mm) /UCF 210 -K</t>
  </si>
  <si>
    <t>UCP 210</t>
  </si>
  <si>
    <t>6009-2RSR/LLU/ZZ</t>
  </si>
  <si>
    <t>30204 -A</t>
  </si>
  <si>
    <t>30206 -A</t>
  </si>
  <si>
    <t>30216-A</t>
  </si>
  <si>
    <t>30312 A</t>
  </si>
  <si>
    <t>30305 CYC</t>
  </si>
  <si>
    <t>30306 -A</t>
  </si>
  <si>
    <t>30310 A</t>
  </si>
  <si>
    <t>32212- A J2 /Q</t>
  </si>
  <si>
    <t>32213-A</t>
  </si>
  <si>
    <t>32214-AM</t>
  </si>
  <si>
    <t>NJ205</t>
  </si>
  <si>
    <t>NU310 E-XL</t>
  </si>
  <si>
    <t>NUP 313 E TVP2</t>
  </si>
  <si>
    <t>NJ 303 E- XL -TVP2</t>
  </si>
  <si>
    <t>NJ313 -E-XL-M1-QP-C3</t>
  </si>
  <si>
    <t>NU313 -E-XL M1 -QP-C3</t>
  </si>
  <si>
    <t>7314 BEP</t>
  </si>
  <si>
    <t>29418 -E1-XL-C3</t>
  </si>
  <si>
    <t>22319 -E</t>
  </si>
  <si>
    <t>NU2217 -E-XL-M1-QP</t>
  </si>
  <si>
    <t>7313 BEP -XL TVP</t>
  </si>
  <si>
    <t>NU307</t>
  </si>
  <si>
    <t>3307 -BD-XL</t>
  </si>
  <si>
    <t>NU309-XL -C3</t>
  </si>
  <si>
    <t>6212-C3</t>
  </si>
  <si>
    <t>UCFC-208 -J7</t>
  </si>
  <si>
    <t>UCP 206- J7 -NTN</t>
  </si>
  <si>
    <t>UC206</t>
  </si>
  <si>
    <t>UCF-206</t>
  </si>
  <si>
    <t>UCP 207</t>
  </si>
  <si>
    <t>UC208</t>
  </si>
  <si>
    <t>UCFL 208</t>
  </si>
  <si>
    <t>6208-2Z- C3</t>
  </si>
  <si>
    <t>2312 TVH C3</t>
  </si>
  <si>
    <t>NU 2320 INNER</t>
  </si>
  <si>
    <t>UCP 209</t>
  </si>
  <si>
    <t>HB 209</t>
  </si>
  <si>
    <t>UCF 209 -J7</t>
  </si>
  <si>
    <t>UC 211 -23</t>
  </si>
  <si>
    <t>UC 211 -32</t>
  </si>
  <si>
    <t>UCF 211 D1</t>
  </si>
  <si>
    <t>UCF 211 J7-32</t>
  </si>
  <si>
    <t>UCP 211</t>
  </si>
  <si>
    <t>UCP 212 D1</t>
  </si>
  <si>
    <t>UCP 213</t>
  </si>
  <si>
    <t>UC 210</t>
  </si>
  <si>
    <t>22311 CW 33C3</t>
  </si>
  <si>
    <t>22312 MBW33 C3</t>
  </si>
  <si>
    <t>NU 2322 E1-XL</t>
  </si>
  <si>
    <t>3210 -BD-XL</t>
  </si>
  <si>
    <t>6213 -2Z -L140 -C3</t>
  </si>
  <si>
    <t>6313-2Z -L140- C3</t>
  </si>
  <si>
    <t>6313-c3</t>
  </si>
  <si>
    <t>GEM 020</t>
  </si>
  <si>
    <t>N 407 EM</t>
  </si>
  <si>
    <t>32305 J2 /Q</t>
  </si>
  <si>
    <t>7206-B-XL -TVP</t>
  </si>
  <si>
    <t>SYJ 513</t>
  </si>
  <si>
    <t>SYJ 517</t>
  </si>
  <si>
    <t>NU2220 E1 -AM-C3</t>
  </si>
  <si>
    <t>22316 E1-XL</t>
  </si>
  <si>
    <t>32216- A-AM</t>
  </si>
  <si>
    <t>22215-E-XL-C3</t>
  </si>
  <si>
    <t>22216 E1-XL</t>
  </si>
  <si>
    <t>22314 -E1-XL</t>
  </si>
  <si>
    <t>22314 KW33 M</t>
  </si>
  <si>
    <t>22218 E1-XL-C3</t>
  </si>
  <si>
    <t>6314-H-SN /6314-C3</t>
  </si>
  <si>
    <t>22320 E1-XL-K</t>
  </si>
  <si>
    <t>22320- E1-XL-C3</t>
  </si>
  <si>
    <t>NU 2320 E-XL -M1QP-C3</t>
  </si>
  <si>
    <t>NU319 E-XL -M1-QP -C3</t>
  </si>
  <si>
    <t>NU320 E-XL-M1-QP-C3 -2 old side</t>
  </si>
  <si>
    <t>24032-C3</t>
  </si>
  <si>
    <t>22324-E1-XL</t>
  </si>
  <si>
    <t>F-573288.24032 -S-K30-C3</t>
  </si>
  <si>
    <t>F-573288.24032 -S-</t>
  </si>
  <si>
    <t>NU 317 -M1QP -C3</t>
  </si>
  <si>
    <t>QJ 317 -N2-MPA-C3</t>
  </si>
  <si>
    <t>22228 E1-C3</t>
  </si>
  <si>
    <t>6316-C3</t>
  </si>
  <si>
    <t>NU 315 E-XL -M1QP-C3</t>
  </si>
  <si>
    <t>22315-E1-XL-K-C3</t>
  </si>
  <si>
    <t>23124 E1AM</t>
  </si>
  <si>
    <t>22220 E1-XL</t>
  </si>
  <si>
    <t>22224 E1-XL</t>
  </si>
  <si>
    <t>23222 E1 A-XL-K-M-C3</t>
  </si>
  <si>
    <t>22222 E1-XL-K</t>
  </si>
  <si>
    <t>22222 e1 AM C3</t>
  </si>
  <si>
    <t>NU 322 E1-XL M1QP -C3</t>
  </si>
  <si>
    <t>22322 E1-XL - K C3</t>
  </si>
  <si>
    <t>7319 B-XL-MP</t>
  </si>
  <si>
    <t>6319-C3</t>
  </si>
  <si>
    <t>6321-C3</t>
  </si>
  <si>
    <t>6322-C3</t>
  </si>
  <si>
    <t>22219 -E1-XL</t>
  </si>
  <si>
    <t>23220 E1 AM</t>
  </si>
  <si>
    <t>23226 E1 AM</t>
  </si>
  <si>
    <t>22222 E1 XL</t>
  </si>
  <si>
    <t>32313-H</t>
  </si>
  <si>
    <t>32310-H</t>
  </si>
  <si>
    <t>NU 2322 EM ZVL</t>
  </si>
  <si>
    <t>29420 E1-XL</t>
  </si>
  <si>
    <t>22322 E1-XL --C3</t>
  </si>
  <si>
    <t>ZVL 23044 KW33MC3</t>
  </si>
  <si>
    <t>23044 BE-XL-K</t>
  </si>
  <si>
    <t>23244 -BE-XL-K</t>
  </si>
  <si>
    <t>23234 BS-K -MB-C3</t>
  </si>
  <si>
    <t>23234 E1 A-K-M</t>
  </si>
  <si>
    <t>29240 E MB</t>
  </si>
  <si>
    <t>6315-C3</t>
  </si>
  <si>
    <t>6318-C3</t>
  </si>
  <si>
    <t>23264 -BEA-XL-K- MB1-C3</t>
  </si>
  <si>
    <t>22318-E1-XL-K-C3</t>
  </si>
  <si>
    <t>24184 cck/w33</t>
  </si>
  <si>
    <t>10-22-7</t>
  </si>
  <si>
    <t>20-32-7</t>
  </si>
  <si>
    <t>20-35-7</t>
  </si>
  <si>
    <t>20-52-7</t>
  </si>
  <si>
    <t>25-40-8</t>
  </si>
  <si>
    <t>25-42-10</t>
  </si>
  <si>
    <t>25-45-10</t>
  </si>
  <si>
    <t>25-52-7</t>
  </si>
  <si>
    <t>25-62-7</t>
  </si>
  <si>
    <t>28-38-7/2</t>
  </si>
  <si>
    <t>30-47-7/10</t>
  </si>
  <si>
    <t>30-62-10</t>
  </si>
  <si>
    <t>32-45-7</t>
  </si>
  <si>
    <t>32-52-10</t>
  </si>
  <si>
    <t>32-60-10</t>
  </si>
  <si>
    <t>35-47-7</t>
  </si>
  <si>
    <t>35-52-10</t>
  </si>
  <si>
    <t>35-55-10</t>
  </si>
  <si>
    <t>40-55-8</t>
  </si>
  <si>
    <t>40-60-10</t>
  </si>
  <si>
    <t>42-55-10</t>
  </si>
  <si>
    <t>45-55-8</t>
  </si>
  <si>
    <t>45-60-10</t>
  </si>
  <si>
    <t>45-65-10/12</t>
  </si>
  <si>
    <t>45-75-10</t>
  </si>
  <si>
    <t>48-62-10</t>
  </si>
  <si>
    <t>50-65-8</t>
  </si>
  <si>
    <t>50-70-10</t>
  </si>
  <si>
    <t>50-72-8/10</t>
  </si>
  <si>
    <t>50-75-12/10</t>
  </si>
  <si>
    <t>50-80-10</t>
  </si>
  <si>
    <t>55-70-10</t>
  </si>
  <si>
    <t>55-72-10/8</t>
  </si>
  <si>
    <t>55-75-10</t>
  </si>
  <si>
    <t>55-80-10</t>
  </si>
  <si>
    <t>60-80-10</t>
  </si>
  <si>
    <t>60-90-10</t>
  </si>
  <si>
    <t>65-75-10</t>
  </si>
  <si>
    <t>65-80-10</t>
  </si>
  <si>
    <t>65-85-10</t>
  </si>
  <si>
    <t>65-90-10/12</t>
  </si>
  <si>
    <t>65-95-10</t>
  </si>
  <si>
    <t>70-80-10</t>
  </si>
  <si>
    <t>70-90-10</t>
  </si>
  <si>
    <t>75-95-10</t>
  </si>
  <si>
    <t>75-100-10</t>
  </si>
  <si>
    <t>80-100-10</t>
  </si>
  <si>
    <t>80-105-10/12</t>
  </si>
  <si>
    <t>85-100-10/12</t>
  </si>
  <si>
    <t>85-105-10</t>
  </si>
  <si>
    <t>85-110-10</t>
  </si>
  <si>
    <t>85-115-10</t>
  </si>
  <si>
    <t>90-110-10/12</t>
  </si>
  <si>
    <t>90-115-10</t>
  </si>
  <si>
    <t>90-120-12</t>
  </si>
  <si>
    <t>95-120-10</t>
  </si>
  <si>
    <t>107-135.5-10</t>
  </si>
  <si>
    <t>110-130-12</t>
  </si>
  <si>
    <t>115-140-15</t>
  </si>
  <si>
    <t>140-170-15</t>
  </si>
  <si>
    <t>145-165-13</t>
  </si>
  <si>
    <t>155-180-15</t>
  </si>
  <si>
    <t>185*215*15</t>
  </si>
  <si>
    <t xml:space="preserve"> OIL SEAL</t>
  </si>
  <si>
    <t>6304-2Z /2RS1</t>
  </si>
  <si>
    <t>6306-2z /L207-C3</t>
  </si>
  <si>
    <t>55-72-12</t>
  </si>
  <si>
    <t>RECIVED</t>
  </si>
  <si>
    <t>BALANCE</t>
  </si>
  <si>
    <t>OS0020</t>
  </si>
  <si>
    <t>OS0028</t>
  </si>
  <si>
    <t>OS0029</t>
  </si>
  <si>
    <t>OS0030</t>
  </si>
  <si>
    <t>OS0031</t>
  </si>
  <si>
    <t>OS0033</t>
  </si>
  <si>
    <t>OS0034</t>
  </si>
  <si>
    <t>OS0035</t>
  </si>
  <si>
    <t>OS0036</t>
  </si>
  <si>
    <t>OS0041</t>
  </si>
  <si>
    <t>OS0045</t>
  </si>
  <si>
    <t>OS0065</t>
  </si>
  <si>
    <t>ITEM CODE</t>
  </si>
  <si>
    <t>PHY STOCK</t>
  </si>
  <si>
    <t>55-60-8</t>
  </si>
  <si>
    <t>22-40-10</t>
  </si>
  <si>
    <t>20-52-8</t>
  </si>
  <si>
    <t>OS0005</t>
  </si>
  <si>
    <t>OS0001</t>
  </si>
  <si>
    <t>OS0002</t>
  </si>
  <si>
    <t>OS0004</t>
  </si>
  <si>
    <t>OS0007</t>
  </si>
  <si>
    <t>OS0008</t>
  </si>
  <si>
    <t>OS0010</t>
  </si>
  <si>
    <t>OS0011</t>
  </si>
  <si>
    <t>OS0012</t>
  </si>
  <si>
    <t>OS0013</t>
  </si>
  <si>
    <t>OS0015</t>
  </si>
  <si>
    <t>OS0016</t>
  </si>
  <si>
    <t>OS0017</t>
  </si>
  <si>
    <t>OS0018</t>
  </si>
  <si>
    <t>OS0022</t>
  </si>
  <si>
    <t>OS0024</t>
  </si>
  <si>
    <t>OS0026</t>
  </si>
  <si>
    <t>OS0066</t>
  </si>
  <si>
    <t>OS0067</t>
  </si>
  <si>
    <t>OS0068</t>
  </si>
  <si>
    <t>40-65-10</t>
  </si>
  <si>
    <t>45-55-10</t>
  </si>
  <si>
    <t>OS0014</t>
  </si>
  <si>
    <t>OS0019</t>
  </si>
  <si>
    <t>OS0023</t>
  </si>
  <si>
    <t>OS0025</t>
  </si>
  <si>
    <t>OS0027</t>
  </si>
  <si>
    <t>OS0057</t>
  </si>
  <si>
    <t>OS0069</t>
  </si>
  <si>
    <t>OS0070</t>
  </si>
  <si>
    <t>OS0044</t>
  </si>
  <si>
    <t>OS0047</t>
  </si>
  <si>
    <t>OS0059</t>
  </si>
  <si>
    <t>OS0060</t>
  </si>
  <si>
    <t>OS0037</t>
  </si>
  <si>
    <t>OS0039</t>
  </si>
  <si>
    <t>OS0040</t>
  </si>
  <si>
    <t>OS0042</t>
  </si>
  <si>
    <t>OS0043</t>
  </si>
  <si>
    <t>OS0048</t>
  </si>
  <si>
    <t>OS0049</t>
  </si>
  <si>
    <t>OS0050</t>
  </si>
  <si>
    <t>OS0051</t>
  </si>
  <si>
    <t>OS0052</t>
  </si>
  <si>
    <t>78-100-10</t>
  </si>
  <si>
    <t>60-85-10</t>
  </si>
  <si>
    <t>OS0071</t>
  </si>
  <si>
    <t>OS0072</t>
  </si>
  <si>
    <t>150-180-15</t>
  </si>
  <si>
    <t>65-100-1</t>
  </si>
  <si>
    <t>OS0021</t>
  </si>
  <si>
    <t>OS0053</t>
  </si>
  <si>
    <t>OS0054</t>
  </si>
  <si>
    <t>OS0055</t>
  </si>
  <si>
    <t>OS0056</t>
  </si>
  <si>
    <t>OS0058</t>
  </si>
  <si>
    <t>OS0074</t>
  </si>
  <si>
    <t>OS0061</t>
  </si>
  <si>
    <t>OS0062</t>
  </si>
  <si>
    <t>OS0063</t>
  </si>
  <si>
    <t>OS0064</t>
  </si>
  <si>
    <t>OS0073</t>
  </si>
  <si>
    <t>HSN CODE</t>
  </si>
  <si>
    <t>4016 9330</t>
  </si>
  <si>
    <t>RACK / BOX NO</t>
  </si>
  <si>
    <t>OS0009</t>
  </si>
  <si>
    <t>OS0075</t>
  </si>
  <si>
    <t>OS0076</t>
  </si>
  <si>
    <t>OS0077</t>
  </si>
  <si>
    <t>OS0078</t>
  </si>
  <si>
    <t>OIL MECHANICAL SEAL STOCK REPORT AS ON 14-07-2026</t>
  </si>
  <si>
    <t>TOP WIRE (20.250* 3.65 M) SHALIMAR -48497, W&amp;F - 60215</t>
  </si>
  <si>
    <t>BOTTOM WIRE (44.953*3.65)- (1.5 LAYER) SHALIMAR -48498,W&amp;F -60216</t>
  </si>
  <si>
    <t>PRESS FELTS (14.1*3.5 M) 1650 GSM V3 (81.43 KGS) ,12579028</t>
  </si>
  <si>
    <t>1 ST UNIRUN GROUP 42*3.5</t>
  </si>
  <si>
    <t>5911-2000</t>
  </si>
  <si>
    <t>S.No</t>
  </si>
  <si>
    <t>ITEM NAME</t>
  </si>
  <si>
    <t>PHY QTY</t>
  </si>
  <si>
    <t>5911-9010</t>
  </si>
  <si>
    <t>RATE</t>
  </si>
  <si>
    <t>TOTAL AMOUNT</t>
  </si>
  <si>
    <t>NEW PRESS FELTS TOP ( 15.1* 3.5 M) 1450 , WT: 79.28 (12559803, 12579025, 9026)</t>
  </si>
  <si>
    <t>NEW PRESS FELTS BOTTOM( 15.1* 3.5 M) 1650 ,voith 12507946, (89.55) 12759027</t>
  </si>
  <si>
    <t>IGST 5%</t>
  </si>
  <si>
    <t>TW0001</t>
  </si>
  <si>
    <t>PF0003</t>
  </si>
  <si>
    <t>PF0004</t>
  </si>
  <si>
    <t>PF0001</t>
  </si>
  <si>
    <t>URG001</t>
  </si>
  <si>
    <t>DS0001</t>
  </si>
  <si>
    <t>DS0002</t>
  </si>
  <si>
    <t>BW0001</t>
  </si>
  <si>
    <t>DRYER SCREEN (32*3.5 M) shalimar-18163 ,18165</t>
  </si>
  <si>
    <t>DRYER SCREEN (29*3.5 M) -SHALIMAR-18164</t>
  </si>
  <si>
    <t>CLOTHING STOCKS AS ON 14/07/2026</t>
  </si>
  <si>
    <t>6307 -zz/ 2Z C3</t>
  </si>
  <si>
    <t>TYRE PH-140</t>
  </si>
  <si>
    <t>TYRE PH-160</t>
  </si>
  <si>
    <t>TYRE PH-178</t>
  </si>
  <si>
    <t>TYRE PH-190</t>
  </si>
  <si>
    <t>TYRE PH-250</t>
  </si>
  <si>
    <t>TYRE F-70</t>
  </si>
  <si>
    <t>TYRE F-160</t>
  </si>
  <si>
    <t>TYRE PH-126</t>
  </si>
  <si>
    <t>TF0001</t>
  </si>
  <si>
    <t>TF0002</t>
  </si>
  <si>
    <t>TF0003</t>
  </si>
  <si>
    <t>TF0004</t>
  </si>
  <si>
    <t>TP0001</t>
  </si>
  <si>
    <t>TP0002</t>
  </si>
  <si>
    <t>TP0003</t>
  </si>
  <si>
    <t>TP0004</t>
  </si>
  <si>
    <t>TP0005</t>
  </si>
  <si>
    <t>TP0006</t>
  </si>
  <si>
    <t>S NO</t>
  </si>
  <si>
    <t>TYRE F-45</t>
  </si>
  <si>
    <t>TYRE F-90</t>
  </si>
  <si>
    <t>4012-9010</t>
  </si>
  <si>
    <t>2213-K-TVH-C3</t>
  </si>
  <si>
    <t>NA 4905</t>
  </si>
  <si>
    <t>22316-E1-XL</t>
  </si>
  <si>
    <t>6001-c-2hrs /2z/C3</t>
  </si>
  <si>
    <t>6212-2z-L140</t>
  </si>
  <si>
    <t>UCP 208-J5</t>
  </si>
  <si>
    <t>22322 E1-XL - C3</t>
  </si>
  <si>
    <t>6204 -C HRS</t>
  </si>
  <si>
    <t>6008- 2Z</t>
  </si>
  <si>
    <t>BE0001</t>
  </si>
  <si>
    <t>BE0002</t>
  </si>
  <si>
    <t>BE0003</t>
  </si>
  <si>
    <t>BE0004</t>
  </si>
  <si>
    <t>BE0005</t>
  </si>
  <si>
    <t>BE0006</t>
  </si>
  <si>
    <t>BE0007</t>
  </si>
  <si>
    <t>BE0008</t>
  </si>
  <si>
    <t>BE0009</t>
  </si>
  <si>
    <t>BE0010</t>
  </si>
  <si>
    <t>BE0011</t>
  </si>
  <si>
    <t>BE0012</t>
  </si>
  <si>
    <t>BE0013</t>
  </si>
  <si>
    <t>BE0014</t>
  </si>
  <si>
    <t>BE0015</t>
  </si>
  <si>
    <t>BE0016</t>
  </si>
  <si>
    <t>BE0017</t>
  </si>
  <si>
    <t>BE0018</t>
  </si>
  <si>
    <t>BE0019</t>
  </si>
  <si>
    <t>BE0020</t>
  </si>
  <si>
    <t>BE0021</t>
  </si>
  <si>
    <t>BE0022</t>
  </si>
  <si>
    <t>BE0023</t>
  </si>
  <si>
    <t>BE0024</t>
  </si>
  <si>
    <t>BE0025</t>
  </si>
  <si>
    <t>BE0026</t>
  </si>
  <si>
    <t>BE0027</t>
  </si>
  <si>
    <t>BE0028</t>
  </si>
  <si>
    <t>BE0029</t>
  </si>
  <si>
    <t>BE0030</t>
  </si>
  <si>
    <t>BE0031</t>
  </si>
  <si>
    <t>BE0032</t>
  </si>
  <si>
    <t>BE0033</t>
  </si>
  <si>
    <t>BE0034</t>
  </si>
  <si>
    <t>BE0035</t>
  </si>
  <si>
    <t>BE0036</t>
  </si>
  <si>
    <t>BE0037</t>
  </si>
  <si>
    <t>BE0038</t>
  </si>
  <si>
    <t>BE0039</t>
  </si>
  <si>
    <t>BE0040</t>
  </si>
  <si>
    <t>BE0041</t>
  </si>
  <si>
    <t>BE0042</t>
  </si>
  <si>
    <t>BE0043</t>
  </si>
  <si>
    <t>BE0044</t>
  </si>
  <si>
    <t>BE0045</t>
  </si>
  <si>
    <t>BE0046</t>
  </si>
  <si>
    <t>BE0047</t>
  </si>
  <si>
    <t>BE0048</t>
  </si>
  <si>
    <t>BE0049</t>
  </si>
  <si>
    <t>BE0050</t>
  </si>
  <si>
    <t>BE0051</t>
  </si>
  <si>
    <t>BE0052</t>
  </si>
  <si>
    <t>BE0053</t>
  </si>
  <si>
    <t>BE0054</t>
  </si>
  <si>
    <t>BE0055</t>
  </si>
  <si>
    <t>BE0056</t>
  </si>
  <si>
    <t>BE0057</t>
  </si>
  <si>
    <t>BE0058</t>
  </si>
  <si>
    <t>BE0059</t>
  </si>
  <si>
    <t>BE0060</t>
  </si>
  <si>
    <t>BE0061</t>
  </si>
  <si>
    <t>BE0062</t>
  </si>
  <si>
    <t>BE0063</t>
  </si>
  <si>
    <t>BE0064</t>
  </si>
  <si>
    <t>BE0065</t>
  </si>
  <si>
    <t>BE0066</t>
  </si>
  <si>
    <t>BE0067</t>
  </si>
  <si>
    <t>BE0068</t>
  </si>
  <si>
    <t>BE0069</t>
  </si>
  <si>
    <t>BE0070</t>
  </si>
  <si>
    <t>BE0071</t>
  </si>
  <si>
    <t>BE0072</t>
  </si>
  <si>
    <t>BE0073</t>
  </si>
  <si>
    <t>BE0074</t>
  </si>
  <si>
    <t>BE0075</t>
  </si>
  <si>
    <t>BE0076</t>
  </si>
  <si>
    <t>BE0077</t>
  </si>
  <si>
    <t>BE0078</t>
  </si>
  <si>
    <t>BE0079</t>
  </si>
  <si>
    <t>BE0080</t>
  </si>
  <si>
    <t>BE0081</t>
  </si>
  <si>
    <t>BE0082</t>
  </si>
  <si>
    <t>BE0083</t>
  </si>
  <si>
    <t>BE0084</t>
  </si>
  <si>
    <t>BE0085</t>
  </si>
  <si>
    <t>BE0086</t>
  </si>
  <si>
    <t>BE0087</t>
  </si>
  <si>
    <t>BE0088</t>
  </si>
  <si>
    <t>BE0089</t>
  </si>
  <si>
    <t>BE0090</t>
  </si>
  <si>
    <t>BE0091</t>
  </si>
  <si>
    <t>BE0092</t>
  </si>
  <si>
    <t>BE0093</t>
  </si>
  <si>
    <t>BE0094</t>
  </si>
  <si>
    <t>BE0095</t>
  </si>
  <si>
    <t>BE0096</t>
  </si>
  <si>
    <t>BE0097</t>
  </si>
  <si>
    <t>BE0098</t>
  </si>
  <si>
    <t>BE0099</t>
  </si>
  <si>
    <t>BE0100</t>
  </si>
  <si>
    <t>BE0101</t>
  </si>
  <si>
    <t>BE0102</t>
  </si>
  <si>
    <t>BE0103</t>
  </si>
  <si>
    <t>BE0104</t>
  </si>
  <si>
    <t>BE0105</t>
  </si>
  <si>
    <t>BE0106</t>
  </si>
  <si>
    <t>BE0107</t>
  </si>
  <si>
    <t>BE0108</t>
  </si>
  <si>
    <t>BE0109</t>
  </si>
  <si>
    <t>BE0110</t>
  </si>
  <si>
    <t>BE0111</t>
  </si>
  <si>
    <t>BE0112</t>
  </si>
  <si>
    <t>BE0113</t>
  </si>
  <si>
    <t>BE0114</t>
  </si>
  <si>
    <t>BE0115</t>
  </si>
  <si>
    <t>BE0116</t>
  </si>
  <si>
    <t>BE0117</t>
  </si>
  <si>
    <t>BE0118</t>
  </si>
  <si>
    <t>BE0119</t>
  </si>
  <si>
    <t>BE0120</t>
  </si>
  <si>
    <t>BE0121</t>
  </si>
  <si>
    <t>BE0122</t>
  </si>
  <si>
    <t>BE0123</t>
  </si>
  <si>
    <t>BE0124</t>
  </si>
  <si>
    <t>BE0125</t>
  </si>
  <si>
    <t>BE0126</t>
  </si>
  <si>
    <t>BE0127</t>
  </si>
  <si>
    <t>BE0128</t>
  </si>
  <si>
    <t>BE0129</t>
  </si>
  <si>
    <t>BE0130</t>
  </si>
  <si>
    <t>BE0131</t>
  </si>
  <si>
    <t>BE0132</t>
  </si>
  <si>
    <t>BE0133</t>
  </si>
  <si>
    <t>BE0134</t>
  </si>
  <si>
    <t>BE0135</t>
  </si>
  <si>
    <t>BE0136</t>
  </si>
  <si>
    <t>BE0137</t>
  </si>
  <si>
    <t>BE0138</t>
  </si>
  <si>
    <t>BE0139</t>
  </si>
  <si>
    <t>BE0140</t>
  </si>
  <si>
    <t>BE0141</t>
  </si>
  <si>
    <t>BE0142</t>
  </si>
  <si>
    <t>BE0143</t>
  </si>
  <si>
    <t>BE0144</t>
  </si>
  <si>
    <t>BE0145</t>
  </si>
  <si>
    <t>BE0146</t>
  </si>
  <si>
    <t>BE0147</t>
  </si>
  <si>
    <t>BE0148</t>
  </si>
  <si>
    <t>BE0149</t>
  </si>
  <si>
    <t>BE0150</t>
  </si>
  <si>
    <t>BE0151</t>
  </si>
  <si>
    <t>BE0152</t>
  </si>
  <si>
    <t>BE0153</t>
  </si>
  <si>
    <t>BE0154</t>
  </si>
  <si>
    <t>BE0155</t>
  </si>
  <si>
    <t>BE0156</t>
  </si>
  <si>
    <t>BE0157</t>
  </si>
  <si>
    <t>BE0158</t>
  </si>
  <si>
    <t>BE0159</t>
  </si>
  <si>
    <t>BE0160</t>
  </si>
  <si>
    <t>BE0161</t>
  </si>
  <si>
    <t>BE0162</t>
  </si>
  <si>
    <t>BE0163</t>
  </si>
  <si>
    <t>BE0164</t>
  </si>
  <si>
    <t>BE0165</t>
  </si>
  <si>
    <t>BE0166</t>
  </si>
  <si>
    <t>BE0167</t>
  </si>
  <si>
    <t>BE0168</t>
  </si>
  <si>
    <t>BE0169</t>
  </si>
  <si>
    <t>BE0170</t>
  </si>
  <si>
    <t>MECHANICAL BEARING STOCK AS ON 14/07/2026</t>
  </si>
  <si>
    <t>TYRE COUPLING F-70</t>
  </si>
  <si>
    <t>TYRE COUPLING PH-106</t>
  </si>
  <si>
    <t>TYRE COUPLING PH-140</t>
  </si>
  <si>
    <t>TYRE COUPLING PH-160</t>
  </si>
  <si>
    <t>TYRE COUPLING PH-178</t>
  </si>
  <si>
    <t>TYRE COUPLING PH-190</t>
  </si>
  <si>
    <t>TCF0001</t>
  </si>
  <si>
    <t>TCP0002</t>
  </si>
  <si>
    <t>TCP0003</t>
  </si>
  <si>
    <t>TCP0004</t>
  </si>
  <si>
    <t>TCP0005</t>
  </si>
  <si>
    <t>TCP0006</t>
  </si>
  <si>
    <t>TCP0007</t>
  </si>
  <si>
    <t>TYRE COUPLING PH-250</t>
  </si>
  <si>
    <t xml:space="preserve"> MECHANICAL TYRE COUPLING STOCK AS ON 14/07/2026</t>
  </si>
  <si>
    <t>MECHANICAL COUPLING ( PIN BUSH)</t>
  </si>
  <si>
    <t>MECHANICAL COUPLING RUBBER TYRES</t>
  </si>
  <si>
    <t>CPB0001</t>
  </si>
  <si>
    <t>CPB0002</t>
  </si>
  <si>
    <t>CPB0003</t>
  </si>
  <si>
    <t>FBC-5L (6 HOLES)</t>
  </si>
  <si>
    <t>FBC-6A4 (OD-254, 10 HPLES)</t>
  </si>
  <si>
    <t>CPB0004</t>
  </si>
  <si>
    <t>FGC2-0.5L GARE COUPALING PART(OD-185, 6 HOLES)</t>
  </si>
  <si>
    <t xml:space="preserve">S.NO </t>
  </si>
  <si>
    <t>ITEM DETAILS</t>
  </si>
  <si>
    <t>STOCK -PHY</t>
  </si>
  <si>
    <t>SWP 80/260</t>
  </si>
  <si>
    <t>MEGA A 40</t>
  </si>
  <si>
    <t>CPC 65/260</t>
  </si>
  <si>
    <t>CPC 150/320</t>
  </si>
  <si>
    <t>ETP SLEEVE</t>
  </si>
  <si>
    <t>VSL 04 SLEEVE</t>
  </si>
  <si>
    <t>TURBO 900 SLEEVE</t>
  </si>
  <si>
    <t>TPR 125/400+C (3VO)</t>
  </si>
  <si>
    <t>TPR 80 /320</t>
  </si>
  <si>
    <t>TPR 250+400+C</t>
  </si>
  <si>
    <t>AAPGC 42/150</t>
  </si>
  <si>
    <t>TURBO SLEEVE 400</t>
  </si>
  <si>
    <t>TPR 150/320</t>
  </si>
  <si>
    <t>cpc 100/320</t>
  </si>
  <si>
    <t>SPR + T125/260</t>
  </si>
  <si>
    <t>SPR + T125 /330</t>
  </si>
  <si>
    <t>CPC 50 /320</t>
  </si>
  <si>
    <t>VSL -08 SLEEVE</t>
  </si>
  <si>
    <t>AGITATOR SLEEVES</t>
  </si>
  <si>
    <t>SPR +T 125/320 SLEEVE</t>
  </si>
  <si>
    <t>PULPER SLEEVE</t>
  </si>
  <si>
    <t>MECHANICAL PUMP SLEEVE STOCKS AS ON 14/07/2026</t>
  </si>
  <si>
    <t>MPS0001</t>
  </si>
  <si>
    <t>MPS0002</t>
  </si>
  <si>
    <t>MPS0003</t>
  </si>
  <si>
    <t>MPS0004</t>
  </si>
  <si>
    <t>MPS0005</t>
  </si>
  <si>
    <t>MPS0006</t>
  </si>
  <si>
    <t>MPS0007</t>
  </si>
  <si>
    <t>MPS0008</t>
  </si>
  <si>
    <t>MPS0009</t>
  </si>
  <si>
    <t>MPS0010</t>
  </si>
  <si>
    <t>MPS0011</t>
  </si>
  <si>
    <t>MPS0012</t>
  </si>
  <si>
    <t>MPS0013</t>
  </si>
  <si>
    <t>MPS0014</t>
  </si>
  <si>
    <t>MPS0015</t>
  </si>
  <si>
    <t>MPS0016</t>
  </si>
  <si>
    <t>MPS0017</t>
  </si>
  <si>
    <t>MPS0018</t>
  </si>
  <si>
    <t>MPS0019</t>
  </si>
  <si>
    <t>MPS0020</t>
  </si>
  <si>
    <t>MPS0021</t>
  </si>
  <si>
    <t>MPS0022</t>
  </si>
  <si>
    <t>MPS0023</t>
  </si>
  <si>
    <t>MPS0024</t>
  </si>
  <si>
    <t>MPS0025</t>
  </si>
  <si>
    <t>MPS0026</t>
  </si>
  <si>
    <t>MPS0027</t>
  </si>
  <si>
    <t>BOTTOM FAN PUMP SLEEVE</t>
  </si>
  <si>
    <t>HOLY ROLL SLEEVE</t>
  </si>
  <si>
    <t>SEPRATOR SLEEVE 25*32*75 MM</t>
  </si>
  <si>
    <t>OD-38 mm -108 LENGTH</t>
  </si>
  <si>
    <t>FGC1-0.5L GEAR COUPALING PART(OD-170, 6 HOLES)</t>
  </si>
  <si>
    <t>AFT PRESSURE SCREEN SLEEVE (OD90XID70XLE229/230)</t>
  </si>
  <si>
    <t>GUN METAL(OD50XID75XLE210 MM)  /S.S 316 (ID63XID70XLE130 MM) -BOTTOM FAN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</si>
</sst>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6"/>
      <color rgb="FF000000"/>
      <name val="Segoe U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0" fillId="0" borderId="1" xfId="1" applyFont="1" applyBorder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2" applyFont="1" applyFill="1" applyBorder="1" applyAlignment="1" applyProtection="1">
      <alignment vertical="center"/>
    </xf>
    <xf numFmtId="0" fontId="2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7"/>
  <sheetViews>
    <sheetView tabSelected="1" workbookViewId="0">
      <selection activeCell="J32" sqref="J32"/>
    </sheetView>
  </sheetViews>
  <sheetFormatPr defaultRowHeight="15" x14ac:dyDescent="0.25"/>
  <cols>
    <col min="1" max="1" width="9.7109375" bestFit="1" customWidth="1"/>
    <col min="2" max="2" width="15" bestFit="1" customWidth="1"/>
    <col min="3" max="3" width="12.140625" bestFit="1" customWidth="1"/>
    <col min="4" max="4" width="12.140625" customWidth="1"/>
    <col min="5" max="5" width="10" customWidth="1"/>
    <col min="6" max="6" width="11.7109375" bestFit="1" customWidth="1"/>
    <col min="7" max="7" width="12.5703125" bestFit="1" customWidth="1"/>
  </cols>
  <sheetData>
    <row r="2" spans="1:7" x14ac:dyDescent="0.25">
      <c r="A2" s="38" t="s">
        <v>305</v>
      </c>
      <c r="B2" s="38"/>
      <c r="C2" s="38"/>
      <c r="D2" s="38"/>
      <c r="E2" s="38"/>
      <c r="F2" s="38"/>
      <c r="G2" s="38"/>
    </row>
    <row r="3" spans="1:7" ht="31.5" x14ac:dyDescent="0.25">
      <c r="A3" s="6" t="s">
        <v>230</v>
      </c>
      <c r="B3" s="7" t="s">
        <v>212</v>
      </c>
      <c r="C3" s="6" t="s">
        <v>297</v>
      </c>
      <c r="D3" s="6" t="s">
        <v>299</v>
      </c>
      <c r="E3" s="6" t="s">
        <v>231</v>
      </c>
      <c r="F3" s="8" t="s">
        <v>216</v>
      </c>
      <c r="G3" s="8" t="s">
        <v>217</v>
      </c>
    </row>
    <row r="4" spans="1:7" ht="15.75" customHeight="1" x14ac:dyDescent="0.25">
      <c r="A4" s="11" t="s">
        <v>236</v>
      </c>
      <c r="B4" s="11" t="s">
        <v>149</v>
      </c>
      <c r="C4" s="9" t="s">
        <v>298</v>
      </c>
      <c r="D4" s="7">
        <v>2</v>
      </c>
      <c r="E4" s="9">
        <v>4</v>
      </c>
      <c r="F4" s="12"/>
      <c r="G4" s="12"/>
    </row>
    <row r="5" spans="1:7" ht="15.75" customHeight="1" x14ac:dyDescent="0.25">
      <c r="A5" s="11" t="s">
        <v>237</v>
      </c>
      <c r="B5" s="11" t="s">
        <v>150</v>
      </c>
      <c r="C5" s="9" t="s">
        <v>298</v>
      </c>
      <c r="D5" s="7">
        <v>2</v>
      </c>
      <c r="E5" s="9">
        <v>2</v>
      </c>
      <c r="F5" s="12"/>
      <c r="G5" s="12"/>
    </row>
    <row r="6" spans="1:7" ht="15.75" customHeight="1" x14ac:dyDescent="0.25">
      <c r="A6" s="11" t="s">
        <v>238</v>
      </c>
      <c r="B6" s="11" t="s">
        <v>152</v>
      </c>
      <c r="C6" s="9" t="s">
        <v>298</v>
      </c>
      <c r="D6" s="7">
        <v>2</v>
      </c>
      <c r="E6" s="9">
        <v>2</v>
      </c>
      <c r="F6" s="12"/>
      <c r="G6" s="12"/>
    </row>
    <row r="7" spans="1:7" ht="15.75" customHeight="1" x14ac:dyDescent="0.25">
      <c r="A7" s="11" t="s">
        <v>235</v>
      </c>
      <c r="B7" s="11" t="s">
        <v>153</v>
      </c>
      <c r="C7" s="9" t="s">
        <v>298</v>
      </c>
      <c r="D7" s="7">
        <v>2</v>
      </c>
      <c r="E7" s="9">
        <v>4</v>
      </c>
      <c r="F7" s="12"/>
      <c r="G7" s="12"/>
    </row>
    <row r="8" spans="1:7" ht="15.75" customHeight="1" x14ac:dyDescent="0.25">
      <c r="A8" s="11" t="s">
        <v>239</v>
      </c>
      <c r="B8" s="11" t="s">
        <v>154</v>
      </c>
      <c r="C8" s="9" t="s">
        <v>298</v>
      </c>
      <c r="D8" s="7">
        <v>2</v>
      </c>
      <c r="E8" s="9">
        <v>1</v>
      </c>
      <c r="F8" s="12"/>
      <c r="G8" s="12"/>
    </row>
    <row r="9" spans="1:7" ht="15.75" customHeight="1" x14ac:dyDescent="0.25">
      <c r="A9" s="11" t="s">
        <v>240</v>
      </c>
      <c r="B9" s="11" t="s">
        <v>155</v>
      </c>
      <c r="C9" s="9" t="s">
        <v>298</v>
      </c>
      <c r="D9" s="7">
        <v>2</v>
      </c>
      <c r="E9" s="9">
        <v>10</v>
      </c>
      <c r="F9" s="12"/>
      <c r="G9" s="12"/>
    </row>
    <row r="10" spans="1:7" ht="15.75" customHeight="1" x14ac:dyDescent="0.25">
      <c r="A10" s="11" t="s">
        <v>300</v>
      </c>
      <c r="B10" s="11" t="s">
        <v>156</v>
      </c>
      <c r="C10" s="9" t="s">
        <v>298</v>
      </c>
      <c r="D10" s="7">
        <v>7</v>
      </c>
      <c r="E10" s="9">
        <v>1</v>
      </c>
      <c r="F10" s="13"/>
      <c r="G10" s="15"/>
    </row>
    <row r="11" spans="1:7" ht="15.75" customHeight="1" x14ac:dyDescent="0.25">
      <c r="A11" s="11" t="s">
        <v>241</v>
      </c>
      <c r="B11" s="11" t="s">
        <v>157</v>
      </c>
      <c r="C11" s="9" t="s">
        <v>298</v>
      </c>
      <c r="D11" s="7">
        <v>2</v>
      </c>
      <c r="E11" s="9">
        <v>2</v>
      </c>
      <c r="F11" s="12"/>
      <c r="G11" s="12"/>
    </row>
    <row r="12" spans="1:7" ht="15.75" customHeight="1" x14ac:dyDescent="0.25">
      <c r="A12" s="11" t="s">
        <v>242</v>
      </c>
      <c r="B12" s="11" t="s">
        <v>158</v>
      </c>
      <c r="C12" s="9" t="s">
        <v>298</v>
      </c>
      <c r="D12" s="7">
        <v>2</v>
      </c>
      <c r="E12" s="9">
        <v>4</v>
      </c>
      <c r="F12" s="12"/>
      <c r="G12" s="12"/>
    </row>
    <row r="13" spans="1:7" ht="15.75" customHeight="1" x14ac:dyDescent="0.25">
      <c r="A13" s="11" t="s">
        <v>243</v>
      </c>
      <c r="B13" s="11" t="s">
        <v>159</v>
      </c>
      <c r="C13" s="9" t="s">
        <v>298</v>
      </c>
      <c r="D13" s="7">
        <v>2</v>
      </c>
      <c r="E13" s="9">
        <v>2</v>
      </c>
      <c r="F13" s="12"/>
      <c r="G13" s="12"/>
    </row>
    <row r="14" spans="1:7" ht="15.75" customHeight="1" x14ac:dyDescent="0.25">
      <c r="A14" s="11" t="s">
        <v>244</v>
      </c>
      <c r="B14" s="11" t="s">
        <v>160</v>
      </c>
      <c r="C14" s="9" t="s">
        <v>298</v>
      </c>
      <c r="D14" s="7">
        <v>2</v>
      </c>
      <c r="E14" s="9">
        <v>5</v>
      </c>
      <c r="F14" s="12"/>
      <c r="G14" s="12"/>
    </row>
    <row r="15" spans="1:7" ht="15.75" customHeight="1" x14ac:dyDescent="0.25">
      <c r="A15" s="11" t="s">
        <v>257</v>
      </c>
      <c r="B15" s="11" t="s">
        <v>161</v>
      </c>
      <c r="C15" s="9" t="s">
        <v>298</v>
      </c>
      <c r="D15" s="7">
        <v>3</v>
      </c>
      <c r="E15" s="9">
        <v>6</v>
      </c>
      <c r="F15" s="13"/>
      <c r="G15" s="13"/>
    </row>
    <row r="16" spans="1:7" ht="15.75" customHeight="1" x14ac:dyDescent="0.25">
      <c r="A16" s="11" t="s">
        <v>245</v>
      </c>
      <c r="B16" s="11" t="s">
        <v>162</v>
      </c>
      <c r="C16" s="9" t="s">
        <v>298</v>
      </c>
      <c r="D16" s="7">
        <v>2</v>
      </c>
      <c r="E16" s="9">
        <v>3</v>
      </c>
      <c r="F16" s="12"/>
      <c r="G16" s="12"/>
    </row>
    <row r="17" spans="1:7" ht="15.75" customHeight="1" x14ac:dyDescent="0.25">
      <c r="A17" s="11" t="s">
        <v>246</v>
      </c>
      <c r="B17" s="11" t="s">
        <v>163</v>
      </c>
      <c r="C17" s="9" t="s">
        <v>298</v>
      </c>
      <c r="D17" s="7">
        <v>2</v>
      </c>
      <c r="E17" s="9">
        <v>3</v>
      </c>
      <c r="F17" s="12"/>
      <c r="G17" s="12"/>
    </row>
    <row r="18" spans="1:7" ht="15.75" customHeight="1" x14ac:dyDescent="0.25">
      <c r="A18" s="11" t="s">
        <v>247</v>
      </c>
      <c r="B18" s="11" t="s">
        <v>164</v>
      </c>
      <c r="C18" s="9" t="s">
        <v>298</v>
      </c>
      <c r="D18" s="7">
        <v>3</v>
      </c>
      <c r="E18" s="9">
        <v>25</v>
      </c>
      <c r="F18" s="13"/>
      <c r="G18" s="13"/>
    </row>
    <row r="19" spans="1:7" ht="15.75" customHeight="1" x14ac:dyDescent="0.25">
      <c r="A19" s="11" t="s">
        <v>248</v>
      </c>
      <c r="B19" s="11" t="s">
        <v>165</v>
      </c>
      <c r="C19" s="9" t="s">
        <v>298</v>
      </c>
      <c r="D19" s="7">
        <v>2</v>
      </c>
      <c r="E19" s="9">
        <v>12</v>
      </c>
      <c r="F19" s="12"/>
      <c r="G19" s="12"/>
    </row>
    <row r="20" spans="1:7" ht="15.75" customHeight="1" x14ac:dyDescent="0.25">
      <c r="A20" s="11" t="s">
        <v>258</v>
      </c>
      <c r="B20" s="11" t="s">
        <v>166</v>
      </c>
      <c r="C20" s="9" t="s">
        <v>298</v>
      </c>
      <c r="D20" s="7">
        <v>3</v>
      </c>
      <c r="E20" s="9">
        <v>10</v>
      </c>
      <c r="F20" s="13"/>
      <c r="G20" s="13"/>
    </row>
    <row r="21" spans="1:7" ht="15.75" customHeight="1" x14ac:dyDescent="0.25">
      <c r="A21" s="11" t="s">
        <v>218</v>
      </c>
      <c r="B21" s="11" t="s">
        <v>167</v>
      </c>
      <c r="C21" s="9" t="s">
        <v>298</v>
      </c>
      <c r="D21" s="7">
        <v>1</v>
      </c>
      <c r="E21" s="9">
        <v>6</v>
      </c>
      <c r="F21" s="12"/>
      <c r="G21" s="12"/>
    </row>
    <row r="22" spans="1:7" ht="15.75" customHeight="1" x14ac:dyDescent="0.25">
      <c r="A22" s="11" t="s">
        <v>285</v>
      </c>
      <c r="B22" s="11" t="s">
        <v>168</v>
      </c>
      <c r="C22" s="9" t="s">
        <v>298</v>
      </c>
      <c r="D22" s="7">
        <v>7</v>
      </c>
      <c r="E22" s="9">
        <v>1</v>
      </c>
      <c r="F22" s="13"/>
      <c r="G22" s="15"/>
    </row>
    <row r="23" spans="1:7" ht="15.75" customHeight="1" x14ac:dyDescent="0.25">
      <c r="A23" s="11" t="s">
        <v>249</v>
      </c>
      <c r="B23" s="11" t="s">
        <v>169</v>
      </c>
      <c r="C23" s="9" t="s">
        <v>298</v>
      </c>
      <c r="D23" s="7">
        <v>2</v>
      </c>
      <c r="E23" s="9">
        <v>10</v>
      </c>
      <c r="F23" s="12"/>
      <c r="G23" s="12"/>
    </row>
    <row r="24" spans="1:7" ht="15.75" customHeight="1" x14ac:dyDescent="0.25">
      <c r="A24" s="11" t="s">
        <v>259</v>
      </c>
      <c r="B24" s="11" t="s">
        <v>170</v>
      </c>
      <c r="C24" s="9" t="s">
        <v>298</v>
      </c>
      <c r="D24" s="7">
        <v>3</v>
      </c>
      <c r="E24" s="9">
        <v>10</v>
      </c>
      <c r="F24" s="13"/>
      <c r="G24" s="13"/>
    </row>
    <row r="25" spans="1:7" ht="15.75" customHeight="1" x14ac:dyDescent="0.25">
      <c r="A25" s="11" t="s">
        <v>250</v>
      </c>
      <c r="B25" s="11" t="s">
        <v>171</v>
      </c>
      <c r="C25" s="9" t="s">
        <v>298</v>
      </c>
      <c r="D25" s="7">
        <v>2</v>
      </c>
      <c r="E25" s="9">
        <v>8</v>
      </c>
      <c r="F25" s="12"/>
      <c r="G25" s="12"/>
    </row>
    <row r="26" spans="1:7" ht="15.75" customHeight="1" x14ac:dyDescent="0.25">
      <c r="A26" s="11" t="s">
        <v>260</v>
      </c>
      <c r="B26" s="11" t="s">
        <v>172</v>
      </c>
      <c r="C26" s="9" t="s">
        <v>298</v>
      </c>
      <c r="D26" s="7">
        <v>3</v>
      </c>
      <c r="E26" s="9">
        <v>2</v>
      </c>
      <c r="F26" s="13"/>
      <c r="G26" s="13"/>
    </row>
    <row r="27" spans="1:7" ht="15.75" customHeight="1" x14ac:dyDescent="0.25">
      <c r="A27" s="11" t="s">
        <v>251</v>
      </c>
      <c r="B27" s="11" t="s">
        <v>173</v>
      </c>
      <c r="C27" s="9" t="s">
        <v>298</v>
      </c>
      <c r="D27" s="7">
        <v>2</v>
      </c>
      <c r="E27" s="9">
        <v>1</v>
      </c>
      <c r="F27" s="12"/>
      <c r="G27" s="12"/>
    </row>
    <row r="28" spans="1:7" ht="15.75" customHeight="1" x14ac:dyDescent="0.25">
      <c r="A28" s="11" t="s">
        <v>261</v>
      </c>
      <c r="B28" s="11" t="s">
        <v>174</v>
      </c>
      <c r="C28" s="9" t="s">
        <v>298</v>
      </c>
      <c r="D28" s="7">
        <v>3</v>
      </c>
      <c r="E28" s="9">
        <v>4</v>
      </c>
      <c r="F28" s="13"/>
      <c r="G28" s="13"/>
    </row>
    <row r="29" spans="1:7" ht="15.75" customHeight="1" x14ac:dyDescent="0.25">
      <c r="A29" s="11" t="s">
        <v>219</v>
      </c>
      <c r="B29" s="11" t="s">
        <v>175</v>
      </c>
      <c r="C29" s="9" t="s">
        <v>298</v>
      </c>
      <c r="D29" s="7">
        <v>1</v>
      </c>
      <c r="E29" s="9">
        <v>7</v>
      </c>
      <c r="F29" s="12"/>
      <c r="G29" s="12"/>
    </row>
    <row r="30" spans="1:7" ht="15.75" customHeight="1" x14ac:dyDescent="0.25">
      <c r="A30" s="11" t="s">
        <v>220</v>
      </c>
      <c r="B30" s="11" t="s">
        <v>176</v>
      </c>
      <c r="C30" s="9" t="s">
        <v>298</v>
      </c>
      <c r="D30" s="7">
        <v>1</v>
      </c>
      <c r="E30" s="9">
        <v>4</v>
      </c>
      <c r="F30" s="12"/>
      <c r="G30" s="12"/>
    </row>
    <row r="31" spans="1:7" ht="15.75" customHeight="1" x14ac:dyDescent="0.25">
      <c r="A31" s="11" t="s">
        <v>221</v>
      </c>
      <c r="B31" s="11" t="s">
        <v>177</v>
      </c>
      <c r="C31" s="9" t="s">
        <v>298</v>
      </c>
      <c r="D31" s="7">
        <v>1</v>
      </c>
      <c r="E31" s="9">
        <v>1</v>
      </c>
      <c r="F31" s="12"/>
      <c r="G31" s="12"/>
    </row>
    <row r="32" spans="1:7" ht="15.75" customHeight="1" x14ac:dyDescent="0.25">
      <c r="A32" s="11" t="s">
        <v>222</v>
      </c>
      <c r="B32" s="11" t="s">
        <v>178</v>
      </c>
      <c r="C32" s="9" t="s">
        <v>298</v>
      </c>
      <c r="D32" s="7">
        <v>1</v>
      </c>
      <c r="E32" s="9">
        <v>8</v>
      </c>
      <c r="F32" s="12"/>
      <c r="G32" s="12"/>
    </row>
    <row r="33" spans="1:7" ht="15.75" customHeight="1" x14ac:dyDescent="0.25">
      <c r="A33" s="11" t="s">
        <v>223</v>
      </c>
      <c r="B33" s="11" t="s">
        <v>180</v>
      </c>
      <c r="C33" s="9" t="s">
        <v>298</v>
      </c>
      <c r="D33" s="7">
        <v>1</v>
      </c>
      <c r="E33" s="9">
        <v>7</v>
      </c>
      <c r="F33" s="12"/>
      <c r="G33" s="12"/>
    </row>
    <row r="34" spans="1:7" ht="15.75" customHeight="1" x14ac:dyDescent="0.25">
      <c r="A34" s="11" t="s">
        <v>224</v>
      </c>
      <c r="B34" s="11" t="s">
        <v>181</v>
      </c>
      <c r="C34" s="9" t="s">
        <v>298</v>
      </c>
      <c r="D34" s="7">
        <v>1</v>
      </c>
      <c r="E34" s="9">
        <v>11</v>
      </c>
      <c r="F34" s="12"/>
      <c r="G34" s="12"/>
    </row>
    <row r="35" spans="1:7" ht="15.75" customHeight="1" x14ac:dyDescent="0.25">
      <c r="A35" s="11" t="s">
        <v>225</v>
      </c>
      <c r="B35" s="11" t="s">
        <v>182</v>
      </c>
      <c r="C35" s="9" t="s">
        <v>298</v>
      </c>
      <c r="D35" s="7">
        <v>1</v>
      </c>
      <c r="E35" s="9">
        <v>8</v>
      </c>
      <c r="F35" s="12"/>
      <c r="G35" s="12"/>
    </row>
    <row r="36" spans="1:7" ht="15.75" customHeight="1" x14ac:dyDescent="0.25">
      <c r="A36" s="11" t="s">
        <v>226</v>
      </c>
      <c r="B36" s="11" t="s">
        <v>183</v>
      </c>
      <c r="C36" s="9" t="s">
        <v>298</v>
      </c>
      <c r="D36" s="7">
        <v>1</v>
      </c>
      <c r="E36" s="9">
        <v>8</v>
      </c>
      <c r="F36" s="12"/>
      <c r="G36" s="12"/>
    </row>
    <row r="37" spans="1:7" ht="15.75" customHeight="1" x14ac:dyDescent="0.25">
      <c r="A37" s="11" t="s">
        <v>269</v>
      </c>
      <c r="B37" s="11" t="s">
        <v>184</v>
      </c>
      <c r="C37" s="9" t="s">
        <v>298</v>
      </c>
      <c r="D37" s="7">
        <v>5</v>
      </c>
      <c r="E37" s="9">
        <v>12</v>
      </c>
      <c r="F37" s="13"/>
      <c r="G37" s="13"/>
    </row>
    <row r="38" spans="1:7" ht="15.75" customHeight="1" x14ac:dyDescent="0.25">
      <c r="A38" s="11" t="s">
        <v>270</v>
      </c>
      <c r="B38" s="11" t="s">
        <v>186</v>
      </c>
      <c r="C38" s="9" t="s">
        <v>298</v>
      </c>
      <c r="D38" s="7">
        <v>5</v>
      </c>
      <c r="E38" s="9">
        <v>10</v>
      </c>
      <c r="F38" s="13"/>
      <c r="G38" s="13"/>
    </row>
    <row r="39" spans="1:7" ht="15.75" customHeight="1" x14ac:dyDescent="0.25">
      <c r="A39" s="11" t="s">
        <v>271</v>
      </c>
      <c r="B39" s="11" t="s">
        <v>187</v>
      </c>
      <c r="C39" s="9" t="s">
        <v>298</v>
      </c>
      <c r="D39" s="7">
        <v>5</v>
      </c>
      <c r="E39" s="9">
        <v>13</v>
      </c>
      <c r="F39" s="13"/>
      <c r="G39" s="13"/>
    </row>
    <row r="40" spans="1:7" ht="15.75" customHeight="1" x14ac:dyDescent="0.25">
      <c r="A40" s="11" t="s">
        <v>227</v>
      </c>
      <c r="B40" s="11" t="s">
        <v>188</v>
      </c>
      <c r="C40" s="9" t="s">
        <v>298</v>
      </c>
      <c r="D40" s="7">
        <v>1</v>
      </c>
      <c r="E40" s="9">
        <v>6</v>
      </c>
      <c r="F40" s="12"/>
      <c r="G40" s="12"/>
    </row>
    <row r="41" spans="1:7" ht="15.75" customHeight="1" x14ac:dyDescent="0.25">
      <c r="A41" s="11" t="s">
        <v>272</v>
      </c>
      <c r="B41" s="11" t="s">
        <v>189</v>
      </c>
      <c r="C41" s="9" t="s">
        <v>298</v>
      </c>
      <c r="D41" s="7">
        <v>5</v>
      </c>
      <c r="E41" s="9">
        <v>12</v>
      </c>
      <c r="F41" s="13"/>
      <c r="G41" s="13"/>
    </row>
    <row r="42" spans="1:7" ht="15.75" customHeight="1" x14ac:dyDescent="0.25">
      <c r="A42" s="11" t="s">
        <v>273</v>
      </c>
      <c r="B42" s="11" t="s">
        <v>190</v>
      </c>
      <c r="C42" s="9" t="s">
        <v>298</v>
      </c>
      <c r="D42" s="7">
        <v>5</v>
      </c>
      <c r="E42" s="9">
        <v>16</v>
      </c>
      <c r="F42" s="13"/>
      <c r="G42" s="13"/>
    </row>
    <row r="43" spans="1:7" ht="15.75" customHeight="1" x14ac:dyDescent="0.25">
      <c r="A43" s="9" t="s">
        <v>265</v>
      </c>
      <c r="B43" s="11" t="s">
        <v>191</v>
      </c>
      <c r="C43" s="9" t="s">
        <v>298</v>
      </c>
      <c r="D43" s="7">
        <v>4</v>
      </c>
      <c r="E43" s="5">
        <v>6</v>
      </c>
      <c r="F43" s="14"/>
      <c r="G43" s="14"/>
    </row>
    <row r="44" spans="1:7" ht="15.75" customHeight="1" x14ac:dyDescent="0.25">
      <c r="A44" s="11" t="s">
        <v>228</v>
      </c>
      <c r="B44" s="11" t="s">
        <v>192</v>
      </c>
      <c r="C44" s="9" t="s">
        <v>298</v>
      </c>
      <c r="D44" s="7">
        <v>1</v>
      </c>
      <c r="E44" s="9">
        <v>19</v>
      </c>
      <c r="F44" s="12"/>
      <c r="G44" s="12"/>
    </row>
    <row r="45" spans="1:7" ht="15.75" customHeight="1" x14ac:dyDescent="0.25">
      <c r="A45" s="9" t="s">
        <v>266</v>
      </c>
      <c r="B45" s="11" t="s">
        <v>193</v>
      </c>
      <c r="C45" s="9" t="s">
        <v>298</v>
      </c>
      <c r="D45" s="7">
        <v>4</v>
      </c>
      <c r="E45" s="5">
        <v>8</v>
      </c>
      <c r="F45" s="14"/>
      <c r="G45" s="14"/>
    </row>
    <row r="46" spans="1:7" ht="15.75" customHeight="1" x14ac:dyDescent="0.25">
      <c r="A46" s="9" t="s">
        <v>266</v>
      </c>
      <c r="B46" s="11" t="s">
        <v>194</v>
      </c>
      <c r="C46" s="9" t="s">
        <v>298</v>
      </c>
      <c r="D46" s="7">
        <v>8</v>
      </c>
      <c r="E46" s="9">
        <v>6</v>
      </c>
      <c r="F46" s="13"/>
      <c r="G46" s="15"/>
    </row>
    <row r="47" spans="1:7" ht="15.75" customHeight="1" x14ac:dyDescent="0.25">
      <c r="A47" s="11" t="s">
        <v>274</v>
      </c>
      <c r="B47" s="11" t="s">
        <v>195</v>
      </c>
      <c r="C47" s="9" t="s">
        <v>298</v>
      </c>
      <c r="D47" s="7">
        <v>6</v>
      </c>
      <c r="E47" s="9">
        <v>5</v>
      </c>
      <c r="F47" s="13"/>
      <c r="G47" s="13"/>
    </row>
    <row r="48" spans="1:7" ht="15.75" customHeight="1" x14ac:dyDescent="0.25">
      <c r="A48" s="11" t="s">
        <v>275</v>
      </c>
      <c r="B48" s="11" t="s">
        <v>196</v>
      </c>
      <c r="C48" s="9" t="s">
        <v>298</v>
      </c>
      <c r="D48" s="7">
        <v>6</v>
      </c>
      <c r="E48" s="9">
        <v>14</v>
      </c>
      <c r="F48" s="13"/>
      <c r="G48" s="13"/>
    </row>
    <row r="49" spans="1:7" ht="15.75" customHeight="1" x14ac:dyDescent="0.25">
      <c r="A49" s="11" t="s">
        <v>276</v>
      </c>
      <c r="B49" s="11" t="s">
        <v>197</v>
      </c>
      <c r="C49" s="9" t="s">
        <v>298</v>
      </c>
      <c r="D49" s="7">
        <v>6</v>
      </c>
      <c r="E49" s="9">
        <v>14</v>
      </c>
      <c r="F49" s="13"/>
      <c r="G49" s="13"/>
    </row>
    <row r="50" spans="1:7" ht="15.75" customHeight="1" x14ac:dyDescent="0.25">
      <c r="A50" s="11" t="s">
        <v>277</v>
      </c>
      <c r="B50" s="11" t="s">
        <v>198</v>
      </c>
      <c r="C50" s="9" t="s">
        <v>298</v>
      </c>
      <c r="D50" s="7">
        <v>6</v>
      </c>
      <c r="E50" s="9">
        <v>7</v>
      </c>
      <c r="F50" s="13"/>
      <c r="G50" s="13"/>
    </row>
    <row r="51" spans="1:7" ht="15.75" customHeight="1" x14ac:dyDescent="0.25">
      <c r="A51" s="11" t="s">
        <v>278</v>
      </c>
      <c r="B51" s="11" t="s">
        <v>199</v>
      </c>
      <c r="C51" s="9" t="s">
        <v>298</v>
      </c>
      <c r="D51" s="7">
        <v>6</v>
      </c>
      <c r="E51" s="9">
        <v>5</v>
      </c>
      <c r="F51" s="13"/>
      <c r="G51" s="13"/>
    </row>
    <row r="52" spans="1:7" ht="15.75" customHeight="1" x14ac:dyDescent="0.25">
      <c r="A52" s="11" t="s">
        <v>286</v>
      </c>
      <c r="B52" s="11" t="s">
        <v>200</v>
      </c>
      <c r="C52" s="9" t="s">
        <v>298</v>
      </c>
      <c r="D52" s="7">
        <v>7</v>
      </c>
      <c r="E52" s="9">
        <v>18</v>
      </c>
      <c r="F52" s="13"/>
      <c r="G52" s="15"/>
    </row>
    <row r="53" spans="1:7" ht="15.75" customHeight="1" x14ac:dyDescent="0.25">
      <c r="A53" s="11" t="s">
        <v>287</v>
      </c>
      <c r="B53" s="11" t="s">
        <v>201</v>
      </c>
      <c r="C53" s="9" t="s">
        <v>298</v>
      </c>
      <c r="D53" s="7">
        <v>7</v>
      </c>
      <c r="E53" s="9">
        <v>2</v>
      </c>
      <c r="F53" s="13"/>
      <c r="G53" s="16"/>
    </row>
    <row r="54" spans="1:7" ht="15.75" customHeight="1" x14ac:dyDescent="0.65">
      <c r="A54" s="11" t="s">
        <v>288</v>
      </c>
      <c r="B54" s="11" t="s">
        <v>202</v>
      </c>
      <c r="C54" s="9" t="s">
        <v>298</v>
      </c>
      <c r="D54" s="7">
        <v>7</v>
      </c>
      <c r="E54" s="9">
        <v>11</v>
      </c>
      <c r="F54" s="13"/>
      <c r="G54" s="17"/>
    </row>
    <row r="55" spans="1:7" ht="15.75" customHeight="1" x14ac:dyDescent="0.25">
      <c r="A55" s="11" t="s">
        <v>289</v>
      </c>
      <c r="B55" s="11" t="s">
        <v>203</v>
      </c>
      <c r="C55" s="9" t="s">
        <v>298</v>
      </c>
      <c r="D55" s="7">
        <v>7</v>
      </c>
      <c r="E55" s="9">
        <v>3</v>
      </c>
      <c r="F55" s="13"/>
      <c r="G55" s="18"/>
    </row>
    <row r="56" spans="1:7" ht="15.75" customHeight="1" x14ac:dyDescent="0.25">
      <c r="A56" s="11" t="s">
        <v>262</v>
      </c>
      <c r="B56" s="11" t="s">
        <v>204</v>
      </c>
      <c r="C56" s="9" t="s">
        <v>298</v>
      </c>
      <c r="D56" s="7">
        <v>3</v>
      </c>
      <c r="E56" s="9">
        <v>14</v>
      </c>
      <c r="F56" s="13"/>
      <c r="G56" s="13"/>
    </row>
    <row r="57" spans="1:7" ht="15.75" customHeight="1" x14ac:dyDescent="0.25">
      <c r="A57" s="11" t="s">
        <v>290</v>
      </c>
      <c r="B57" s="11" t="s">
        <v>205</v>
      </c>
      <c r="C57" s="9" t="s">
        <v>298</v>
      </c>
      <c r="D57" s="7">
        <v>7</v>
      </c>
      <c r="E57" s="9">
        <v>18</v>
      </c>
      <c r="F57" s="13"/>
      <c r="G57" s="16"/>
    </row>
    <row r="58" spans="1:7" ht="15.75" customHeight="1" x14ac:dyDescent="0.25">
      <c r="A58" s="9" t="s">
        <v>267</v>
      </c>
      <c r="B58" s="11" t="s">
        <v>206</v>
      </c>
      <c r="C58" s="9" t="s">
        <v>298</v>
      </c>
      <c r="D58" s="7">
        <v>4</v>
      </c>
      <c r="E58" s="5">
        <v>7</v>
      </c>
      <c r="F58" s="14"/>
      <c r="G58" s="14"/>
    </row>
    <row r="59" spans="1:7" ht="15.75" customHeight="1" x14ac:dyDescent="0.25">
      <c r="A59" s="9" t="s">
        <v>268</v>
      </c>
      <c r="B59" s="11" t="s">
        <v>207</v>
      </c>
      <c r="C59" s="9" t="s">
        <v>298</v>
      </c>
      <c r="D59" s="7">
        <v>4</v>
      </c>
      <c r="E59" s="5">
        <v>9</v>
      </c>
      <c r="F59" s="14"/>
      <c r="G59" s="14"/>
    </row>
    <row r="60" spans="1:7" ht="15.75" customHeight="1" x14ac:dyDescent="0.25">
      <c r="A60" s="9" t="s">
        <v>292</v>
      </c>
      <c r="B60" s="11" t="s">
        <v>208</v>
      </c>
      <c r="C60" s="9" t="s">
        <v>298</v>
      </c>
      <c r="D60" s="7">
        <v>8</v>
      </c>
      <c r="E60" s="9">
        <v>6</v>
      </c>
      <c r="F60" s="13"/>
      <c r="G60" s="15"/>
    </row>
    <row r="61" spans="1:7" ht="15.75" customHeight="1" x14ac:dyDescent="0.25">
      <c r="A61" s="9" t="s">
        <v>293</v>
      </c>
      <c r="B61" s="11" t="s">
        <v>209</v>
      </c>
      <c r="C61" s="9" t="s">
        <v>298</v>
      </c>
      <c r="D61" s="7">
        <v>8</v>
      </c>
      <c r="E61" s="9">
        <v>7</v>
      </c>
      <c r="F61" s="13"/>
      <c r="G61" s="15"/>
    </row>
    <row r="62" spans="1:7" ht="15.75" customHeight="1" x14ac:dyDescent="0.25">
      <c r="A62" s="9" t="s">
        <v>294</v>
      </c>
      <c r="B62" s="11" t="s">
        <v>210</v>
      </c>
      <c r="C62" s="9" t="s">
        <v>298</v>
      </c>
      <c r="D62" s="7">
        <v>8</v>
      </c>
      <c r="E62" s="9">
        <v>9</v>
      </c>
      <c r="F62" s="13"/>
      <c r="G62" s="16"/>
    </row>
    <row r="63" spans="1:7" ht="15.75" customHeight="1" x14ac:dyDescent="0.65">
      <c r="A63" s="9" t="s">
        <v>295</v>
      </c>
      <c r="B63" s="11" t="s">
        <v>211</v>
      </c>
      <c r="C63" s="9" t="s">
        <v>298</v>
      </c>
      <c r="D63" s="7">
        <v>8</v>
      </c>
      <c r="E63" s="9">
        <v>4</v>
      </c>
      <c r="F63" s="13"/>
      <c r="G63" s="17"/>
    </row>
    <row r="64" spans="1:7" ht="15.75" customHeight="1" x14ac:dyDescent="0.25">
      <c r="A64" s="11" t="s">
        <v>229</v>
      </c>
      <c r="B64" s="11" t="s">
        <v>215</v>
      </c>
      <c r="C64" s="9" t="s">
        <v>298</v>
      </c>
      <c r="D64" s="7">
        <v>1</v>
      </c>
      <c r="E64" s="10">
        <v>5</v>
      </c>
      <c r="F64" s="12"/>
      <c r="G64" s="12"/>
    </row>
    <row r="65" spans="1:7" ht="15.75" customHeight="1" x14ac:dyDescent="0.25">
      <c r="A65" s="11" t="s">
        <v>252</v>
      </c>
      <c r="B65" s="11" t="s">
        <v>232</v>
      </c>
      <c r="C65" s="9" t="s">
        <v>298</v>
      </c>
      <c r="D65" s="7">
        <v>2</v>
      </c>
      <c r="E65" s="10">
        <v>1</v>
      </c>
      <c r="F65" s="12"/>
      <c r="G65" s="12"/>
    </row>
    <row r="66" spans="1:7" ht="15.75" customHeight="1" x14ac:dyDescent="0.25">
      <c r="A66" s="11" t="s">
        <v>253</v>
      </c>
      <c r="B66" s="11" t="s">
        <v>233</v>
      </c>
      <c r="C66" s="9" t="s">
        <v>298</v>
      </c>
      <c r="D66" s="7">
        <v>2</v>
      </c>
      <c r="E66" s="10">
        <v>1</v>
      </c>
      <c r="F66" s="12"/>
      <c r="G66" s="12"/>
    </row>
    <row r="67" spans="1:7" ht="15.75" customHeight="1" x14ac:dyDescent="0.25">
      <c r="A67" s="11" t="s">
        <v>254</v>
      </c>
      <c r="B67" s="11" t="s">
        <v>234</v>
      </c>
      <c r="C67" s="9" t="s">
        <v>298</v>
      </c>
      <c r="D67" s="7">
        <v>2</v>
      </c>
      <c r="E67" s="10">
        <v>3</v>
      </c>
      <c r="F67" s="12"/>
      <c r="G67" s="12"/>
    </row>
    <row r="68" spans="1:7" ht="15.75" customHeight="1" x14ac:dyDescent="0.25">
      <c r="A68" s="11" t="s">
        <v>263</v>
      </c>
      <c r="B68" s="11" t="s">
        <v>255</v>
      </c>
      <c r="C68" s="9" t="s">
        <v>298</v>
      </c>
      <c r="D68" s="7">
        <v>3</v>
      </c>
      <c r="E68" s="10">
        <v>1</v>
      </c>
      <c r="F68" s="13"/>
      <c r="G68" s="13"/>
    </row>
    <row r="69" spans="1:7" ht="15.75" customHeight="1" x14ac:dyDescent="0.25">
      <c r="A69" s="11" t="s">
        <v>264</v>
      </c>
      <c r="B69" s="11" t="s">
        <v>256</v>
      </c>
      <c r="C69" s="9" t="s">
        <v>298</v>
      </c>
      <c r="D69" s="7">
        <v>3</v>
      </c>
      <c r="E69" s="10">
        <v>3</v>
      </c>
      <c r="F69" s="13"/>
      <c r="G69" s="13"/>
    </row>
    <row r="70" spans="1:7" ht="15.75" customHeight="1" x14ac:dyDescent="0.25">
      <c r="A70" s="11" t="s">
        <v>281</v>
      </c>
      <c r="B70" s="11" t="s">
        <v>279</v>
      </c>
      <c r="C70" s="9" t="s">
        <v>298</v>
      </c>
      <c r="D70" s="7">
        <v>6</v>
      </c>
      <c r="E70" s="10">
        <v>3</v>
      </c>
      <c r="F70" s="13"/>
      <c r="G70" s="13"/>
    </row>
    <row r="71" spans="1:7" ht="15.75" customHeight="1" x14ac:dyDescent="0.25">
      <c r="A71" s="11" t="s">
        <v>282</v>
      </c>
      <c r="B71" s="11" t="s">
        <v>280</v>
      </c>
      <c r="C71" s="9" t="s">
        <v>298</v>
      </c>
      <c r="D71" s="7">
        <v>6</v>
      </c>
      <c r="E71" s="10">
        <v>2</v>
      </c>
      <c r="F71" s="13"/>
      <c r="G71" s="13"/>
    </row>
    <row r="72" spans="1:7" ht="15.75" customHeight="1" x14ac:dyDescent="0.25">
      <c r="A72" s="9" t="s">
        <v>296</v>
      </c>
      <c r="B72" s="11" t="s">
        <v>283</v>
      </c>
      <c r="C72" s="9" t="s">
        <v>298</v>
      </c>
      <c r="D72" s="7">
        <v>8</v>
      </c>
      <c r="E72" s="10">
        <v>3</v>
      </c>
      <c r="F72" s="13"/>
      <c r="G72" s="18"/>
    </row>
    <row r="73" spans="1:7" ht="15.75" customHeight="1" x14ac:dyDescent="0.25">
      <c r="A73" s="11" t="s">
        <v>291</v>
      </c>
      <c r="B73" s="11" t="s">
        <v>284</v>
      </c>
      <c r="C73" s="9" t="s">
        <v>298</v>
      </c>
      <c r="D73" s="7">
        <v>7</v>
      </c>
      <c r="E73" s="10">
        <v>1</v>
      </c>
      <c r="F73" s="13"/>
      <c r="G73" s="16"/>
    </row>
    <row r="74" spans="1:7" ht="15.75" x14ac:dyDescent="0.25">
      <c r="A74" s="11" t="s">
        <v>301</v>
      </c>
      <c r="B74" s="11" t="s">
        <v>151</v>
      </c>
      <c r="C74" s="9" t="s">
        <v>298</v>
      </c>
      <c r="D74" s="7">
        <v>0</v>
      </c>
      <c r="E74" s="10">
        <v>0</v>
      </c>
      <c r="F74" s="13"/>
      <c r="G74" s="16"/>
    </row>
    <row r="75" spans="1:7" ht="15.75" x14ac:dyDescent="0.25">
      <c r="A75" s="11" t="s">
        <v>302</v>
      </c>
      <c r="B75" s="11" t="s">
        <v>154</v>
      </c>
      <c r="C75" s="9" t="s">
        <v>298</v>
      </c>
      <c r="D75" s="7">
        <v>0</v>
      </c>
      <c r="E75" s="10">
        <v>0</v>
      </c>
      <c r="F75" s="13"/>
      <c r="G75" s="16"/>
    </row>
    <row r="76" spans="1:7" ht="15.75" x14ac:dyDescent="0.25">
      <c r="A76" s="11" t="s">
        <v>303</v>
      </c>
      <c r="B76" s="11" t="s">
        <v>179</v>
      </c>
      <c r="C76" s="9" t="s">
        <v>298</v>
      </c>
      <c r="D76" s="7">
        <v>0</v>
      </c>
      <c r="E76" s="10">
        <v>0</v>
      </c>
      <c r="F76" s="13"/>
      <c r="G76" s="16"/>
    </row>
    <row r="77" spans="1:7" ht="15.75" x14ac:dyDescent="0.25">
      <c r="A77" s="11" t="s">
        <v>304</v>
      </c>
      <c r="B77" s="11" t="s">
        <v>185</v>
      </c>
      <c r="C77" s="9" t="s">
        <v>298</v>
      </c>
      <c r="D77" s="7">
        <v>0</v>
      </c>
      <c r="E77" s="10">
        <v>0</v>
      </c>
      <c r="F77" s="13"/>
      <c r="G77" s="16"/>
    </row>
  </sheetData>
  <sortState xmlns:xlrd2="http://schemas.microsoft.com/office/spreadsheetml/2017/richdata2" ref="A2:G71">
    <sortCondition ref="A2"/>
  </sortState>
  <mergeCells count="1">
    <mergeCell ref="A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3"/>
  <sheetViews>
    <sheetView workbookViewId="0">
      <selection activeCell="C9" sqref="C9"/>
    </sheetView>
  </sheetViews>
  <sheetFormatPr defaultColWidth="14.7109375" defaultRowHeight="15" x14ac:dyDescent="0.2"/>
  <cols>
    <col min="1" max="1" width="7.42578125" style="1" bestFit="1" customWidth="1"/>
    <col min="2" max="2" width="14.140625" style="1" bestFit="1" customWidth="1"/>
    <col min="3" max="3" width="30.28515625" style="1" bestFit="1" customWidth="1"/>
    <col min="4" max="4" width="15.5703125" style="1" customWidth="1"/>
    <col min="5" max="5" width="14.140625" style="1" customWidth="1"/>
    <col min="6" max="6" width="12.42578125" style="1" bestFit="1" customWidth="1"/>
    <col min="7" max="7" width="9.5703125" style="1" customWidth="1"/>
    <col min="8" max="8" width="6.140625" style="1" customWidth="1"/>
    <col min="9" max="9" width="30" style="1" bestFit="1" customWidth="1"/>
    <col min="10" max="10" width="12.42578125" style="1" bestFit="1" customWidth="1"/>
    <col min="11" max="16384" width="14.7109375" style="1"/>
  </cols>
  <sheetData>
    <row r="2" spans="1:4" x14ac:dyDescent="0.2">
      <c r="A2" s="39" t="s">
        <v>533</v>
      </c>
      <c r="B2" s="39"/>
      <c r="C2" s="39"/>
      <c r="D2" s="39"/>
    </row>
    <row r="3" spans="1:4" ht="15.75" x14ac:dyDescent="0.25">
      <c r="A3" s="2" t="s">
        <v>0</v>
      </c>
      <c r="B3" s="2" t="s">
        <v>230</v>
      </c>
      <c r="C3" s="2" t="s">
        <v>1</v>
      </c>
      <c r="D3" s="2" t="s">
        <v>2</v>
      </c>
    </row>
    <row r="4" spans="1:4" x14ac:dyDescent="0.2">
      <c r="A4" s="5">
        <v>1</v>
      </c>
      <c r="B4" s="5" t="s">
        <v>363</v>
      </c>
      <c r="C4" s="3" t="s">
        <v>354</v>
      </c>
      <c r="D4" s="4">
        <v>1</v>
      </c>
    </row>
    <row r="5" spans="1:4" x14ac:dyDescent="0.2">
      <c r="A5" s="5">
        <v>2</v>
      </c>
      <c r="B5" s="5" t="s">
        <v>364</v>
      </c>
      <c r="C5" s="3" t="s">
        <v>83</v>
      </c>
      <c r="D5" s="4">
        <v>3</v>
      </c>
    </row>
    <row r="6" spans="1:4" x14ac:dyDescent="0.2">
      <c r="A6" s="5">
        <v>3</v>
      </c>
      <c r="B6" s="5" t="s">
        <v>365</v>
      </c>
      <c r="C6" s="3">
        <v>3309</v>
      </c>
      <c r="D6" s="4">
        <v>4</v>
      </c>
    </row>
    <row r="7" spans="1:4" x14ac:dyDescent="0.2">
      <c r="A7" s="5">
        <v>4</v>
      </c>
      <c r="B7" s="5" t="s">
        <v>366</v>
      </c>
      <c r="C7" s="3" t="s">
        <v>56</v>
      </c>
      <c r="D7" s="4">
        <v>3</v>
      </c>
    </row>
    <row r="8" spans="1:4" x14ac:dyDescent="0.2">
      <c r="A8" s="5">
        <v>5</v>
      </c>
      <c r="B8" s="5" t="s">
        <v>367</v>
      </c>
      <c r="C8" s="3" t="s">
        <v>357</v>
      </c>
      <c r="D8" s="4">
        <v>4</v>
      </c>
    </row>
    <row r="9" spans="1:4" x14ac:dyDescent="0.2">
      <c r="A9" s="5">
        <v>6</v>
      </c>
      <c r="B9" s="5" t="s">
        <v>368</v>
      </c>
      <c r="C9" s="3" t="s">
        <v>3</v>
      </c>
      <c r="D9" s="4">
        <v>4</v>
      </c>
    </row>
    <row r="10" spans="1:4" x14ac:dyDescent="0.2">
      <c r="A10" s="5">
        <v>7</v>
      </c>
      <c r="B10" s="5" t="s">
        <v>369</v>
      </c>
      <c r="C10" s="3" t="s">
        <v>4</v>
      </c>
      <c r="D10" s="4">
        <v>11</v>
      </c>
    </row>
    <row r="11" spans="1:4" x14ac:dyDescent="0.2">
      <c r="A11" s="5">
        <v>8</v>
      </c>
      <c r="B11" s="5" t="s">
        <v>370</v>
      </c>
      <c r="C11" s="3" t="s">
        <v>362</v>
      </c>
      <c r="D11" s="4">
        <v>1</v>
      </c>
    </row>
    <row r="12" spans="1:4" x14ac:dyDescent="0.2">
      <c r="A12" s="5">
        <v>9</v>
      </c>
      <c r="B12" s="5" t="s">
        <v>371</v>
      </c>
      <c r="C12" s="3" t="s">
        <v>33</v>
      </c>
      <c r="D12" s="4">
        <v>6</v>
      </c>
    </row>
    <row r="13" spans="1:4" x14ac:dyDescent="0.2">
      <c r="A13" s="5">
        <v>10</v>
      </c>
      <c r="B13" s="5" t="s">
        <v>372</v>
      </c>
      <c r="C13" s="3" t="s">
        <v>5</v>
      </c>
      <c r="D13" s="4">
        <v>1</v>
      </c>
    </row>
    <row r="14" spans="1:4" x14ac:dyDescent="0.2">
      <c r="A14" s="5">
        <v>11</v>
      </c>
      <c r="B14" s="5" t="s">
        <v>373</v>
      </c>
      <c r="C14" s="3">
        <v>6012</v>
      </c>
      <c r="D14" s="4">
        <v>4</v>
      </c>
    </row>
    <row r="15" spans="1:4" x14ac:dyDescent="0.2">
      <c r="A15" s="5">
        <v>12</v>
      </c>
      <c r="B15" s="5" t="s">
        <v>374</v>
      </c>
      <c r="C15" s="3" t="s">
        <v>6</v>
      </c>
      <c r="D15" s="4">
        <v>2</v>
      </c>
    </row>
    <row r="16" spans="1:4" x14ac:dyDescent="0.2">
      <c r="A16" s="5">
        <v>13</v>
      </c>
      <c r="B16" s="5" t="s">
        <v>375</v>
      </c>
      <c r="C16" s="3" t="s">
        <v>7</v>
      </c>
      <c r="D16" s="4">
        <v>1</v>
      </c>
    </row>
    <row r="17" spans="1:4" x14ac:dyDescent="0.2">
      <c r="A17" s="5">
        <v>14</v>
      </c>
      <c r="B17" s="5" t="s">
        <v>376</v>
      </c>
      <c r="C17" s="3" t="s">
        <v>8</v>
      </c>
      <c r="D17" s="4">
        <v>7</v>
      </c>
    </row>
    <row r="18" spans="1:4" x14ac:dyDescent="0.2">
      <c r="A18" s="5">
        <v>15</v>
      </c>
      <c r="B18" s="5" t="s">
        <v>377</v>
      </c>
      <c r="C18" s="3" t="s">
        <v>361</v>
      </c>
      <c r="D18" s="4">
        <v>1</v>
      </c>
    </row>
    <row r="19" spans="1:4" x14ac:dyDescent="0.2">
      <c r="A19" s="5">
        <v>16</v>
      </c>
      <c r="B19" s="5" t="s">
        <v>378</v>
      </c>
      <c r="C19" s="3" t="s">
        <v>9</v>
      </c>
      <c r="D19" s="4">
        <v>1</v>
      </c>
    </row>
    <row r="20" spans="1:4" x14ac:dyDescent="0.2">
      <c r="A20" s="5">
        <v>17</v>
      </c>
      <c r="B20" s="5" t="s">
        <v>379</v>
      </c>
      <c r="C20" s="3" t="s">
        <v>10</v>
      </c>
      <c r="D20" s="4">
        <v>0</v>
      </c>
    </row>
    <row r="21" spans="1:4" x14ac:dyDescent="0.2">
      <c r="A21" s="5">
        <v>18</v>
      </c>
      <c r="B21" s="5" t="s">
        <v>380</v>
      </c>
      <c r="C21" s="3" t="s">
        <v>11</v>
      </c>
      <c r="D21" s="4">
        <v>8</v>
      </c>
    </row>
    <row r="22" spans="1:4" x14ac:dyDescent="0.2">
      <c r="A22" s="5">
        <v>19</v>
      </c>
      <c r="B22" s="5" t="s">
        <v>381</v>
      </c>
      <c r="C22" s="3" t="s">
        <v>12</v>
      </c>
      <c r="D22" s="4">
        <v>6</v>
      </c>
    </row>
    <row r="23" spans="1:4" x14ac:dyDescent="0.2">
      <c r="A23" s="5">
        <v>20</v>
      </c>
      <c r="B23" s="5" t="s">
        <v>382</v>
      </c>
      <c r="C23" s="3">
        <v>6208</v>
      </c>
      <c r="D23" s="4">
        <v>6</v>
      </c>
    </row>
    <row r="24" spans="1:4" x14ac:dyDescent="0.2">
      <c r="A24" s="5">
        <v>21</v>
      </c>
      <c r="B24" s="5" t="s">
        <v>383</v>
      </c>
      <c r="C24" s="3" t="s">
        <v>66</v>
      </c>
      <c r="D24" s="4">
        <v>3</v>
      </c>
    </row>
    <row r="25" spans="1:4" x14ac:dyDescent="0.2">
      <c r="A25" s="5">
        <v>22</v>
      </c>
      <c r="B25" s="5" t="s">
        <v>384</v>
      </c>
      <c r="C25" s="3" t="s">
        <v>21</v>
      </c>
      <c r="D25" s="4">
        <v>0</v>
      </c>
    </row>
    <row r="26" spans="1:4" x14ac:dyDescent="0.2">
      <c r="A26" s="5">
        <v>23</v>
      </c>
      <c r="B26" s="5" t="s">
        <v>385</v>
      </c>
      <c r="C26" s="3">
        <v>6210</v>
      </c>
      <c r="D26" s="4">
        <v>5</v>
      </c>
    </row>
    <row r="27" spans="1:4" x14ac:dyDescent="0.2">
      <c r="A27" s="5">
        <v>24</v>
      </c>
      <c r="B27" s="5" t="s">
        <v>386</v>
      </c>
      <c r="C27" s="3" t="s">
        <v>13</v>
      </c>
      <c r="D27" s="4">
        <v>2</v>
      </c>
    </row>
    <row r="28" spans="1:4" x14ac:dyDescent="0.2">
      <c r="A28" s="5">
        <v>25</v>
      </c>
      <c r="B28" s="5" t="s">
        <v>387</v>
      </c>
      <c r="C28" s="3" t="s">
        <v>358</v>
      </c>
      <c r="D28" s="4">
        <v>6</v>
      </c>
    </row>
    <row r="29" spans="1:4" x14ac:dyDescent="0.2">
      <c r="A29" s="5">
        <v>26</v>
      </c>
      <c r="B29" s="5" t="s">
        <v>388</v>
      </c>
      <c r="C29" s="3" t="s">
        <v>58</v>
      </c>
      <c r="D29" s="4">
        <v>2</v>
      </c>
    </row>
    <row r="30" spans="1:4" x14ac:dyDescent="0.2">
      <c r="A30" s="5">
        <v>27</v>
      </c>
      <c r="B30" s="5" t="s">
        <v>389</v>
      </c>
      <c r="C30" s="3" t="s">
        <v>84</v>
      </c>
      <c r="D30" s="4">
        <v>3</v>
      </c>
    </row>
    <row r="31" spans="1:4" x14ac:dyDescent="0.2">
      <c r="A31" s="5">
        <v>28</v>
      </c>
      <c r="B31" s="5" t="s">
        <v>390</v>
      </c>
      <c r="C31" s="3" t="s">
        <v>15</v>
      </c>
      <c r="D31" s="4">
        <v>2</v>
      </c>
    </row>
    <row r="32" spans="1:4" x14ac:dyDescent="0.2">
      <c r="A32" s="5">
        <v>29</v>
      </c>
      <c r="B32" s="5" t="s">
        <v>391</v>
      </c>
      <c r="C32" s="3" t="s">
        <v>14</v>
      </c>
      <c r="D32" s="4">
        <v>2</v>
      </c>
    </row>
    <row r="33" spans="1:4" x14ac:dyDescent="0.2">
      <c r="A33" s="5">
        <v>30</v>
      </c>
      <c r="B33" s="5" t="s">
        <v>392</v>
      </c>
      <c r="C33" s="3" t="s">
        <v>16</v>
      </c>
      <c r="D33" s="4">
        <v>3</v>
      </c>
    </row>
    <row r="34" spans="1:4" x14ac:dyDescent="0.2">
      <c r="A34" s="5">
        <v>31</v>
      </c>
      <c r="B34" s="5" t="s">
        <v>393</v>
      </c>
      <c r="C34" s="3" t="s">
        <v>17</v>
      </c>
      <c r="D34" s="4">
        <v>6</v>
      </c>
    </row>
    <row r="35" spans="1:4" x14ac:dyDescent="0.2">
      <c r="A35" s="5">
        <v>32</v>
      </c>
      <c r="B35" s="5" t="s">
        <v>394</v>
      </c>
      <c r="C35" s="3" t="s">
        <v>213</v>
      </c>
      <c r="D35" s="4">
        <v>11</v>
      </c>
    </row>
    <row r="36" spans="1:4" x14ac:dyDescent="0.2">
      <c r="A36" s="5">
        <v>33</v>
      </c>
      <c r="B36" s="5" t="s">
        <v>395</v>
      </c>
      <c r="C36" s="3" t="s">
        <v>18</v>
      </c>
      <c r="D36" s="4">
        <v>7</v>
      </c>
    </row>
    <row r="37" spans="1:4" x14ac:dyDescent="0.2">
      <c r="A37" s="5">
        <v>34</v>
      </c>
      <c r="B37" s="5" t="s">
        <v>396</v>
      </c>
      <c r="C37" s="3" t="s">
        <v>214</v>
      </c>
      <c r="D37" s="4">
        <v>7</v>
      </c>
    </row>
    <row r="38" spans="1:4" x14ac:dyDescent="0.2">
      <c r="A38" s="5">
        <v>35</v>
      </c>
      <c r="B38" s="5" t="s">
        <v>397</v>
      </c>
      <c r="C38" s="3" t="s">
        <v>331</v>
      </c>
      <c r="D38" s="4">
        <v>9</v>
      </c>
    </row>
    <row r="39" spans="1:4" x14ac:dyDescent="0.2">
      <c r="A39" s="5">
        <v>36</v>
      </c>
      <c r="B39" s="5" t="s">
        <v>398</v>
      </c>
      <c r="C39" s="3" t="s">
        <v>19</v>
      </c>
      <c r="D39" s="4">
        <v>6</v>
      </c>
    </row>
    <row r="40" spans="1:4" x14ac:dyDescent="0.2">
      <c r="A40" s="5">
        <v>37</v>
      </c>
      <c r="B40" s="5" t="s">
        <v>399</v>
      </c>
      <c r="C40" s="3" t="s">
        <v>20</v>
      </c>
      <c r="D40" s="4">
        <v>1</v>
      </c>
    </row>
    <row r="41" spans="1:4" x14ac:dyDescent="0.2">
      <c r="A41" s="5">
        <v>38</v>
      </c>
      <c r="B41" s="5" t="s">
        <v>400</v>
      </c>
      <c r="C41" s="3" t="s">
        <v>22</v>
      </c>
      <c r="D41" s="4">
        <v>6</v>
      </c>
    </row>
    <row r="42" spans="1:4" x14ac:dyDescent="0.2">
      <c r="A42" s="5">
        <v>39</v>
      </c>
      <c r="B42" s="5" t="s">
        <v>401</v>
      </c>
      <c r="C42" s="3" t="s">
        <v>23</v>
      </c>
      <c r="D42" s="4">
        <v>2</v>
      </c>
    </row>
    <row r="43" spans="1:4" x14ac:dyDescent="0.2">
      <c r="A43" s="5">
        <v>40</v>
      </c>
      <c r="B43" s="5" t="s">
        <v>402</v>
      </c>
      <c r="C43" s="3" t="s">
        <v>24</v>
      </c>
      <c r="D43" s="4">
        <v>3</v>
      </c>
    </row>
    <row r="44" spans="1:4" x14ac:dyDescent="0.2">
      <c r="A44" s="5">
        <v>41</v>
      </c>
      <c r="B44" s="5" t="s">
        <v>403</v>
      </c>
      <c r="C44" s="3" t="s">
        <v>25</v>
      </c>
      <c r="D44" s="4">
        <v>8</v>
      </c>
    </row>
    <row r="45" spans="1:4" x14ac:dyDescent="0.2">
      <c r="A45" s="5">
        <v>42</v>
      </c>
      <c r="B45" s="5" t="s">
        <v>404</v>
      </c>
      <c r="C45" s="3" t="s">
        <v>85</v>
      </c>
      <c r="D45" s="4">
        <v>1</v>
      </c>
    </row>
    <row r="46" spans="1:4" x14ac:dyDescent="0.2">
      <c r="A46" s="5">
        <v>43</v>
      </c>
      <c r="B46" s="5" t="s">
        <v>405</v>
      </c>
      <c r="C46" s="3" t="s">
        <v>86</v>
      </c>
      <c r="D46" s="4">
        <v>3</v>
      </c>
    </row>
    <row r="47" spans="1:4" x14ac:dyDescent="0.2">
      <c r="A47" s="5">
        <v>44</v>
      </c>
      <c r="B47" s="5" t="s">
        <v>406</v>
      </c>
      <c r="C47" s="3" t="s">
        <v>101</v>
      </c>
      <c r="D47" s="4">
        <v>3</v>
      </c>
    </row>
    <row r="48" spans="1:4" x14ac:dyDescent="0.2">
      <c r="A48" s="5">
        <v>45</v>
      </c>
      <c r="B48" s="5" t="s">
        <v>407</v>
      </c>
      <c r="C48" s="3" t="s">
        <v>144</v>
      </c>
      <c r="D48" s="4">
        <v>2</v>
      </c>
    </row>
    <row r="49" spans="1:4" x14ac:dyDescent="0.2">
      <c r="A49" s="5">
        <v>46</v>
      </c>
      <c r="B49" s="5" t="s">
        <v>408</v>
      </c>
      <c r="C49" s="3" t="s">
        <v>114</v>
      </c>
      <c r="D49" s="4">
        <v>5</v>
      </c>
    </row>
    <row r="50" spans="1:4" x14ac:dyDescent="0.2">
      <c r="A50" s="5">
        <v>47</v>
      </c>
      <c r="B50" s="5" t="s">
        <v>409</v>
      </c>
      <c r="C50" s="3" t="s">
        <v>145</v>
      </c>
      <c r="D50" s="4">
        <v>2</v>
      </c>
    </row>
    <row r="51" spans="1:4" x14ac:dyDescent="0.2">
      <c r="A51" s="5">
        <v>48</v>
      </c>
      <c r="B51" s="5" t="s">
        <v>410</v>
      </c>
      <c r="C51" s="3" t="s">
        <v>126</v>
      </c>
      <c r="D51" s="4">
        <v>2</v>
      </c>
    </row>
    <row r="52" spans="1:4" x14ac:dyDescent="0.2">
      <c r="A52" s="5">
        <v>49</v>
      </c>
      <c r="B52" s="5" t="s">
        <v>411</v>
      </c>
      <c r="C52" s="3" t="s">
        <v>127</v>
      </c>
      <c r="D52" s="4">
        <v>2</v>
      </c>
    </row>
    <row r="53" spans="1:4" x14ac:dyDescent="0.2">
      <c r="A53" s="5">
        <v>50</v>
      </c>
      <c r="B53" s="5" t="s">
        <v>412</v>
      </c>
      <c r="C53" s="3" t="s">
        <v>128</v>
      </c>
      <c r="D53" s="4">
        <v>7</v>
      </c>
    </row>
    <row r="54" spans="1:4" x14ac:dyDescent="0.2">
      <c r="A54" s="5">
        <v>51</v>
      </c>
      <c r="B54" s="5" t="s">
        <v>413</v>
      </c>
      <c r="C54" s="3" t="s">
        <v>26</v>
      </c>
      <c r="D54" s="4">
        <v>3</v>
      </c>
    </row>
    <row r="55" spans="1:4" x14ac:dyDescent="0.2">
      <c r="A55" s="5">
        <v>52</v>
      </c>
      <c r="B55" s="5" t="s">
        <v>414</v>
      </c>
      <c r="C55" s="3">
        <v>6405</v>
      </c>
      <c r="D55" s="4">
        <v>1</v>
      </c>
    </row>
    <row r="56" spans="1:4" x14ac:dyDescent="0.2">
      <c r="A56" s="5">
        <v>53</v>
      </c>
      <c r="B56" s="5" t="s">
        <v>415</v>
      </c>
      <c r="C56" s="3">
        <v>6406</v>
      </c>
      <c r="D56" s="4">
        <v>2</v>
      </c>
    </row>
    <row r="57" spans="1:4" x14ac:dyDescent="0.2">
      <c r="A57" s="5">
        <v>54</v>
      </c>
      <c r="B57" s="5" t="s">
        <v>416</v>
      </c>
      <c r="C57" s="3">
        <v>6407</v>
      </c>
      <c r="D57" s="4">
        <v>1</v>
      </c>
    </row>
    <row r="58" spans="1:4" x14ac:dyDescent="0.2">
      <c r="A58" s="5">
        <v>55</v>
      </c>
      <c r="B58" s="5" t="s">
        <v>417</v>
      </c>
      <c r="C58" s="3" t="s">
        <v>90</v>
      </c>
      <c r="D58" s="4">
        <v>2</v>
      </c>
    </row>
    <row r="59" spans="1:4" x14ac:dyDescent="0.2">
      <c r="A59" s="5">
        <v>56</v>
      </c>
      <c r="B59" s="5" t="s">
        <v>418</v>
      </c>
      <c r="C59" s="3" t="s">
        <v>54</v>
      </c>
      <c r="D59" s="4">
        <v>8</v>
      </c>
    </row>
    <row r="60" spans="1:4" x14ac:dyDescent="0.2">
      <c r="A60" s="5">
        <v>57</v>
      </c>
      <c r="B60" s="5" t="s">
        <v>419</v>
      </c>
      <c r="C60" s="3" t="s">
        <v>50</v>
      </c>
      <c r="D60" s="4">
        <v>4</v>
      </c>
    </row>
    <row r="61" spans="1:4" x14ac:dyDescent="0.2">
      <c r="A61" s="5">
        <v>58</v>
      </c>
      <c r="B61" s="5" t="s">
        <v>420</v>
      </c>
      <c r="C61" s="3" t="s">
        <v>125</v>
      </c>
      <c r="D61" s="4">
        <v>2</v>
      </c>
    </row>
    <row r="62" spans="1:4" x14ac:dyDescent="0.2">
      <c r="A62" s="5">
        <v>59</v>
      </c>
      <c r="B62" s="5" t="s">
        <v>421</v>
      </c>
      <c r="C62" s="3" t="s">
        <v>96</v>
      </c>
      <c r="D62" s="4">
        <v>4</v>
      </c>
    </row>
    <row r="63" spans="1:4" x14ac:dyDescent="0.2">
      <c r="A63" s="5">
        <v>60</v>
      </c>
      <c r="B63" s="5" t="s">
        <v>422</v>
      </c>
      <c r="C63" s="3" t="s">
        <v>97</v>
      </c>
      <c r="D63" s="4">
        <v>5</v>
      </c>
    </row>
    <row r="64" spans="1:4" x14ac:dyDescent="0.2">
      <c r="A64" s="5">
        <v>61</v>
      </c>
      <c r="B64" s="5" t="s">
        <v>423</v>
      </c>
      <c r="C64" s="3" t="s">
        <v>100</v>
      </c>
      <c r="D64" s="4">
        <v>2</v>
      </c>
    </row>
    <row r="65" spans="1:4" x14ac:dyDescent="0.2">
      <c r="A65" s="5">
        <v>62</v>
      </c>
      <c r="B65" s="5" t="s">
        <v>424</v>
      </c>
      <c r="C65" s="3" t="s">
        <v>129</v>
      </c>
      <c r="D65" s="4">
        <v>2</v>
      </c>
    </row>
    <row r="66" spans="1:4" x14ac:dyDescent="0.2">
      <c r="A66" s="5">
        <v>63</v>
      </c>
      <c r="B66" s="5" t="s">
        <v>425</v>
      </c>
      <c r="C66" s="3" t="s">
        <v>118</v>
      </c>
      <c r="D66" s="4">
        <v>1</v>
      </c>
    </row>
    <row r="67" spans="1:4" x14ac:dyDescent="0.2">
      <c r="A67" s="5">
        <v>64</v>
      </c>
      <c r="B67" s="5" t="s">
        <v>426</v>
      </c>
      <c r="C67" s="3" t="s">
        <v>118</v>
      </c>
      <c r="D67" s="4">
        <v>0</v>
      </c>
    </row>
    <row r="68" spans="1:4" x14ac:dyDescent="0.2">
      <c r="A68" s="5">
        <v>65</v>
      </c>
      <c r="B68" s="5" t="s">
        <v>427</v>
      </c>
      <c r="C68" s="3" t="s">
        <v>122</v>
      </c>
      <c r="D68" s="4">
        <v>2</v>
      </c>
    </row>
    <row r="69" spans="1:4" x14ac:dyDescent="0.2">
      <c r="A69" s="5">
        <v>66</v>
      </c>
      <c r="B69" s="5" t="s">
        <v>428</v>
      </c>
      <c r="C69" s="3" t="s">
        <v>132</v>
      </c>
      <c r="D69" s="4">
        <v>2</v>
      </c>
    </row>
    <row r="70" spans="1:4" x14ac:dyDescent="0.2">
      <c r="A70" s="5">
        <v>67</v>
      </c>
      <c r="B70" s="5" t="s">
        <v>429</v>
      </c>
      <c r="C70" s="3" t="s">
        <v>121</v>
      </c>
      <c r="D70" s="4">
        <v>4</v>
      </c>
    </row>
    <row r="71" spans="1:4" x14ac:dyDescent="0.2">
      <c r="A71" s="5">
        <v>68</v>
      </c>
      <c r="B71" s="5" t="s">
        <v>430</v>
      </c>
      <c r="C71" s="3" t="s">
        <v>119</v>
      </c>
      <c r="D71" s="4">
        <v>4</v>
      </c>
    </row>
    <row r="72" spans="1:4" x14ac:dyDescent="0.2">
      <c r="A72" s="5">
        <v>69</v>
      </c>
      <c r="B72" s="5" t="s">
        <v>431</v>
      </c>
      <c r="C72" s="3" t="s">
        <v>113</v>
      </c>
      <c r="D72" s="4">
        <v>1</v>
      </c>
    </row>
    <row r="73" spans="1:4" x14ac:dyDescent="0.2">
      <c r="A73" s="5">
        <v>70</v>
      </c>
      <c r="B73" s="5" t="s">
        <v>432</v>
      </c>
      <c r="C73" s="3" t="s">
        <v>80</v>
      </c>
      <c r="D73" s="4">
        <v>1</v>
      </c>
    </row>
    <row r="74" spans="1:4" x14ac:dyDescent="0.2">
      <c r="A74" s="5">
        <v>71</v>
      </c>
      <c r="B74" s="5" t="s">
        <v>433</v>
      </c>
      <c r="C74" s="3" t="s">
        <v>81</v>
      </c>
      <c r="D74" s="4">
        <v>3</v>
      </c>
    </row>
    <row r="75" spans="1:4" x14ac:dyDescent="0.2">
      <c r="A75" s="5">
        <v>72</v>
      </c>
      <c r="B75" s="5" t="s">
        <v>434</v>
      </c>
      <c r="C75" s="3" t="s">
        <v>98</v>
      </c>
      <c r="D75" s="4">
        <v>2</v>
      </c>
    </row>
    <row r="76" spans="1:4" x14ac:dyDescent="0.2">
      <c r="A76" s="5">
        <v>73</v>
      </c>
      <c r="B76" s="5" t="s">
        <v>435</v>
      </c>
      <c r="C76" s="3" t="s">
        <v>99</v>
      </c>
      <c r="D76" s="4">
        <v>10</v>
      </c>
    </row>
    <row r="77" spans="1:4" x14ac:dyDescent="0.2">
      <c r="A77" s="5">
        <v>74</v>
      </c>
      <c r="B77" s="5" t="s">
        <v>436</v>
      </c>
      <c r="C77" s="3" t="s">
        <v>116</v>
      </c>
      <c r="D77" s="4">
        <v>3</v>
      </c>
    </row>
    <row r="78" spans="1:4" x14ac:dyDescent="0.2">
      <c r="A78" s="5">
        <v>75</v>
      </c>
      <c r="B78" s="5" t="s">
        <v>437</v>
      </c>
      <c r="C78" s="3" t="s">
        <v>94</v>
      </c>
      <c r="D78" s="4">
        <v>0</v>
      </c>
    </row>
    <row r="79" spans="1:4" x14ac:dyDescent="0.2">
      <c r="A79" s="5">
        <v>76</v>
      </c>
      <c r="B79" s="5" t="s">
        <v>438</v>
      </c>
      <c r="C79" s="3" t="s">
        <v>356</v>
      </c>
      <c r="D79" s="4">
        <v>1</v>
      </c>
    </row>
    <row r="80" spans="1:4" x14ac:dyDescent="0.2">
      <c r="A80" s="5">
        <v>77</v>
      </c>
      <c r="B80" s="5" t="s">
        <v>439</v>
      </c>
      <c r="C80" s="3" t="s">
        <v>147</v>
      </c>
      <c r="D80" s="4">
        <v>2</v>
      </c>
    </row>
    <row r="81" spans="1:4" x14ac:dyDescent="0.2">
      <c r="A81" s="5">
        <v>78</v>
      </c>
      <c r="B81" s="5" t="s">
        <v>440</v>
      </c>
      <c r="C81" s="3" t="s">
        <v>52</v>
      </c>
      <c r="D81" s="4">
        <v>0</v>
      </c>
    </row>
    <row r="82" spans="1:4" x14ac:dyDescent="0.2">
      <c r="A82" s="5">
        <v>79</v>
      </c>
      <c r="B82" s="5" t="s">
        <v>441</v>
      </c>
      <c r="C82" s="3" t="s">
        <v>103</v>
      </c>
      <c r="D82" s="4">
        <v>0</v>
      </c>
    </row>
    <row r="83" spans="1:4" x14ac:dyDescent="0.2">
      <c r="A83" s="5">
        <v>80</v>
      </c>
      <c r="B83" s="5" t="s">
        <v>442</v>
      </c>
      <c r="C83" s="3" t="s">
        <v>102</v>
      </c>
      <c r="D83" s="4">
        <v>2</v>
      </c>
    </row>
    <row r="84" spans="1:4" x14ac:dyDescent="0.2">
      <c r="A84" s="5">
        <v>81</v>
      </c>
      <c r="B84" s="5" t="s">
        <v>443</v>
      </c>
      <c r="C84" s="3" t="s">
        <v>360</v>
      </c>
      <c r="D84" s="4">
        <v>2</v>
      </c>
    </row>
    <row r="85" spans="1:4" x14ac:dyDescent="0.2">
      <c r="A85" s="5">
        <v>82</v>
      </c>
      <c r="B85" s="5" t="s">
        <v>444</v>
      </c>
      <c r="C85" s="3" t="s">
        <v>124</v>
      </c>
      <c r="D85" s="4">
        <v>1</v>
      </c>
    </row>
    <row r="86" spans="1:4" x14ac:dyDescent="0.2">
      <c r="A86" s="5">
        <v>83</v>
      </c>
      <c r="B86" s="5" t="s">
        <v>445</v>
      </c>
      <c r="C86" s="3" t="s">
        <v>137</v>
      </c>
      <c r="D86" s="4">
        <v>0</v>
      </c>
    </row>
    <row r="87" spans="1:4" x14ac:dyDescent="0.2">
      <c r="A87" s="5">
        <v>84</v>
      </c>
      <c r="B87" s="5" t="s">
        <v>446</v>
      </c>
      <c r="C87" s="3" t="s">
        <v>108</v>
      </c>
      <c r="D87" s="4">
        <v>1</v>
      </c>
    </row>
    <row r="88" spans="1:4" x14ac:dyDescent="0.2">
      <c r="A88" s="5">
        <v>85</v>
      </c>
      <c r="B88" s="5" t="s">
        <v>447</v>
      </c>
      <c r="C88" s="3" t="s">
        <v>139</v>
      </c>
      <c r="D88" s="4">
        <v>11</v>
      </c>
    </row>
    <row r="89" spans="1:4" x14ac:dyDescent="0.2">
      <c r="A89" s="5">
        <v>86</v>
      </c>
      <c r="B89" s="5" t="s">
        <v>448</v>
      </c>
      <c r="C89" s="3" t="s">
        <v>67</v>
      </c>
      <c r="D89" s="4">
        <v>1</v>
      </c>
    </row>
    <row r="90" spans="1:4" x14ac:dyDescent="0.2">
      <c r="A90" s="5">
        <v>87</v>
      </c>
      <c r="B90" s="5" t="s">
        <v>449</v>
      </c>
      <c r="C90" s="3" t="s">
        <v>117</v>
      </c>
      <c r="D90" s="4">
        <v>5</v>
      </c>
    </row>
    <row r="91" spans="1:4" x14ac:dyDescent="0.2">
      <c r="A91" s="5">
        <v>88</v>
      </c>
      <c r="B91" s="5" t="s">
        <v>450</v>
      </c>
      <c r="C91" s="3" t="s">
        <v>130</v>
      </c>
      <c r="D91" s="4">
        <v>1</v>
      </c>
    </row>
    <row r="92" spans="1:4" x14ac:dyDescent="0.2">
      <c r="A92" s="5">
        <v>89</v>
      </c>
      <c r="B92" s="5" t="s">
        <v>451</v>
      </c>
      <c r="C92" s="3" t="s">
        <v>120</v>
      </c>
      <c r="D92" s="4">
        <v>2</v>
      </c>
    </row>
    <row r="93" spans="1:4" x14ac:dyDescent="0.2">
      <c r="A93" s="5">
        <v>90</v>
      </c>
      <c r="B93" s="5" t="s">
        <v>452</v>
      </c>
      <c r="C93" s="3" t="s">
        <v>131</v>
      </c>
      <c r="D93" s="4">
        <v>1</v>
      </c>
    </row>
    <row r="94" spans="1:4" x14ac:dyDescent="0.2">
      <c r="A94" s="5">
        <v>91</v>
      </c>
      <c r="B94" s="5" t="s">
        <v>453</v>
      </c>
      <c r="C94" s="3" t="s">
        <v>141</v>
      </c>
      <c r="D94" s="4">
        <v>5</v>
      </c>
    </row>
    <row r="95" spans="1:4" x14ac:dyDescent="0.2">
      <c r="A95" s="5">
        <v>92</v>
      </c>
      <c r="B95" s="5" t="s">
        <v>454</v>
      </c>
      <c r="C95" s="3" t="s">
        <v>142</v>
      </c>
      <c r="D95" s="4">
        <v>2</v>
      </c>
    </row>
    <row r="96" spans="1:4" x14ac:dyDescent="0.2">
      <c r="A96" s="5">
        <v>93</v>
      </c>
      <c r="B96" s="5" t="s">
        <v>455</v>
      </c>
      <c r="C96" s="3" t="s">
        <v>140</v>
      </c>
      <c r="D96" s="4">
        <v>3</v>
      </c>
    </row>
    <row r="97" spans="1:4" x14ac:dyDescent="0.2">
      <c r="A97" s="5">
        <v>94</v>
      </c>
      <c r="B97" s="5" t="s">
        <v>456</v>
      </c>
      <c r="C97" s="3" t="s">
        <v>146</v>
      </c>
      <c r="D97" s="4">
        <v>1</v>
      </c>
    </row>
    <row r="98" spans="1:4" x14ac:dyDescent="0.2">
      <c r="A98" s="5">
        <v>95</v>
      </c>
      <c r="B98" s="5" t="s">
        <v>457</v>
      </c>
      <c r="C98" s="3" t="s">
        <v>107</v>
      </c>
      <c r="D98" s="4">
        <v>3</v>
      </c>
    </row>
    <row r="99" spans="1:4" x14ac:dyDescent="0.2">
      <c r="A99" s="5">
        <v>96</v>
      </c>
      <c r="B99" s="5" t="s">
        <v>458</v>
      </c>
      <c r="C99" s="3" t="s">
        <v>148</v>
      </c>
      <c r="D99" s="4">
        <v>0</v>
      </c>
    </row>
    <row r="100" spans="1:4" x14ac:dyDescent="0.2">
      <c r="A100" s="5">
        <v>97</v>
      </c>
      <c r="B100" s="5" t="s">
        <v>459</v>
      </c>
      <c r="C100" s="3" t="s">
        <v>143</v>
      </c>
      <c r="D100" s="4">
        <v>0</v>
      </c>
    </row>
    <row r="101" spans="1:4" x14ac:dyDescent="0.2">
      <c r="A101" s="5">
        <v>98</v>
      </c>
      <c r="B101" s="5" t="s">
        <v>460</v>
      </c>
      <c r="C101" s="3" t="s">
        <v>51</v>
      </c>
      <c r="D101" s="4">
        <v>0</v>
      </c>
    </row>
    <row r="102" spans="1:4" x14ac:dyDescent="0.2">
      <c r="A102" s="5">
        <v>99</v>
      </c>
      <c r="B102" s="5" t="s">
        <v>461</v>
      </c>
      <c r="C102" s="3" t="s">
        <v>136</v>
      </c>
      <c r="D102" s="4">
        <v>2</v>
      </c>
    </row>
    <row r="103" spans="1:4" x14ac:dyDescent="0.2">
      <c r="A103" s="5">
        <v>100</v>
      </c>
      <c r="B103" s="5" t="s">
        <v>462</v>
      </c>
      <c r="C103" s="3" t="s">
        <v>34</v>
      </c>
      <c r="D103" s="4">
        <v>2</v>
      </c>
    </row>
    <row r="104" spans="1:4" x14ac:dyDescent="0.2">
      <c r="A104" s="5">
        <v>101</v>
      </c>
      <c r="B104" s="5" t="s">
        <v>463</v>
      </c>
      <c r="C104" s="3" t="s">
        <v>35</v>
      </c>
      <c r="D104" s="4">
        <v>3</v>
      </c>
    </row>
    <row r="105" spans="1:4" x14ac:dyDescent="0.2">
      <c r="A105" s="5">
        <v>102</v>
      </c>
      <c r="B105" s="5" t="s">
        <v>464</v>
      </c>
      <c r="C105" s="3" t="s">
        <v>36</v>
      </c>
      <c r="D105" s="4">
        <v>4</v>
      </c>
    </row>
    <row r="106" spans="1:4" x14ac:dyDescent="0.2">
      <c r="A106" s="5">
        <v>103</v>
      </c>
      <c r="B106" s="5" t="s">
        <v>465</v>
      </c>
      <c r="C106" s="3" t="s">
        <v>38</v>
      </c>
      <c r="D106" s="4">
        <v>7</v>
      </c>
    </row>
    <row r="107" spans="1:4" x14ac:dyDescent="0.2">
      <c r="A107" s="5">
        <v>104</v>
      </c>
      <c r="B107" s="5" t="s">
        <v>466</v>
      </c>
      <c r="C107" s="3" t="s">
        <v>39</v>
      </c>
      <c r="D107" s="4">
        <v>0</v>
      </c>
    </row>
    <row r="108" spans="1:4" x14ac:dyDescent="0.2">
      <c r="A108" s="5">
        <v>105</v>
      </c>
      <c r="B108" s="5" t="s">
        <v>467</v>
      </c>
      <c r="C108" s="3" t="s">
        <v>40</v>
      </c>
      <c r="D108" s="4">
        <v>4</v>
      </c>
    </row>
    <row r="109" spans="1:4" x14ac:dyDescent="0.2">
      <c r="A109" s="5">
        <v>106</v>
      </c>
      <c r="B109" s="5" t="s">
        <v>468</v>
      </c>
      <c r="C109" s="3" t="s">
        <v>37</v>
      </c>
      <c r="D109" s="4">
        <v>12</v>
      </c>
    </row>
    <row r="110" spans="1:4" x14ac:dyDescent="0.2">
      <c r="A110" s="5">
        <v>107</v>
      </c>
      <c r="B110" s="5" t="s">
        <v>469</v>
      </c>
      <c r="C110" s="3">
        <v>31316</v>
      </c>
      <c r="D110" s="4">
        <v>3</v>
      </c>
    </row>
    <row r="111" spans="1:4" x14ac:dyDescent="0.2">
      <c r="A111" s="5">
        <v>108</v>
      </c>
      <c r="B111" s="5" t="s">
        <v>470</v>
      </c>
      <c r="C111" s="3" t="s">
        <v>41</v>
      </c>
      <c r="D111" s="4">
        <v>1</v>
      </c>
    </row>
    <row r="112" spans="1:4" x14ac:dyDescent="0.2">
      <c r="A112" s="5">
        <v>109</v>
      </c>
      <c r="B112" s="5" t="s">
        <v>471</v>
      </c>
      <c r="C112" s="3" t="s">
        <v>42</v>
      </c>
      <c r="D112" s="4">
        <v>1</v>
      </c>
    </row>
    <row r="113" spans="1:4" x14ac:dyDescent="0.2">
      <c r="A113" s="5">
        <v>110</v>
      </c>
      <c r="B113" s="5" t="s">
        <v>472</v>
      </c>
      <c r="C113" s="3" t="s">
        <v>43</v>
      </c>
      <c r="D113" s="4">
        <v>5</v>
      </c>
    </row>
    <row r="114" spans="1:4" x14ac:dyDescent="0.2">
      <c r="A114" s="5">
        <v>111</v>
      </c>
      <c r="B114" s="5" t="s">
        <v>473</v>
      </c>
      <c r="C114" s="3" t="s">
        <v>95</v>
      </c>
      <c r="D114" s="4">
        <v>2</v>
      </c>
    </row>
    <row r="115" spans="1:4" x14ac:dyDescent="0.2">
      <c r="A115" s="5">
        <v>112</v>
      </c>
      <c r="B115" s="5" t="s">
        <v>474</v>
      </c>
      <c r="C115" s="3" t="s">
        <v>89</v>
      </c>
      <c r="D115" s="4">
        <v>3</v>
      </c>
    </row>
    <row r="116" spans="1:4" x14ac:dyDescent="0.2">
      <c r="A116" s="5">
        <v>113</v>
      </c>
      <c r="B116" s="5" t="s">
        <v>475</v>
      </c>
      <c r="C116" s="3" t="s">
        <v>134</v>
      </c>
      <c r="D116" s="4">
        <v>2</v>
      </c>
    </row>
    <row r="117" spans="1:4" x14ac:dyDescent="0.2">
      <c r="A117" s="5">
        <v>114</v>
      </c>
      <c r="B117" s="5" t="s">
        <v>476</v>
      </c>
      <c r="C117" s="3" t="s">
        <v>133</v>
      </c>
      <c r="D117" s="4">
        <v>2</v>
      </c>
    </row>
    <row r="118" spans="1:4" x14ac:dyDescent="0.2">
      <c r="A118" s="5">
        <v>115</v>
      </c>
      <c r="B118" s="5" t="s">
        <v>477</v>
      </c>
      <c r="C118" s="3">
        <v>51105</v>
      </c>
      <c r="D118" s="4">
        <v>5</v>
      </c>
    </row>
    <row r="119" spans="1:4" x14ac:dyDescent="0.2">
      <c r="A119" s="5">
        <v>116</v>
      </c>
      <c r="B119" s="5" t="s">
        <v>478</v>
      </c>
      <c r="C119" s="3">
        <v>51211</v>
      </c>
      <c r="D119" s="4">
        <v>1</v>
      </c>
    </row>
    <row r="120" spans="1:4" x14ac:dyDescent="0.2">
      <c r="A120" s="5">
        <v>117</v>
      </c>
      <c r="B120" s="5" t="s">
        <v>479</v>
      </c>
      <c r="C120" s="3">
        <v>51212</v>
      </c>
      <c r="D120" s="4">
        <v>8</v>
      </c>
    </row>
    <row r="121" spans="1:4" x14ac:dyDescent="0.2">
      <c r="A121" s="5">
        <v>118</v>
      </c>
      <c r="B121" s="5" t="s">
        <v>480</v>
      </c>
      <c r="C121" s="3" t="s">
        <v>110</v>
      </c>
      <c r="D121" s="4">
        <v>1</v>
      </c>
    </row>
    <row r="122" spans="1:4" x14ac:dyDescent="0.2">
      <c r="A122" s="5">
        <v>119</v>
      </c>
      <c r="B122" s="5" t="s">
        <v>481</v>
      </c>
      <c r="C122" s="3" t="s">
        <v>109</v>
      </c>
      <c r="D122" s="4">
        <v>1</v>
      </c>
    </row>
    <row r="123" spans="1:4" x14ac:dyDescent="0.2">
      <c r="A123" s="5">
        <v>120</v>
      </c>
      <c r="B123" s="5" t="s">
        <v>482</v>
      </c>
      <c r="C123" s="3" t="s">
        <v>30</v>
      </c>
      <c r="D123" s="4">
        <v>2</v>
      </c>
    </row>
    <row r="124" spans="1:4" x14ac:dyDescent="0.2">
      <c r="A124" s="5">
        <v>121</v>
      </c>
      <c r="B124" s="5" t="s">
        <v>483</v>
      </c>
      <c r="C124" s="3" t="s">
        <v>87</v>
      </c>
      <c r="D124" s="4">
        <v>8</v>
      </c>
    </row>
    <row r="125" spans="1:4" x14ac:dyDescent="0.2">
      <c r="A125" s="5">
        <v>122</v>
      </c>
      <c r="B125" s="5" t="s">
        <v>484</v>
      </c>
      <c r="C125" s="3" t="s">
        <v>70</v>
      </c>
      <c r="D125" s="4">
        <v>0</v>
      </c>
    </row>
    <row r="126" spans="1:4" x14ac:dyDescent="0.2">
      <c r="A126" s="5">
        <v>123</v>
      </c>
      <c r="B126" s="5" t="s">
        <v>485</v>
      </c>
      <c r="C126" s="3" t="s">
        <v>88</v>
      </c>
      <c r="D126" s="4">
        <v>1</v>
      </c>
    </row>
    <row r="127" spans="1:4" x14ac:dyDescent="0.2">
      <c r="A127" s="5">
        <v>124</v>
      </c>
      <c r="B127" s="5" t="s">
        <v>486</v>
      </c>
      <c r="C127" s="3" t="s">
        <v>355</v>
      </c>
      <c r="D127" s="4">
        <v>3</v>
      </c>
    </row>
    <row r="128" spans="1:4" x14ac:dyDescent="0.2">
      <c r="A128" s="5">
        <v>125</v>
      </c>
      <c r="B128" s="5" t="s">
        <v>487</v>
      </c>
      <c r="C128" s="3" t="s">
        <v>47</v>
      </c>
      <c r="D128" s="4">
        <v>4</v>
      </c>
    </row>
    <row r="129" spans="1:4" x14ac:dyDescent="0.2">
      <c r="A129" s="5">
        <v>126</v>
      </c>
      <c r="B129" s="5" t="s">
        <v>488</v>
      </c>
      <c r="C129" s="3" t="s">
        <v>44</v>
      </c>
      <c r="D129" s="4">
        <v>1</v>
      </c>
    </row>
    <row r="130" spans="1:4" x14ac:dyDescent="0.2">
      <c r="A130" s="5">
        <v>127</v>
      </c>
      <c r="B130" s="5" t="s">
        <v>489</v>
      </c>
      <c r="C130" s="3" t="s">
        <v>48</v>
      </c>
      <c r="D130" s="4">
        <v>1</v>
      </c>
    </row>
    <row r="131" spans="1:4" x14ac:dyDescent="0.2">
      <c r="A131" s="5">
        <v>128</v>
      </c>
      <c r="B131" s="5" t="s">
        <v>490</v>
      </c>
      <c r="C131" s="3" t="s">
        <v>104</v>
      </c>
      <c r="D131" s="4">
        <v>3</v>
      </c>
    </row>
    <row r="132" spans="1:4" x14ac:dyDescent="0.2">
      <c r="A132" s="5">
        <v>129</v>
      </c>
      <c r="B132" s="5" t="s">
        <v>491</v>
      </c>
      <c r="C132" s="3" t="s">
        <v>68</v>
      </c>
      <c r="D132" s="4">
        <v>0</v>
      </c>
    </row>
    <row r="133" spans="1:4" x14ac:dyDescent="0.2">
      <c r="A133" s="5">
        <v>130</v>
      </c>
      <c r="B133" s="5" t="s">
        <v>492</v>
      </c>
      <c r="C133" s="3" t="s">
        <v>82</v>
      </c>
      <c r="D133" s="4">
        <v>1</v>
      </c>
    </row>
    <row r="134" spans="1:4" x14ac:dyDescent="0.2">
      <c r="A134" s="5">
        <v>131</v>
      </c>
      <c r="B134" s="5" t="s">
        <v>493</v>
      </c>
      <c r="C134" s="3" t="s">
        <v>135</v>
      </c>
      <c r="D134" s="4">
        <v>0</v>
      </c>
    </row>
    <row r="135" spans="1:4" x14ac:dyDescent="0.2">
      <c r="A135" s="5">
        <v>132</v>
      </c>
      <c r="B135" s="5" t="s">
        <v>494</v>
      </c>
      <c r="C135" s="3" t="s">
        <v>115</v>
      </c>
      <c r="D135" s="4">
        <v>0</v>
      </c>
    </row>
    <row r="136" spans="1:4" x14ac:dyDescent="0.2">
      <c r="A136" s="5">
        <v>133</v>
      </c>
      <c r="B136" s="5" t="s">
        <v>495</v>
      </c>
      <c r="C136" s="3" t="s">
        <v>111</v>
      </c>
      <c r="D136" s="4">
        <v>0</v>
      </c>
    </row>
    <row r="137" spans="1:4" x14ac:dyDescent="0.2">
      <c r="A137" s="5">
        <v>134</v>
      </c>
      <c r="B137" s="5" t="s">
        <v>496</v>
      </c>
      <c r="C137" s="3" t="s">
        <v>123</v>
      </c>
      <c r="D137" s="4">
        <v>4</v>
      </c>
    </row>
    <row r="138" spans="1:4" x14ac:dyDescent="0.2">
      <c r="A138" s="5">
        <v>135</v>
      </c>
      <c r="B138" s="5" t="s">
        <v>497</v>
      </c>
      <c r="C138" s="3" t="s">
        <v>53</v>
      </c>
      <c r="D138" s="4">
        <v>0</v>
      </c>
    </row>
    <row r="139" spans="1:4" x14ac:dyDescent="0.2">
      <c r="A139" s="5">
        <v>136</v>
      </c>
      <c r="B139" s="5" t="s">
        <v>498</v>
      </c>
      <c r="C139" s="3" t="s">
        <v>93</v>
      </c>
      <c r="D139" s="4">
        <v>1</v>
      </c>
    </row>
    <row r="140" spans="1:4" x14ac:dyDescent="0.2">
      <c r="A140" s="5">
        <v>137</v>
      </c>
      <c r="B140" s="5" t="s">
        <v>499</v>
      </c>
      <c r="C140" s="3" t="s">
        <v>55</v>
      </c>
      <c r="D140" s="4">
        <v>3</v>
      </c>
    </row>
    <row r="141" spans="1:4" x14ac:dyDescent="0.2">
      <c r="A141" s="5">
        <v>138</v>
      </c>
      <c r="B141" s="5" t="s">
        <v>500</v>
      </c>
      <c r="C141" s="3" t="s">
        <v>57</v>
      </c>
      <c r="D141" s="4">
        <v>6</v>
      </c>
    </row>
    <row r="142" spans="1:4" x14ac:dyDescent="0.2">
      <c r="A142" s="5">
        <v>139</v>
      </c>
      <c r="B142" s="5" t="s">
        <v>501</v>
      </c>
      <c r="C142" s="3" t="s">
        <v>45</v>
      </c>
      <c r="D142" s="4">
        <v>1</v>
      </c>
    </row>
    <row r="143" spans="1:4" x14ac:dyDescent="0.2">
      <c r="A143" s="5">
        <v>140</v>
      </c>
      <c r="B143" s="5" t="s">
        <v>502</v>
      </c>
      <c r="C143" s="3" t="s">
        <v>49</v>
      </c>
      <c r="D143" s="4">
        <v>9</v>
      </c>
    </row>
    <row r="144" spans="1:4" x14ac:dyDescent="0.2">
      <c r="A144" s="5">
        <v>141</v>
      </c>
      <c r="B144" s="5" t="s">
        <v>503</v>
      </c>
      <c r="C144" s="3" t="s">
        <v>105</v>
      </c>
      <c r="D144" s="4">
        <v>1</v>
      </c>
    </row>
    <row r="145" spans="1:4" x14ac:dyDescent="0.2">
      <c r="A145" s="5">
        <v>142</v>
      </c>
      <c r="B145" s="5" t="s">
        <v>504</v>
      </c>
      <c r="C145" s="3" t="s">
        <v>106</v>
      </c>
      <c r="D145" s="4">
        <v>5</v>
      </c>
    </row>
    <row r="146" spans="1:4" x14ac:dyDescent="0.2">
      <c r="A146" s="5">
        <v>143</v>
      </c>
      <c r="B146" s="5" t="s">
        <v>505</v>
      </c>
      <c r="C146" s="3" t="s">
        <v>46</v>
      </c>
      <c r="D146" s="4">
        <v>3</v>
      </c>
    </row>
    <row r="147" spans="1:4" x14ac:dyDescent="0.2">
      <c r="A147" s="5">
        <v>144</v>
      </c>
      <c r="B147" s="5" t="s">
        <v>506</v>
      </c>
      <c r="C147" s="3" t="s">
        <v>112</v>
      </c>
      <c r="D147" s="4">
        <v>0</v>
      </c>
    </row>
    <row r="148" spans="1:4" x14ac:dyDescent="0.2">
      <c r="A148" s="5">
        <v>145</v>
      </c>
      <c r="B148" s="5" t="s">
        <v>507</v>
      </c>
      <c r="C148" s="3" t="s">
        <v>91</v>
      </c>
      <c r="D148" s="4">
        <v>0</v>
      </c>
    </row>
    <row r="149" spans="1:4" x14ac:dyDescent="0.2">
      <c r="A149" s="5">
        <v>146</v>
      </c>
      <c r="B149" s="5" t="s">
        <v>508</v>
      </c>
      <c r="C149" s="3" t="s">
        <v>92</v>
      </c>
      <c r="D149" s="4">
        <v>0</v>
      </c>
    </row>
    <row r="150" spans="1:4" x14ac:dyDescent="0.2">
      <c r="A150" s="5">
        <v>147</v>
      </c>
      <c r="B150" s="5" t="s">
        <v>509</v>
      </c>
      <c r="C150" s="3" t="s">
        <v>79</v>
      </c>
      <c r="D150" s="4">
        <v>1</v>
      </c>
    </row>
    <row r="151" spans="1:4" x14ac:dyDescent="0.2">
      <c r="A151" s="5">
        <v>148</v>
      </c>
      <c r="B151" s="5" t="s">
        <v>510</v>
      </c>
      <c r="C151" s="3" t="s">
        <v>72</v>
      </c>
      <c r="D151" s="4">
        <v>2</v>
      </c>
    </row>
    <row r="152" spans="1:4" x14ac:dyDescent="0.2">
      <c r="A152" s="5">
        <v>149</v>
      </c>
      <c r="B152" s="5" t="s">
        <v>511</v>
      </c>
      <c r="C152" s="3" t="s">
        <v>73</v>
      </c>
      <c r="D152" s="4">
        <v>3</v>
      </c>
    </row>
    <row r="153" spans="1:4" x14ac:dyDescent="0.2">
      <c r="A153" s="5">
        <v>150</v>
      </c>
      <c r="B153" s="5" t="s">
        <v>512</v>
      </c>
      <c r="C153" s="3" t="s">
        <v>27</v>
      </c>
      <c r="D153" s="4">
        <v>0</v>
      </c>
    </row>
    <row r="154" spans="1:4" x14ac:dyDescent="0.2">
      <c r="A154" s="5">
        <v>151</v>
      </c>
      <c r="B154" s="5" t="s">
        <v>513</v>
      </c>
      <c r="C154" s="3" t="s">
        <v>61</v>
      </c>
      <c r="D154" s="4">
        <v>3</v>
      </c>
    </row>
    <row r="155" spans="1:4" x14ac:dyDescent="0.2">
      <c r="A155" s="5">
        <v>152</v>
      </c>
      <c r="B155" s="5" t="s">
        <v>514</v>
      </c>
      <c r="C155" s="3" t="s">
        <v>64</v>
      </c>
      <c r="D155" s="4">
        <v>7</v>
      </c>
    </row>
    <row r="156" spans="1:4" x14ac:dyDescent="0.2">
      <c r="A156" s="5">
        <v>153</v>
      </c>
      <c r="B156" s="5" t="s">
        <v>515</v>
      </c>
      <c r="C156" s="3" t="s">
        <v>71</v>
      </c>
      <c r="D156" s="4">
        <v>3</v>
      </c>
    </row>
    <row r="157" spans="1:4" x14ac:dyDescent="0.2">
      <c r="A157" s="5">
        <v>154</v>
      </c>
      <c r="B157" s="5" t="s">
        <v>516</v>
      </c>
      <c r="C157" s="3" t="s">
        <v>31</v>
      </c>
      <c r="D157" s="4">
        <v>7</v>
      </c>
    </row>
    <row r="158" spans="1:4" x14ac:dyDescent="0.2">
      <c r="A158" s="5">
        <v>155</v>
      </c>
      <c r="B158" s="5" t="s">
        <v>517</v>
      </c>
      <c r="C158" s="3" t="s">
        <v>74</v>
      </c>
      <c r="D158" s="4">
        <v>2</v>
      </c>
    </row>
    <row r="159" spans="1:4" x14ac:dyDescent="0.2">
      <c r="A159" s="5">
        <v>156</v>
      </c>
      <c r="B159" s="5" t="s">
        <v>518</v>
      </c>
      <c r="C159" s="3" t="s">
        <v>75</v>
      </c>
      <c r="D159" s="4">
        <v>2</v>
      </c>
    </row>
    <row r="160" spans="1:4" x14ac:dyDescent="0.2">
      <c r="A160" s="5">
        <v>157</v>
      </c>
      <c r="B160" s="5" t="s">
        <v>519</v>
      </c>
      <c r="C160" s="3" t="s">
        <v>62</v>
      </c>
      <c r="D160" s="4">
        <v>1</v>
      </c>
    </row>
    <row r="161" spans="1:4" x14ac:dyDescent="0.2">
      <c r="A161" s="5">
        <v>158</v>
      </c>
      <c r="B161" s="5" t="s">
        <v>520</v>
      </c>
      <c r="C161" s="3" t="s">
        <v>29</v>
      </c>
      <c r="D161" s="4">
        <v>0</v>
      </c>
    </row>
    <row r="162" spans="1:4" x14ac:dyDescent="0.2">
      <c r="A162" s="5">
        <v>159</v>
      </c>
      <c r="B162" s="5" t="s">
        <v>521</v>
      </c>
      <c r="C162" s="3" t="s">
        <v>59</v>
      </c>
      <c r="D162" s="4">
        <v>4</v>
      </c>
    </row>
    <row r="163" spans="1:4" x14ac:dyDescent="0.2">
      <c r="A163" s="5">
        <v>160</v>
      </c>
      <c r="B163" s="5" t="s">
        <v>522</v>
      </c>
      <c r="C163" s="3" t="s">
        <v>65</v>
      </c>
      <c r="D163" s="4">
        <v>10</v>
      </c>
    </row>
    <row r="164" spans="1:4" x14ac:dyDescent="0.2">
      <c r="A164" s="5">
        <v>161</v>
      </c>
      <c r="B164" s="5" t="s">
        <v>523</v>
      </c>
      <c r="C164" s="3" t="s">
        <v>60</v>
      </c>
      <c r="D164" s="4">
        <v>10</v>
      </c>
    </row>
    <row r="165" spans="1:4" x14ac:dyDescent="0.2">
      <c r="A165" s="5">
        <v>162</v>
      </c>
      <c r="B165" s="5" t="s">
        <v>524</v>
      </c>
      <c r="C165" s="3" t="s">
        <v>63</v>
      </c>
      <c r="D165" s="4">
        <v>1</v>
      </c>
    </row>
    <row r="166" spans="1:4" x14ac:dyDescent="0.2">
      <c r="A166" s="5">
        <v>163</v>
      </c>
      <c r="B166" s="5" t="s">
        <v>525</v>
      </c>
      <c r="C166" s="3" t="s">
        <v>359</v>
      </c>
      <c r="D166" s="4">
        <v>1</v>
      </c>
    </row>
    <row r="167" spans="1:4" x14ac:dyDescent="0.2">
      <c r="A167" s="5">
        <v>164</v>
      </c>
      <c r="B167" s="5" t="s">
        <v>526</v>
      </c>
      <c r="C167" s="3" t="s">
        <v>69</v>
      </c>
      <c r="D167" s="4">
        <v>6</v>
      </c>
    </row>
    <row r="168" spans="1:4" x14ac:dyDescent="0.2">
      <c r="A168" s="5">
        <v>165</v>
      </c>
      <c r="B168" s="5" t="s">
        <v>527</v>
      </c>
      <c r="C168" s="3" t="s">
        <v>32</v>
      </c>
      <c r="D168" s="4">
        <v>2</v>
      </c>
    </row>
    <row r="169" spans="1:4" x14ac:dyDescent="0.2">
      <c r="A169" s="5">
        <v>166</v>
      </c>
      <c r="B169" s="5" t="s">
        <v>528</v>
      </c>
      <c r="C169" s="3" t="s">
        <v>76</v>
      </c>
      <c r="D169" s="4">
        <v>2</v>
      </c>
    </row>
    <row r="170" spans="1:4" x14ac:dyDescent="0.2">
      <c r="A170" s="5">
        <v>167</v>
      </c>
      <c r="B170" s="5" t="s">
        <v>529</v>
      </c>
      <c r="C170" s="3" t="s">
        <v>77</v>
      </c>
      <c r="D170" s="4">
        <v>4</v>
      </c>
    </row>
    <row r="171" spans="1:4" x14ac:dyDescent="0.2">
      <c r="A171" s="5">
        <v>168</v>
      </c>
      <c r="B171" s="5" t="s">
        <v>530</v>
      </c>
      <c r="C171" s="3" t="s">
        <v>78</v>
      </c>
      <c r="D171" s="4">
        <v>2</v>
      </c>
    </row>
    <row r="172" spans="1:4" x14ac:dyDescent="0.2">
      <c r="A172" s="5">
        <v>169</v>
      </c>
      <c r="B172" s="5" t="s">
        <v>531</v>
      </c>
      <c r="C172" s="3" t="s">
        <v>28</v>
      </c>
      <c r="D172" s="4">
        <v>3</v>
      </c>
    </row>
    <row r="173" spans="1:4" x14ac:dyDescent="0.2">
      <c r="A173" s="5">
        <v>170</v>
      </c>
      <c r="B173" s="5" t="s">
        <v>532</v>
      </c>
      <c r="C173" s="3" t="s">
        <v>138</v>
      </c>
      <c r="D173" s="4">
        <v>0</v>
      </c>
    </row>
  </sheetData>
  <sortState xmlns:xlrd2="http://schemas.microsoft.com/office/spreadsheetml/2017/richdata2" ref="C2:D171">
    <sortCondition ref="C2"/>
  </sortState>
  <mergeCells count="1">
    <mergeCell ref="A2:D2"/>
  </mergeCells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2"/>
  <sheetViews>
    <sheetView workbookViewId="0">
      <selection activeCell="A2" sqref="A2:H12"/>
    </sheetView>
  </sheetViews>
  <sheetFormatPr defaultRowHeight="15" x14ac:dyDescent="0.25"/>
  <cols>
    <col min="1" max="1" width="6.28515625" bestFit="1" customWidth="1"/>
    <col min="2" max="2" width="9.85546875" bestFit="1" customWidth="1"/>
    <col min="3" max="3" width="118" bestFit="1" customWidth="1"/>
    <col min="4" max="4" width="13.42578125" bestFit="1" customWidth="1"/>
    <col min="5" max="5" width="5.85546875" customWidth="1"/>
    <col min="6" max="6" width="10" bestFit="1" customWidth="1"/>
    <col min="8" max="8" width="11.5703125" bestFit="1" customWidth="1"/>
  </cols>
  <sheetData>
    <row r="2" spans="1:8" x14ac:dyDescent="0.25">
      <c r="C2" s="19" t="s">
        <v>330</v>
      </c>
    </row>
    <row r="3" spans="1:8" ht="30" x14ac:dyDescent="0.25">
      <c r="A3" s="20" t="s">
        <v>311</v>
      </c>
      <c r="B3" s="24" t="s">
        <v>230</v>
      </c>
      <c r="C3" s="10" t="s">
        <v>312</v>
      </c>
      <c r="D3" s="25" t="s">
        <v>297</v>
      </c>
      <c r="E3" s="26" t="s">
        <v>313</v>
      </c>
      <c r="F3" s="10" t="s">
        <v>315</v>
      </c>
      <c r="G3" s="10" t="s">
        <v>319</v>
      </c>
      <c r="H3" s="26" t="s">
        <v>316</v>
      </c>
    </row>
    <row r="4" spans="1:8" ht="15.75" x14ac:dyDescent="0.25">
      <c r="A4" s="20">
        <v>1</v>
      </c>
      <c r="B4" s="20" t="s">
        <v>320</v>
      </c>
      <c r="C4" s="21" t="s">
        <v>306</v>
      </c>
      <c r="D4" s="21" t="s">
        <v>310</v>
      </c>
      <c r="E4" s="22">
        <v>2</v>
      </c>
      <c r="F4" s="13">
        <v>235171</v>
      </c>
      <c r="G4" s="13">
        <f>F4*5%</f>
        <v>11758.550000000001</v>
      </c>
      <c r="H4" s="27">
        <f>+F4+G4</f>
        <v>246929.55</v>
      </c>
    </row>
    <row r="5" spans="1:8" ht="15.75" x14ac:dyDescent="0.25">
      <c r="A5" s="20">
        <v>2</v>
      </c>
      <c r="B5" s="20" t="s">
        <v>327</v>
      </c>
      <c r="C5" s="21" t="s">
        <v>307</v>
      </c>
      <c r="D5" s="21" t="s">
        <v>310</v>
      </c>
      <c r="E5" s="22">
        <v>2</v>
      </c>
      <c r="F5" s="13">
        <v>507516</v>
      </c>
      <c r="G5" s="13">
        <f>F5*5%</f>
        <v>25375.800000000003</v>
      </c>
      <c r="H5" s="27">
        <f>+F5+G5</f>
        <v>532891.80000000005</v>
      </c>
    </row>
    <row r="6" spans="1:8" ht="15.75" x14ac:dyDescent="0.25">
      <c r="A6" s="20">
        <v>3</v>
      </c>
      <c r="B6" s="20" t="s">
        <v>323</v>
      </c>
      <c r="C6" s="21" t="s">
        <v>308</v>
      </c>
      <c r="D6" s="21" t="s">
        <v>314</v>
      </c>
      <c r="E6" s="22">
        <v>1</v>
      </c>
      <c r="F6" s="13">
        <v>243858.71</v>
      </c>
      <c r="G6" s="13">
        <f>F6*5%</f>
        <v>12192.9355</v>
      </c>
      <c r="H6" s="23">
        <f>+F6+G6</f>
        <v>256051.64549999998</v>
      </c>
    </row>
    <row r="7" spans="1:8" ht="15.75" x14ac:dyDescent="0.25">
      <c r="A7" s="20">
        <v>4</v>
      </c>
      <c r="B7" s="20" t="s">
        <v>325</v>
      </c>
      <c r="C7" s="21" t="s">
        <v>329</v>
      </c>
      <c r="D7" s="21" t="s">
        <v>310</v>
      </c>
      <c r="E7" s="22">
        <v>1</v>
      </c>
      <c r="F7" s="13">
        <v>158847</v>
      </c>
      <c r="G7" s="13">
        <f>F7*5%</f>
        <v>7942.35</v>
      </c>
      <c r="H7" s="23">
        <f>+F7+G7</f>
        <v>166789.35</v>
      </c>
    </row>
    <row r="8" spans="1:8" ht="15.75" x14ac:dyDescent="0.25">
      <c r="A8" s="20">
        <v>5</v>
      </c>
      <c r="B8" s="20" t="s">
        <v>326</v>
      </c>
      <c r="C8" s="21" t="s">
        <v>328</v>
      </c>
      <c r="D8" s="21" t="s">
        <v>310</v>
      </c>
      <c r="E8" s="22">
        <v>2</v>
      </c>
      <c r="F8" s="13">
        <v>175280</v>
      </c>
      <c r="G8" s="13">
        <f>F8*5%</f>
        <v>8764</v>
      </c>
      <c r="H8" s="23">
        <f>+F8+G8</f>
        <v>184044</v>
      </c>
    </row>
    <row r="9" spans="1:8" ht="15.75" x14ac:dyDescent="0.25">
      <c r="A9" s="20">
        <v>6</v>
      </c>
      <c r="B9" s="20" t="s">
        <v>324</v>
      </c>
      <c r="C9" s="21" t="s">
        <v>309</v>
      </c>
      <c r="D9" s="21"/>
      <c r="E9" s="22">
        <v>0</v>
      </c>
      <c r="F9" s="13"/>
      <c r="G9" s="13"/>
      <c r="H9" s="13"/>
    </row>
    <row r="10" spans="1:8" ht="15.75" x14ac:dyDescent="0.25">
      <c r="A10" s="20">
        <v>7</v>
      </c>
      <c r="B10" s="20" t="s">
        <v>321</v>
      </c>
      <c r="C10" s="21" t="s">
        <v>317</v>
      </c>
      <c r="D10" s="21" t="s">
        <v>314</v>
      </c>
      <c r="E10" s="22">
        <v>3</v>
      </c>
      <c r="F10" s="13">
        <v>230430.49</v>
      </c>
      <c r="G10" s="13">
        <f>+F10*5%</f>
        <v>11521.5245</v>
      </c>
      <c r="H10" s="23">
        <f>+F10+G10</f>
        <v>241952.01449999999</v>
      </c>
    </row>
    <row r="11" spans="1:8" ht="15.75" x14ac:dyDescent="0.25">
      <c r="A11" s="20">
        <v>8</v>
      </c>
      <c r="B11" s="20" t="s">
        <v>322</v>
      </c>
      <c r="C11" s="21" t="s">
        <v>318</v>
      </c>
      <c r="D11" s="21" t="s">
        <v>314</v>
      </c>
      <c r="E11" s="22">
        <v>2</v>
      </c>
      <c r="F11" s="13">
        <v>261152.62</v>
      </c>
      <c r="G11" s="13">
        <f>+F11*5%</f>
        <v>13057.631000000001</v>
      </c>
      <c r="H11" s="23">
        <f>+F11+G11</f>
        <v>274210.25099999999</v>
      </c>
    </row>
    <row r="12" spans="1:8" ht="15.75" x14ac:dyDescent="0.25">
      <c r="A12" s="20"/>
      <c r="B12" s="20"/>
      <c r="C12" s="21"/>
      <c r="D12" s="21"/>
      <c r="E12" s="20"/>
      <c r="F12" s="13"/>
      <c r="G12" s="13"/>
      <c r="H12" s="1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3"/>
  <sheetViews>
    <sheetView workbookViewId="0">
      <selection activeCell="A2" sqref="A2:E2"/>
    </sheetView>
  </sheetViews>
  <sheetFormatPr defaultRowHeight="15" x14ac:dyDescent="0.25"/>
  <cols>
    <col min="1" max="1" width="6.85546875" bestFit="1" customWidth="1"/>
    <col min="2" max="2" width="14.140625" bestFit="1" customWidth="1"/>
    <col min="3" max="3" width="23.28515625" customWidth="1"/>
    <col min="4" max="4" width="13.7109375" bestFit="1" customWidth="1"/>
    <col min="5" max="5" width="15.140625" customWidth="1"/>
  </cols>
  <sheetData>
    <row r="2" spans="1:5" ht="18.75" x14ac:dyDescent="0.3">
      <c r="A2" s="40" t="s">
        <v>550</v>
      </c>
      <c r="B2" s="40"/>
      <c r="C2" s="40"/>
      <c r="D2" s="40"/>
      <c r="E2" s="40"/>
    </row>
    <row r="3" spans="1:5" ht="15.75" x14ac:dyDescent="0.25">
      <c r="A3" s="28" t="s">
        <v>350</v>
      </c>
      <c r="B3" s="28" t="s">
        <v>230</v>
      </c>
      <c r="C3" s="28" t="s">
        <v>1</v>
      </c>
      <c r="D3" s="28" t="s">
        <v>297</v>
      </c>
      <c r="E3" s="29" t="s">
        <v>231</v>
      </c>
    </row>
    <row r="4" spans="1:5" x14ac:dyDescent="0.25">
      <c r="A4" s="30">
        <v>1</v>
      </c>
      <c r="B4" s="30" t="s">
        <v>340</v>
      </c>
      <c r="C4" s="31" t="s">
        <v>351</v>
      </c>
      <c r="D4" s="31" t="s">
        <v>353</v>
      </c>
      <c r="E4" s="30">
        <v>1</v>
      </c>
    </row>
    <row r="5" spans="1:5" x14ac:dyDescent="0.25">
      <c r="A5" s="30">
        <v>2</v>
      </c>
      <c r="B5" s="30" t="s">
        <v>341</v>
      </c>
      <c r="C5" s="31" t="s">
        <v>337</v>
      </c>
      <c r="D5" s="31" t="s">
        <v>353</v>
      </c>
      <c r="E5" s="30">
        <v>7</v>
      </c>
    </row>
    <row r="6" spans="1:5" x14ac:dyDescent="0.25">
      <c r="A6" s="30">
        <v>3</v>
      </c>
      <c r="B6" s="30" t="s">
        <v>342</v>
      </c>
      <c r="C6" s="31" t="s">
        <v>352</v>
      </c>
      <c r="D6" s="31" t="s">
        <v>353</v>
      </c>
      <c r="E6" s="30">
        <v>7</v>
      </c>
    </row>
    <row r="7" spans="1:5" x14ac:dyDescent="0.25">
      <c r="A7" s="30">
        <v>4</v>
      </c>
      <c r="B7" s="30" t="s">
        <v>343</v>
      </c>
      <c r="C7" s="31" t="s">
        <v>338</v>
      </c>
      <c r="D7" s="31" t="s">
        <v>353</v>
      </c>
      <c r="E7" s="30">
        <v>1</v>
      </c>
    </row>
    <row r="8" spans="1:5" x14ac:dyDescent="0.25">
      <c r="A8" s="30">
        <v>5</v>
      </c>
      <c r="B8" s="30" t="s">
        <v>344</v>
      </c>
      <c r="C8" s="31" t="s">
        <v>339</v>
      </c>
      <c r="D8" s="31" t="s">
        <v>353</v>
      </c>
      <c r="E8" s="30">
        <v>2</v>
      </c>
    </row>
    <row r="9" spans="1:5" x14ac:dyDescent="0.25">
      <c r="A9" s="30">
        <v>6</v>
      </c>
      <c r="B9" s="30" t="s">
        <v>345</v>
      </c>
      <c r="C9" s="31" t="s">
        <v>332</v>
      </c>
      <c r="D9" s="31" t="s">
        <v>353</v>
      </c>
      <c r="E9" s="30">
        <v>2</v>
      </c>
    </row>
    <row r="10" spans="1:5" x14ac:dyDescent="0.25">
      <c r="A10" s="30">
        <v>7</v>
      </c>
      <c r="B10" s="30" t="s">
        <v>346</v>
      </c>
      <c r="C10" s="31" t="s">
        <v>333</v>
      </c>
      <c r="D10" s="31" t="s">
        <v>353</v>
      </c>
      <c r="E10" s="30">
        <v>7</v>
      </c>
    </row>
    <row r="11" spans="1:5" x14ac:dyDescent="0.25">
      <c r="A11" s="30">
        <v>8</v>
      </c>
      <c r="B11" s="30" t="s">
        <v>347</v>
      </c>
      <c r="C11" s="31" t="s">
        <v>334</v>
      </c>
      <c r="D11" s="31" t="s">
        <v>353</v>
      </c>
      <c r="E11" s="30">
        <v>8</v>
      </c>
    </row>
    <row r="12" spans="1:5" x14ac:dyDescent="0.25">
      <c r="A12" s="30">
        <v>9</v>
      </c>
      <c r="B12" s="30" t="s">
        <v>348</v>
      </c>
      <c r="C12" s="31" t="s">
        <v>335</v>
      </c>
      <c r="D12" s="31" t="s">
        <v>353</v>
      </c>
      <c r="E12" s="30">
        <v>4</v>
      </c>
    </row>
    <row r="13" spans="1:5" x14ac:dyDescent="0.25">
      <c r="A13" s="30">
        <v>10</v>
      </c>
      <c r="B13" s="30" t="s">
        <v>349</v>
      </c>
      <c r="C13" s="31" t="s">
        <v>336</v>
      </c>
      <c r="D13" s="31" t="s">
        <v>353</v>
      </c>
      <c r="E13" s="30">
        <v>6</v>
      </c>
    </row>
  </sheetData>
  <sortState xmlns:xlrd2="http://schemas.microsoft.com/office/spreadsheetml/2017/richdata2" ref="A4:D13">
    <sortCondition ref="C4"/>
  </sortState>
  <mergeCells count="1">
    <mergeCell ref="A2:E2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6"/>
  <sheetViews>
    <sheetView workbookViewId="0">
      <selection activeCell="C14" sqref="C14"/>
    </sheetView>
  </sheetViews>
  <sheetFormatPr defaultRowHeight="15" x14ac:dyDescent="0.25"/>
  <cols>
    <col min="1" max="1" width="7.42578125" bestFit="1" customWidth="1"/>
    <col min="2" max="2" width="10" customWidth="1"/>
    <col min="3" max="3" width="47.7109375" bestFit="1" customWidth="1"/>
  </cols>
  <sheetData>
    <row r="2" spans="1:4" x14ac:dyDescent="0.25">
      <c r="A2" s="41" t="s">
        <v>548</v>
      </c>
      <c r="B2" s="41"/>
      <c r="C2" s="41"/>
      <c r="D2" s="41"/>
    </row>
    <row r="3" spans="1:4" ht="47.25" x14ac:dyDescent="0.25">
      <c r="A3" s="29" t="s">
        <v>0</v>
      </c>
      <c r="B3" s="29" t="s">
        <v>230</v>
      </c>
      <c r="C3" s="29" t="s">
        <v>1</v>
      </c>
      <c r="D3" s="29" t="s">
        <v>231</v>
      </c>
    </row>
    <row r="4" spans="1:4" ht="21.75" customHeight="1" x14ac:dyDescent="0.25">
      <c r="A4" s="32">
        <v>1</v>
      </c>
      <c r="B4" s="32" t="s">
        <v>540</v>
      </c>
      <c r="C4" s="33" t="s">
        <v>534</v>
      </c>
      <c r="D4" s="32">
        <v>1</v>
      </c>
    </row>
    <row r="5" spans="1:4" ht="21.75" customHeight="1" x14ac:dyDescent="0.25">
      <c r="A5" s="32">
        <v>2</v>
      </c>
      <c r="B5" s="32" t="s">
        <v>541</v>
      </c>
      <c r="C5" s="33" t="s">
        <v>535</v>
      </c>
      <c r="D5" s="32">
        <v>1</v>
      </c>
    </row>
    <row r="6" spans="1:4" ht="21.75" customHeight="1" x14ac:dyDescent="0.25">
      <c r="A6" s="32">
        <v>3</v>
      </c>
      <c r="B6" s="32" t="s">
        <v>542</v>
      </c>
      <c r="C6" s="33" t="s">
        <v>536</v>
      </c>
      <c r="D6" s="32">
        <v>0</v>
      </c>
    </row>
    <row r="7" spans="1:4" ht="21.75" customHeight="1" x14ac:dyDescent="0.25">
      <c r="A7" s="32">
        <v>4</v>
      </c>
      <c r="B7" s="32" t="s">
        <v>543</v>
      </c>
      <c r="C7" s="33" t="s">
        <v>537</v>
      </c>
      <c r="D7" s="32">
        <v>1</v>
      </c>
    </row>
    <row r="8" spans="1:4" ht="21.75" customHeight="1" x14ac:dyDescent="0.25">
      <c r="A8" s="32">
        <v>5</v>
      </c>
      <c r="B8" s="32" t="s">
        <v>544</v>
      </c>
      <c r="C8" s="33" t="s">
        <v>538</v>
      </c>
      <c r="D8" s="32">
        <v>0</v>
      </c>
    </row>
    <row r="9" spans="1:4" ht="21.75" customHeight="1" x14ac:dyDescent="0.25">
      <c r="A9" s="32">
        <v>6</v>
      </c>
      <c r="B9" s="32" t="s">
        <v>545</v>
      </c>
      <c r="C9" s="33" t="s">
        <v>539</v>
      </c>
      <c r="D9" s="32">
        <v>0</v>
      </c>
    </row>
    <row r="10" spans="1:4" ht="21.75" customHeight="1" x14ac:dyDescent="0.25">
      <c r="A10" s="32">
        <v>7</v>
      </c>
      <c r="B10" s="32" t="s">
        <v>546</v>
      </c>
      <c r="C10" s="33" t="s">
        <v>547</v>
      </c>
      <c r="D10" s="32">
        <v>0</v>
      </c>
    </row>
    <row r="12" spans="1:4" ht="15.75" x14ac:dyDescent="0.25">
      <c r="A12" s="42" t="s">
        <v>549</v>
      </c>
      <c r="B12" s="42"/>
      <c r="C12" s="42"/>
      <c r="D12" s="42"/>
    </row>
    <row r="13" spans="1:4" ht="21.75" customHeight="1" x14ac:dyDescent="0.25">
      <c r="A13" s="14">
        <v>1</v>
      </c>
      <c r="B13" s="14" t="s">
        <v>551</v>
      </c>
      <c r="C13" s="15" t="s">
        <v>555</v>
      </c>
      <c r="D13" s="14">
        <v>2</v>
      </c>
    </row>
    <row r="14" spans="1:4" ht="21.75" customHeight="1" x14ac:dyDescent="0.25">
      <c r="A14" s="14">
        <v>2</v>
      </c>
      <c r="B14" s="14" t="s">
        <v>552</v>
      </c>
      <c r="C14" s="15" t="s">
        <v>554</v>
      </c>
      <c r="D14" s="14">
        <v>1</v>
      </c>
    </row>
    <row r="15" spans="1:4" ht="21.75" customHeight="1" x14ac:dyDescent="0.25">
      <c r="A15" s="14">
        <v>3</v>
      </c>
      <c r="B15" s="14" t="s">
        <v>553</v>
      </c>
      <c r="C15" s="15" t="s">
        <v>557</v>
      </c>
      <c r="D15" s="14">
        <v>1</v>
      </c>
    </row>
    <row r="16" spans="1:4" ht="21.75" customHeight="1" x14ac:dyDescent="0.25">
      <c r="A16" s="14">
        <v>4</v>
      </c>
      <c r="B16" s="14" t="s">
        <v>556</v>
      </c>
      <c r="C16" s="15" t="s">
        <v>614</v>
      </c>
      <c r="D16" s="14">
        <v>1</v>
      </c>
    </row>
  </sheetData>
  <mergeCells count="2">
    <mergeCell ref="A2:D2"/>
    <mergeCell ref="A12:D1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30"/>
  <sheetViews>
    <sheetView workbookViewId="0">
      <selection activeCell="I20" sqref="I20"/>
    </sheetView>
  </sheetViews>
  <sheetFormatPr defaultRowHeight="15" x14ac:dyDescent="0.25"/>
  <cols>
    <col min="1" max="1" width="7.42578125" bestFit="1" customWidth="1"/>
    <col min="2" max="2" width="14.140625" bestFit="1" customWidth="1"/>
    <col min="3" max="3" width="59.140625" customWidth="1"/>
    <col min="4" max="4" width="15" bestFit="1" customWidth="1"/>
  </cols>
  <sheetData>
    <row r="2" spans="1:4" x14ac:dyDescent="0.25">
      <c r="A2" s="41" t="s">
        <v>582</v>
      </c>
      <c r="B2" s="41"/>
      <c r="C2" s="41"/>
      <c r="D2" s="41"/>
    </row>
    <row r="3" spans="1:4" ht="15.75" x14ac:dyDescent="0.25">
      <c r="A3" s="36" t="s">
        <v>558</v>
      </c>
      <c r="B3" s="36" t="s">
        <v>230</v>
      </c>
      <c r="C3" s="7" t="s">
        <v>559</v>
      </c>
      <c r="D3" s="37" t="s">
        <v>560</v>
      </c>
    </row>
    <row r="4" spans="1:4" ht="21.75" customHeight="1" x14ac:dyDescent="0.25">
      <c r="A4" s="34">
        <v>1</v>
      </c>
      <c r="B4" s="34" t="s">
        <v>583</v>
      </c>
      <c r="C4" s="11" t="s">
        <v>561</v>
      </c>
      <c r="D4" s="34">
        <v>4</v>
      </c>
    </row>
    <row r="5" spans="1:4" ht="21.75" customHeight="1" x14ac:dyDescent="0.25">
      <c r="A5" s="34">
        <v>2</v>
      </c>
      <c r="B5" s="34" t="s">
        <v>584</v>
      </c>
      <c r="C5" s="11" t="s">
        <v>562</v>
      </c>
      <c r="D5" s="34">
        <v>5</v>
      </c>
    </row>
    <row r="6" spans="1:4" ht="21.75" customHeight="1" x14ac:dyDescent="0.25">
      <c r="A6" s="34">
        <v>3</v>
      </c>
      <c r="B6" s="34" t="s">
        <v>585</v>
      </c>
      <c r="C6" s="11" t="s">
        <v>612</v>
      </c>
      <c r="D6" s="34">
        <v>1</v>
      </c>
    </row>
    <row r="7" spans="1:4" ht="21.75" customHeight="1" x14ac:dyDescent="0.25">
      <c r="A7" s="34">
        <v>4</v>
      </c>
      <c r="B7" s="34" t="s">
        <v>586</v>
      </c>
      <c r="C7" s="11" t="s">
        <v>613</v>
      </c>
      <c r="D7" s="34">
        <v>1</v>
      </c>
    </row>
    <row r="8" spans="1:4" ht="21.75" customHeight="1" x14ac:dyDescent="0.25">
      <c r="A8" s="34">
        <v>5</v>
      </c>
      <c r="B8" s="34" t="s">
        <v>587</v>
      </c>
      <c r="C8" s="11" t="s">
        <v>563</v>
      </c>
      <c r="D8" s="34">
        <v>3</v>
      </c>
    </row>
    <row r="9" spans="1:4" ht="21.75" customHeight="1" x14ac:dyDescent="0.25">
      <c r="A9" s="34">
        <v>6</v>
      </c>
      <c r="B9" s="34" t="s">
        <v>588</v>
      </c>
      <c r="C9" s="11" t="s">
        <v>564</v>
      </c>
      <c r="D9" s="34">
        <v>4</v>
      </c>
    </row>
    <row r="10" spans="1:4" ht="21.75" customHeight="1" x14ac:dyDescent="0.25">
      <c r="A10" s="34">
        <v>7</v>
      </c>
      <c r="B10" s="34" t="s">
        <v>589</v>
      </c>
      <c r="C10" s="11" t="s">
        <v>565</v>
      </c>
      <c r="D10" s="34">
        <v>2</v>
      </c>
    </row>
    <row r="11" spans="1:4" ht="21.75" customHeight="1" x14ac:dyDescent="0.25">
      <c r="A11" s="34">
        <v>8</v>
      </c>
      <c r="B11" s="34" t="s">
        <v>590</v>
      </c>
      <c r="C11" s="11" t="s">
        <v>566</v>
      </c>
      <c r="D11" s="34">
        <v>1</v>
      </c>
    </row>
    <row r="12" spans="1:4" ht="21.75" customHeight="1" x14ac:dyDescent="0.25">
      <c r="A12" s="34">
        <v>9</v>
      </c>
      <c r="B12" s="34" t="s">
        <v>591</v>
      </c>
      <c r="C12" s="11" t="s">
        <v>567</v>
      </c>
      <c r="D12" s="34">
        <v>1</v>
      </c>
    </row>
    <row r="13" spans="1:4" ht="21.75" customHeight="1" x14ac:dyDescent="0.25">
      <c r="A13" s="34">
        <v>10</v>
      </c>
      <c r="B13" s="34" t="s">
        <v>592</v>
      </c>
      <c r="C13" s="11" t="s">
        <v>568</v>
      </c>
      <c r="D13" s="34">
        <v>11</v>
      </c>
    </row>
    <row r="14" spans="1:4" ht="21.75" customHeight="1" x14ac:dyDescent="0.25">
      <c r="A14" s="34">
        <v>11</v>
      </c>
      <c r="B14" s="34" t="s">
        <v>593</v>
      </c>
      <c r="C14" s="11" t="s">
        <v>569</v>
      </c>
      <c r="D14" s="34">
        <v>0</v>
      </c>
    </row>
    <row r="15" spans="1:4" ht="21.75" customHeight="1" x14ac:dyDescent="0.25">
      <c r="A15" s="34">
        <v>12</v>
      </c>
      <c r="B15" s="34" t="s">
        <v>594</v>
      </c>
      <c r="C15" s="11" t="s">
        <v>570</v>
      </c>
      <c r="D15" s="34">
        <v>1</v>
      </c>
    </row>
    <row r="16" spans="1:4" ht="21.75" customHeight="1" x14ac:dyDescent="0.25">
      <c r="A16" s="34">
        <v>13</v>
      </c>
      <c r="B16" s="34" t="s">
        <v>595</v>
      </c>
      <c r="C16" s="11" t="s">
        <v>571</v>
      </c>
      <c r="D16" s="34">
        <v>1</v>
      </c>
    </row>
    <row r="17" spans="1:4" ht="21.75" customHeight="1" x14ac:dyDescent="0.25">
      <c r="A17" s="34">
        <v>14</v>
      </c>
      <c r="B17" s="34" t="s">
        <v>596</v>
      </c>
      <c r="C17" s="11" t="s">
        <v>572</v>
      </c>
      <c r="D17" s="34">
        <v>0</v>
      </c>
    </row>
    <row r="18" spans="1:4" ht="21.75" customHeight="1" x14ac:dyDescent="0.25">
      <c r="A18" s="34">
        <v>15</v>
      </c>
      <c r="B18" s="34" t="s">
        <v>597</v>
      </c>
      <c r="C18" s="11" t="s">
        <v>573</v>
      </c>
      <c r="D18" s="34">
        <v>6</v>
      </c>
    </row>
    <row r="19" spans="1:4" ht="21.75" customHeight="1" x14ac:dyDescent="0.25">
      <c r="A19" s="34">
        <v>16</v>
      </c>
      <c r="B19" s="34" t="s">
        <v>598</v>
      </c>
      <c r="C19" s="11" t="s">
        <v>574</v>
      </c>
      <c r="D19" s="34">
        <v>4</v>
      </c>
    </row>
    <row r="20" spans="1:4" ht="21.75" customHeight="1" x14ac:dyDescent="0.25">
      <c r="A20" s="34">
        <v>17</v>
      </c>
      <c r="B20" s="34" t="s">
        <v>599</v>
      </c>
      <c r="C20" s="11" t="s">
        <v>575</v>
      </c>
      <c r="D20" s="34">
        <v>1</v>
      </c>
    </row>
    <row r="21" spans="1:4" ht="21.75" customHeight="1" x14ac:dyDescent="0.25">
      <c r="A21" s="34">
        <v>18</v>
      </c>
      <c r="B21" s="34" t="s">
        <v>600</v>
      </c>
      <c r="C21" s="11" t="s">
        <v>576</v>
      </c>
      <c r="D21" s="34">
        <v>0</v>
      </c>
    </row>
    <row r="22" spans="1:4" ht="21.75" customHeight="1" x14ac:dyDescent="0.25">
      <c r="A22" s="34">
        <v>19</v>
      </c>
      <c r="B22" s="34" t="s">
        <v>601</v>
      </c>
      <c r="C22" s="11" t="s">
        <v>577</v>
      </c>
      <c r="D22" s="34">
        <v>0</v>
      </c>
    </row>
    <row r="23" spans="1:4" ht="21.75" customHeight="1" x14ac:dyDescent="0.25">
      <c r="A23" s="34">
        <v>20</v>
      </c>
      <c r="B23" s="34" t="s">
        <v>602</v>
      </c>
      <c r="C23" s="11" t="s">
        <v>578</v>
      </c>
      <c r="D23" s="34">
        <v>0</v>
      </c>
    </row>
    <row r="24" spans="1:4" ht="21.75" customHeight="1" x14ac:dyDescent="0.25">
      <c r="A24" s="34">
        <v>21</v>
      </c>
      <c r="B24" s="34" t="s">
        <v>603</v>
      </c>
      <c r="C24" s="11" t="s">
        <v>579</v>
      </c>
      <c r="D24" s="34">
        <v>5</v>
      </c>
    </row>
    <row r="25" spans="1:4" ht="30" x14ac:dyDescent="0.25">
      <c r="A25" s="34">
        <v>22</v>
      </c>
      <c r="B25" s="34" t="s">
        <v>604</v>
      </c>
      <c r="C25" s="35" t="s">
        <v>615</v>
      </c>
      <c r="D25" s="34">
        <v>3</v>
      </c>
    </row>
    <row r="26" spans="1:4" ht="30" x14ac:dyDescent="0.25">
      <c r="A26" s="34">
        <v>23</v>
      </c>
      <c r="B26" s="34" t="s">
        <v>605</v>
      </c>
      <c r="C26" s="35" t="s">
        <v>616</v>
      </c>
      <c r="D26" s="34">
        <v>4</v>
      </c>
    </row>
    <row r="27" spans="1:4" ht="21.75" customHeight="1" x14ac:dyDescent="0.25">
      <c r="A27" s="34">
        <v>24</v>
      </c>
      <c r="B27" s="34" t="s">
        <v>606</v>
      </c>
      <c r="C27" s="11" t="s">
        <v>580</v>
      </c>
      <c r="D27" s="34">
        <v>0</v>
      </c>
    </row>
    <row r="28" spans="1:4" ht="21.75" customHeight="1" x14ac:dyDescent="0.25">
      <c r="A28" s="34">
        <v>25</v>
      </c>
      <c r="B28" s="34" t="s">
        <v>607</v>
      </c>
      <c r="C28" s="11" t="s">
        <v>581</v>
      </c>
      <c r="D28" s="34">
        <v>2</v>
      </c>
    </row>
    <row r="29" spans="1:4" ht="21.75" customHeight="1" x14ac:dyDescent="0.25">
      <c r="A29" s="34">
        <v>26</v>
      </c>
      <c r="B29" s="34" t="s">
        <v>608</v>
      </c>
      <c r="C29" s="11" t="s">
        <v>610</v>
      </c>
      <c r="D29" s="34">
        <v>4</v>
      </c>
    </row>
    <row r="30" spans="1:4" ht="21.75" customHeight="1" x14ac:dyDescent="0.25">
      <c r="A30" s="34">
        <v>27</v>
      </c>
      <c r="B30" s="34" t="s">
        <v>609</v>
      </c>
      <c r="C30" s="11" t="s">
        <v>611</v>
      </c>
      <c r="D30" s="34">
        <v>1</v>
      </c>
    </row>
  </sheetData>
  <mergeCells count="1">
    <mergeCell ref="A2:D2"/>
  </mergeCells>
  <hyperlinks>
    <hyperlink ref="A3" r:id="rId1" display="http://s.no/" xr:uid="{00000000-0004-0000-0500-00000000000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Oil Seal</vt:lpstr>
      <vt:lpstr>Bearing Final Sheet</vt:lpstr>
      <vt:lpstr>CLOTHING</vt:lpstr>
      <vt:lpstr>TYRE</vt:lpstr>
      <vt:lpstr>TYRE COUPLING, PIN BUSH</vt:lpstr>
      <vt:lpstr>PUMP SLEEVE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2026-07-15T13:50:45Z</dcterms:modified>
</cp:coreProperties>
</file>